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workbookProtection workbookPassword="EA63" lockStructure="1"/>
  <bookViews>
    <workbookView xWindow="360" yWindow="300" windowWidth="14880" windowHeight="7815"/>
  </bookViews>
  <sheets>
    <sheet name="Main" sheetId="1" r:id="rId1"/>
    <sheet name="Calcd Shifts" sheetId="9" r:id="rId2"/>
    <sheet name="1" sheetId="2" state="hidden" r:id="rId3"/>
    <sheet name="2" sheetId="3" state="hidden" r:id="rId4"/>
    <sheet name="3" sheetId="6" state="hidden" r:id="rId5"/>
    <sheet name="4" sheetId="4" state="hidden" r:id="rId6"/>
    <sheet name="5" sheetId="5" state="hidden" r:id="rId7"/>
    <sheet name="6" sheetId="7" state="hidden" r:id="rId8"/>
    <sheet name="7" sheetId="10" state="hidden" r:id="rId9"/>
    <sheet name="8" sheetId="11" state="hidden" r:id="rId10"/>
    <sheet name="9" sheetId="12" state="hidden" r:id="rId11"/>
  </sheets>
  <definedNames>
    <definedName name="_xlnm.Print_Area" localSheetId="0">Main!$BR$5</definedName>
  </definedNames>
  <calcPr calcId="145621"/>
</workbook>
</file>

<file path=xl/calcChain.xml><?xml version="1.0" encoding="utf-8"?>
<calcChain xmlns="http://schemas.openxmlformats.org/spreadsheetml/2006/main">
  <c r="BP6" i="1" l="1"/>
  <c r="AE1" i="1"/>
  <c r="BU4" i="1"/>
  <c r="BQ70" i="1"/>
  <c r="BQ69" i="1"/>
  <c r="BQ68" i="1"/>
  <c r="BQ67" i="1"/>
  <c r="BQ66" i="1"/>
  <c r="BQ65" i="1"/>
  <c r="BQ64" i="1"/>
  <c r="BQ63" i="1"/>
  <c r="BQ62" i="1"/>
  <c r="BQ61" i="1"/>
  <c r="BQ60" i="1"/>
  <c r="BQ59" i="1"/>
  <c r="BQ58" i="1"/>
  <c r="BQ57" i="1"/>
  <c r="BQ56" i="1"/>
  <c r="BQ55" i="1"/>
  <c r="BQ54" i="1"/>
  <c r="BQ53" i="1"/>
  <c r="BQ52" i="1"/>
  <c r="BQ51" i="1"/>
  <c r="BQ50" i="1"/>
  <c r="BQ49" i="1"/>
  <c r="BQ48" i="1"/>
  <c r="BQ47" i="1"/>
  <c r="BQ46" i="1"/>
  <c r="BQ45" i="1"/>
  <c r="BQ44" i="1"/>
  <c r="BQ43" i="1"/>
  <c r="BQ42" i="1"/>
  <c r="BQ41" i="1"/>
  <c r="BQ40" i="1"/>
  <c r="BQ39" i="1"/>
  <c r="BQ38" i="1"/>
  <c r="BQ37" i="1"/>
  <c r="BQ36" i="1"/>
  <c r="BQ35" i="1"/>
  <c r="BQ34" i="1"/>
  <c r="BQ33" i="1"/>
  <c r="BQ32" i="1"/>
  <c r="BQ31" i="1"/>
  <c r="BQ30" i="1"/>
  <c r="BQ29" i="1"/>
  <c r="BQ28" i="1"/>
  <c r="BQ27" i="1"/>
  <c r="BQ26" i="1"/>
  <c r="BQ25" i="1"/>
  <c r="BQ24" i="1"/>
  <c r="BQ23" i="1"/>
  <c r="BQ22" i="1"/>
  <c r="BQ21" i="1"/>
  <c r="BQ20" i="1"/>
  <c r="BQ19" i="1"/>
  <c r="BQ18" i="1"/>
  <c r="BQ17" i="1"/>
  <c r="BQ16" i="1"/>
  <c r="BQ15" i="1"/>
  <c r="BQ14" i="1"/>
  <c r="BQ13" i="1"/>
  <c r="BQ12" i="1"/>
  <c r="BQ11" i="1"/>
  <c r="BQ10" i="1"/>
  <c r="BQ9" i="1"/>
  <c r="BQ8" i="1"/>
  <c r="BQ7" i="1"/>
  <c r="BQ5" i="1"/>
  <c r="BQ4" i="1"/>
  <c r="BP70" i="1"/>
  <c r="BP69" i="1"/>
  <c r="BP68" i="1"/>
  <c r="BP67" i="1"/>
  <c r="BP66" i="1"/>
  <c r="BP65" i="1"/>
  <c r="BP64" i="1"/>
  <c r="BP63" i="1"/>
  <c r="BP62" i="1"/>
  <c r="BP61" i="1"/>
  <c r="BP60" i="1"/>
  <c r="BP59" i="1"/>
  <c r="BP58" i="1"/>
  <c r="BP57" i="1"/>
  <c r="BP56" i="1"/>
  <c r="BP55" i="1"/>
  <c r="BP54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P31" i="1"/>
  <c r="BP30" i="1"/>
  <c r="BP29" i="1"/>
  <c r="BP28" i="1"/>
  <c r="BP27" i="1"/>
  <c r="BP26" i="1"/>
  <c r="BP25" i="1"/>
  <c r="BP24" i="1"/>
  <c r="BP23" i="1"/>
  <c r="BP22" i="1"/>
  <c r="BP21" i="1"/>
  <c r="BP20" i="1"/>
  <c r="BP19" i="1"/>
  <c r="BP18" i="1"/>
  <c r="BP17" i="1"/>
  <c r="BP16" i="1"/>
  <c r="BP15" i="1"/>
  <c r="BP14" i="1"/>
  <c r="BP13" i="1"/>
  <c r="BP12" i="1"/>
  <c r="BP11" i="1"/>
  <c r="BP10" i="1"/>
  <c r="BP9" i="1"/>
  <c r="BP8" i="1"/>
  <c r="BP7" i="1"/>
  <c r="BP5" i="1"/>
  <c r="BP4" i="1"/>
  <c r="BM70" i="1"/>
  <c r="BM69" i="1"/>
  <c r="BM68" i="1"/>
  <c r="BM67" i="1"/>
  <c r="BM66" i="1"/>
  <c r="BM65" i="1"/>
  <c r="BM64" i="1"/>
  <c r="BM63" i="1"/>
  <c r="BM62" i="1"/>
  <c r="BM61" i="1"/>
  <c r="BM60" i="1"/>
  <c r="BM59" i="1"/>
  <c r="BM58" i="1"/>
  <c r="BM57" i="1"/>
  <c r="BM56" i="1"/>
  <c r="BM55" i="1"/>
  <c r="BM54" i="1"/>
  <c r="BM53" i="1"/>
  <c r="BM52" i="1"/>
  <c r="BM51" i="1"/>
  <c r="BM50" i="1"/>
  <c r="BM49" i="1"/>
  <c r="BM48" i="1"/>
  <c r="BM47" i="1"/>
  <c r="BM46" i="1"/>
  <c r="BM45" i="1"/>
  <c r="BM44" i="1"/>
  <c r="BM43" i="1"/>
  <c r="BM42" i="1"/>
  <c r="BM41" i="1"/>
  <c r="BM40" i="1"/>
  <c r="BM39" i="1"/>
  <c r="BM38" i="1"/>
  <c r="BM37" i="1"/>
  <c r="BM36" i="1"/>
  <c r="BM35" i="1"/>
  <c r="BM34" i="1"/>
  <c r="BM33" i="1"/>
  <c r="BM32" i="1"/>
  <c r="BM31" i="1"/>
  <c r="BM30" i="1"/>
  <c r="BM29" i="1"/>
  <c r="BM28" i="1"/>
  <c r="BM27" i="1"/>
  <c r="BM26" i="1"/>
  <c r="BM25" i="1"/>
  <c r="BM24" i="1"/>
  <c r="BM23" i="1"/>
  <c r="BM22" i="1"/>
  <c r="BM21" i="1"/>
  <c r="BM20" i="1"/>
  <c r="BM19" i="1"/>
  <c r="BM18" i="1"/>
  <c r="BM17" i="1"/>
  <c r="BM16" i="1"/>
  <c r="BM15" i="1"/>
  <c r="BM14" i="1"/>
  <c r="BM13" i="1"/>
  <c r="BM12" i="1"/>
  <c r="BM11" i="1"/>
  <c r="BM10" i="1"/>
  <c r="BM9" i="1"/>
  <c r="BM8" i="1"/>
  <c r="BM7" i="1"/>
  <c r="BM6" i="1"/>
  <c r="BM5" i="1"/>
  <c r="BL5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O9" i="1"/>
  <c r="AO8" i="1"/>
  <c r="AO7" i="1"/>
  <c r="AO6" i="1"/>
  <c r="AO5" i="1"/>
  <c r="AO4" i="1"/>
  <c r="AO3" i="1"/>
  <c r="AN70" i="1"/>
  <c r="AN69" i="1"/>
  <c r="AN68" i="1"/>
  <c r="AN67" i="1"/>
  <c r="AN66" i="1"/>
  <c r="AN65" i="1"/>
  <c r="AN64" i="1"/>
  <c r="AN63" i="1"/>
  <c r="AN62" i="1"/>
  <c r="AN61" i="1"/>
  <c r="AN60" i="1"/>
  <c r="AN59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  <c r="AN3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M4" i="1"/>
  <c r="AM3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4" i="1"/>
  <c r="AL3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AJ3" i="1"/>
  <c r="CZ3" i="12"/>
  <c r="CY3" i="12"/>
  <c r="CX3" i="12"/>
  <c r="CW3" i="12"/>
  <c r="CV3" i="12"/>
  <c r="CU3" i="12"/>
  <c r="BQ6" i="1" l="1"/>
  <c r="BQ1" i="1" s="1"/>
  <c r="J33" i="1" s="1"/>
  <c r="BN5" i="1"/>
  <c r="AK2" i="1"/>
  <c r="AJ2" i="1"/>
  <c r="AL2" i="1"/>
  <c r="AM2" i="1"/>
  <c r="AO2" i="1"/>
  <c r="AN2" i="1"/>
  <c r="BP1" i="1"/>
  <c r="J31" i="1" s="1"/>
  <c r="N4" i="1" l="1"/>
  <c r="N5" i="1"/>
  <c r="N6" i="1"/>
  <c r="AP2" i="1"/>
  <c r="AQ2" i="1"/>
  <c r="B43" i="5"/>
  <c r="A10" i="2"/>
  <c r="A11" i="2"/>
  <c r="AJ1" i="1" l="1"/>
  <c r="AP3" i="1"/>
  <c r="AQ3" i="1"/>
  <c r="G43" i="5"/>
  <c r="B10" i="5"/>
  <c r="B34" i="5"/>
  <c r="B50" i="5"/>
  <c r="B8" i="5"/>
  <c r="B16" i="5"/>
  <c r="B24" i="5"/>
  <c r="B32" i="5"/>
  <c r="B40" i="5"/>
  <c r="B48" i="5"/>
  <c r="B18" i="5"/>
  <c r="B26" i="5"/>
  <c r="B42" i="5"/>
  <c r="B17" i="5"/>
  <c r="B33" i="5"/>
  <c r="B49" i="5"/>
  <c r="B7" i="5"/>
  <c r="B23" i="5"/>
  <c r="B39" i="5"/>
  <c r="B14" i="5"/>
  <c r="B38" i="5"/>
  <c r="B13" i="5"/>
  <c r="B21" i="5"/>
  <c r="B29" i="5"/>
  <c r="B37" i="5"/>
  <c r="B45" i="5"/>
  <c r="B9" i="5"/>
  <c r="B25" i="5"/>
  <c r="B41" i="5"/>
  <c r="B15" i="5"/>
  <c r="B31" i="5"/>
  <c r="B47" i="5"/>
  <c r="B6" i="5"/>
  <c r="B22" i="5"/>
  <c r="B30" i="5"/>
  <c r="B46" i="5"/>
  <c r="B12" i="5"/>
  <c r="B20" i="5"/>
  <c r="B28" i="5"/>
  <c r="B36" i="5"/>
  <c r="B44" i="5"/>
  <c r="B11" i="5"/>
  <c r="B19" i="5"/>
  <c r="B27" i="5"/>
  <c r="B35" i="5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E33" i="6" s="1"/>
  <c r="B34" i="6"/>
  <c r="E34" i="6" s="1"/>
  <c r="B35" i="6"/>
  <c r="E35" i="6" s="1"/>
  <c r="B36" i="6"/>
  <c r="B37" i="6"/>
  <c r="B38" i="6"/>
  <c r="B39" i="6"/>
  <c r="E39" i="6" s="1"/>
  <c r="B40" i="6"/>
  <c r="E40" i="6" s="1"/>
  <c r="B41" i="6"/>
  <c r="E41" i="6" s="1"/>
  <c r="B42" i="6"/>
  <c r="E42" i="6" s="1"/>
  <c r="B43" i="6"/>
  <c r="E43" i="6" s="1"/>
  <c r="B44" i="6"/>
  <c r="E44" i="6" s="1"/>
  <c r="B45" i="6"/>
  <c r="B46" i="6"/>
  <c r="B47" i="6"/>
  <c r="E47" i="6" s="1"/>
  <c r="B48" i="6"/>
  <c r="B49" i="6"/>
  <c r="B50" i="6"/>
  <c r="B51" i="6"/>
  <c r="B52" i="6"/>
  <c r="B53" i="6"/>
  <c r="E53" i="6" s="1"/>
  <c r="B54" i="6"/>
  <c r="B55" i="6"/>
  <c r="E55" i="6" s="1"/>
  <c r="B56" i="6"/>
  <c r="E56" i="6" s="1"/>
  <c r="B57" i="6"/>
  <c r="B58" i="6"/>
  <c r="B59" i="6"/>
  <c r="B60" i="6"/>
  <c r="E60" i="6" s="1"/>
  <c r="B61" i="6"/>
  <c r="B62" i="6"/>
  <c r="B63" i="6"/>
  <c r="B64" i="6"/>
  <c r="B65" i="6"/>
  <c r="E65" i="6" s="1"/>
  <c r="B66" i="6"/>
  <c r="E66" i="6" s="1"/>
  <c r="B67" i="6"/>
  <c r="B68" i="6"/>
  <c r="B69" i="6"/>
  <c r="E69" i="6" s="1"/>
  <c r="B3" i="6"/>
  <c r="A4" i="6"/>
  <c r="A5" i="6"/>
  <c r="A6" i="6"/>
  <c r="A7" i="6"/>
  <c r="A8" i="6"/>
  <c r="A9" i="6"/>
  <c r="A10" i="6"/>
  <c r="M10" i="6" s="1"/>
  <c r="A11" i="6"/>
  <c r="A12" i="6"/>
  <c r="A13" i="6"/>
  <c r="A14" i="6"/>
  <c r="A15" i="6"/>
  <c r="A16" i="6"/>
  <c r="A17" i="6"/>
  <c r="A18" i="6"/>
  <c r="M18" i="6" s="1"/>
  <c r="A19" i="6"/>
  <c r="A20" i="6"/>
  <c r="A21" i="6"/>
  <c r="A22" i="6"/>
  <c r="A23" i="6"/>
  <c r="A24" i="6"/>
  <c r="A25" i="6"/>
  <c r="A26" i="6"/>
  <c r="M26" i="6" s="1"/>
  <c r="A27" i="6"/>
  <c r="A28" i="6"/>
  <c r="A29" i="6"/>
  <c r="A30" i="6"/>
  <c r="A31" i="6"/>
  <c r="A32" i="6"/>
  <c r="A33" i="6"/>
  <c r="A34" i="6"/>
  <c r="M34" i="6" s="1"/>
  <c r="A35" i="6"/>
  <c r="A36" i="6"/>
  <c r="A37" i="6"/>
  <c r="A38" i="6"/>
  <c r="A39" i="6"/>
  <c r="A40" i="6"/>
  <c r="A41" i="6"/>
  <c r="A42" i="6"/>
  <c r="M42" i="6" s="1"/>
  <c r="A43" i="6"/>
  <c r="A44" i="6"/>
  <c r="A45" i="6"/>
  <c r="A46" i="6"/>
  <c r="A47" i="6"/>
  <c r="A48" i="6"/>
  <c r="A49" i="6"/>
  <c r="A50" i="6"/>
  <c r="M50" i="6" s="1"/>
  <c r="A51" i="6"/>
  <c r="A52" i="6"/>
  <c r="A53" i="6"/>
  <c r="A54" i="6"/>
  <c r="A55" i="6"/>
  <c r="A56" i="6"/>
  <c r="A57" i="6"/>
  <c r="A58" i="6"/>
  <c r="M58" i="6" s="1"/>
  <c r="A59" i="6"/>
  <c r="A60" i="6"/>
  <c r="A61" i="6"/>
  <c r="A62" i="6"/>
  <c r="A63" i="6"/>
  <c r="A64" i="6"/>
  <c r="A65" i="6"/>
  <c r="A66" i="6"/>
  <c r="M66" i="6" s="1"/>
  <c r="A67" i="6"/>
  <c r="A68" i="6"/>
  <c r="A69" i="6"/>
  <c r="A3" i="6"/>
  <c r="G46" i="9" l="1"/>
  <c r="G42" i="9"/>
  <c r="G38" i="9"/>
  <c r="G34" i="9"/>
  <c r="G30" i="9"/>
  <c r="G26" i="9"/>
  <c r="G22" i="9"/>
  <c r="G18" i="9"/>
  <c r="G14" i="9"/>
  <c r="G10" i="9"/>
  <c r="G6" i="9"/>
  <c r="A44" i="9"/>
  <c r="A36" i="9"/>
  <c r="A28" i="9"/>
  <c r="A20" i="9"/>
  <c r="A12" i="9"/>
  <c r="A40" i="9"/>
  <c r="H36" i="9"/>
  <c r="H12" i="9"/>
  <c r="A25" i="9"/>
  <c r="G29" i="9"/>
  <c r="G13" i="9"/>
  <c r="A42" i="9"/>
  <c r="H46" i="9"/>
  <c r="H42" i="9"/>
  <c r="H38" i="9"/>
  <c r="H34" i="9"/>
  <c r="H30" i="9"/>
  <c r="H26" i="9"/>
  <c r="H22" i="9"/>
  <c r="H18" i="9"/>
  <c r="H14" i="9"/>
  <c r="H10" i="9"/>
  <c r="H6" i="9"/>
  <c r="A45" i="9"/>
  <c r="A37" i="9"/>
  <c r="A29" i="9"/>
  <c r="A21" i="9"/>
  <c r="A13" i="9"/>
  <c r="A5" i="9"/>
  <c r="G40" i="9"/>
  <c r="G28" i="9"/>
  <c r="G16" i="9"/>
  <c r="A48" i="9"/>
  <c r="H44" i="9"/>
  <c r="H24" i="9"/>
  <c r="A49" i="9"/>
  <c r="A9" i="9"/>
  <c r="G33" i="9"/>
  <c r="G9" i="9"/>
  <c r="A10" i="9"/>
  <c r="G47" i="9"/>
  <c r="G43" i="9"/>
  <c r="G39" i="9"/>
  <c r="G35" i="9"/>
  <c r="G31" i="9"/>
  <c r="G27" i="9"/>
  <c r="G23" i="9"/>
  <c r="G19" i="9"/>
  <c r="G15" i="9"/>
  <c r="G11" i="9"/>
  <c r="G7" i="9"/>
  <c r="A46" i="9"/>
  <c r="A38" i="9"/>
  <c r="A30" i="9"/>
  <c r="A22" i="9"/>
  <c r="A14" i="9"/>
  <c r="A6" i="9"/>
  <c r="H35" i="9"/>
  <c r="H19" i="9"/>
  <c r="H11" i="9"/>
  <c r="A47" i="9"/>
  <c r="A31" i="9"/>
  <c r="A15" i="9"/>
  <c r="G44" i="9"/>
  <c r="G32" i="9"/>
  <c r="G20" i="9"/>
  <c r="G8" i="9"/>
  <c r="A8" i="9"/>
  <c r="H28" i="9"/>
  <c r="H16" i="9"/>
  <c r="A41" i="9"/>
  <c r="G41" i="9"/>
  <c r="G21" i="9"/>
  <c r="A34" i="9"/>
  <c r="H47" i="9"/>
  <c r="H43" i="9"/>
  <c r="H39" i="9"/>
  <c r="H31" i="9"/>
  <c r="H27" i="9"/>
  <c r="H23" i="9"/>
  <c r="H15" i="9"/>
  <c r="H7" i="9"/>
  <c r="A39" i="9"/>
  <c r="A23" i="9"/>
  <c r="A7" i="9"/>
  <c r="G36" i="9"/>
  <c r="G24" i="9"/>
  <c r="G12" i="9"/>
  <c r="A24" i="9"/>
  <c r="H32" i="9"/>
  <c r="H20" i="9"/>
  <c r="A33" i="9"/>
  <c r="G45" i="9"/>
  <c r="G17" i="9"/>
  <c r="A26" i="9"/>
  <c r="G48" i="9"/>
  <c r="A16" i="9"/>
  <c r="A18" i="9"/>
  <c r="H48" i="9"/>
  <c r="G49" i="9"/>
  <c r="H49" i="9"/>
  <c r="H45" i="9"/>
  <c r="H41" i="9"/>
  <c r="H37" i="9"/>
  <c r="H33" i="9"/>
  <c r="H29" i="9"/>
  <c r="H25" i="9"/>
  <c r="H21" i="9"/>
  <c r="H17" i="9"/>
  <c r="H13" i="9"/>
  <c r="H9" i="9"/>
  <c r="H5" i="9"/>
  <c r="A43" i="9"/>
  <c r="A35" i="9"/>
  <c r="A27" i="9"/>
  <c r="A19" i="9"/>
  <c r="A11" i="9"/>
  <c r="A32" i="9"/>
  <c r="H40" i="9"/>
  <c r="H8" i="9"/>
  <c r="A17" i="9"/>
  <c r="G37" i="9"/>
  <c r="G25" i="9"/>
  <c r="G5" i="9"/>
  <c r="M67" i="6"/>
  <c r="N67" i="6" s="1"/>
  <c r="O67" i="6" s="1"/>
  <c r="M69" i="6"/>
  <c r="N69" i="6" s="1"/>
  <c r="O69" i="6" s="1"/>
  <c r="M68" i="6"/>
  <c r="N68" i="6" s="1"/>
  <c r="O68" i="6" s="1"/>
  <c r="C67" i="6"/>
  <c r="G67" i="6" s="1"/>
  <c r="E67" i="6"/>
  <c r="C68" i="6"/>
  <c r="G68" i="6" s="1"/>
  <c r="E68" i="6"/>
  <c r="C61" i="6"/>
  <c r="G61" i="6" s="1"/>
  <c r="E61" i="6"/>
  <c r="C45" i="6"/>
  <c r="G45" i="6" s="1"/>
  <c r="E45" i="6"/>
  <c r="C37" i="6"/>
  <c r="G37" i="6" s="1"/>
  <c r="E37" i="6"/>
  <c r="C21" i="6"/>
  <c r="M51" i="6"/>
  <c r="N51" i="6" s="1"/>
  <c r="O51" i="6" s="1"/>
  <c r="M43" i="6"/>
  <c r="N43" i="6" s="1"/>
  <c r="O43" i="6" s="1"/>
  <c r="M35" i="6"/>
  <c r="N35" i="6" s="1"/>
  <c r="O35" i="6" s="1"/>
  <c r="M27" i="6"/>
  <c r="N27" i="6" s="1"/>
  <c r="M19" i="6"/>
  <c r="N19" i="6" s="1"/>
  <c r="M11" i="6"/>
  <c r="N11" i="6" s="1"/>
  <c r="C62" i="6"/>
  <c r="G62" i="6" s="1"/>
  <c r="E62" i="6"/>
  <c r="C54" i="6"/>
  <c r="G54" i="6" s="1"/>
  <c r="E54" i="6"/>
  <c r="C46" i="6"/>
  <c r="G46" i="6" s="1"/>
  <c r="E46" i="6"/>
  <c r="C38" i="6"/>
  <c r="G38" i="6" s="1"/>
  <c r="E38" i="6"/>
  <c r="C30" i="6"/>
  <c r="C22" i="6"/>
  <c r="C14" i="6"/>
  <c r="M60" i="6"/>
  <c r="N60" i="6" s="1"/>
  <c r="O60" i="6" s="1"/>
  <c r="M44" i="6"/>
  <c r="N44" i="6" s="1"/>
  <c r="O44" i="6" s="1"/>
  <c r="M36" i="6"/>
  <c r="N36" i="6" s="1"/>
  <c r="O36" i="6" s="1"/>
  <c r="M28" i="6"/>
  <c r="N28" i="6" s="1"/>
  <c r="M20" i="6"/>
  <c r="N20" i="6" s="1"/>
  <c r="M12" i="6"/>
  <c r="N12" i="6" s="1"/>
  <c r="C63" i="6"/>
  <c r="G63" i="6" s="1"/>
  <c r="E63" i="6"/>
  <c r="F23" i="6"/>
  <c r="M59" i="6"/>
  <c r="N59" i="6" s="1"/>
  <c r="O59" i="6" s="1"/>
  <c r="M37" i="6"/>
  <c r="N37" i="6" s="1"/>
  <c r="O37" i="6" s="1"/>
  <c r="M21" i="6"/>
  <c r="N21" i="6" s="1"/>
  <c r="M13" i="6"/>
  <c r="N13" i="6" s="1"/>
  <c r="F64" i="6"/>
  <c r="E64" i="6"/>
  <c r="F48" i="6"/>
  <c r="E48" i="6"/>
  <c r="F32" i="6"/>
  <c r="F24" i="6"/>
  <c r="M45" i="6"/>
  <c r="N45" i="6" s="1"/>
  <c r="O45" i="6" s="1"/>
  <c r="M54" i="6"/>
  <c r="N54" i="6" s="1"/>
  <c r="O54" i="6" s="1"/>
  <c r="M30" i="6"/>
  <c r="N30" i="6" s="1"/>
  <c r="M22" i="6"/>
  <c r="N22" i="6" s="1"/>
  <c r="M14" i="6"/>
  <c r="N14" i="6" s="1"/>
  <c r="F57" i="6"/>
  <c r="E57" i="6"/>
  <c r="F49" i="6"/>
  <c r="E49" i="6"/>
  <c r="F25" i="6"/>
  <c r="F9" i="6"/>
  <c r="M52" i="6"/>
  <c r="N52" i="6" s="1"/>
  <c r="O52" i="6" s="1"/>
  <c r="M53" i="6"/>
  <c r="N53" i="6" s="1"/>
  <c r="O53" i="6" s="1"/>
  <c r="M38" i="6"/>
  <c r="N38" i="6" s="1"/>
  <c r="O38" i="6" s="1"/>
  <c r="M55" i="6"/>
  <c r="N55" i="6" s="1"/>
  <c r="O55" i="6" s="1"/>
  <c r="M31" i="6"/>
  <c r="N31" i="6" s="1"/>
  <c r="M23" i="6"/>
  <c r="N23" i="6" s="1"/>
  <c r="M15" i="6"/>
  <c r="N15" i="6" s="1"/>
  <c r="F58" i="6"/>
  <c r="E58" i="6"/>
  <c r="F50" i="6"/>
  <c r="E50" i="6"/>
  <c r="F26" i="6"/>
  <c r="C18" i="6"/>
  <c r="M61" i="6"/>
  <c r="N61" i="6" s="1"/>
  <c r="O61" i="6" s="1"/>
  <c r="M46" i="6"/>
  <c r="N46" i="6" s="1"/>
  <c r="O46" i="6" s="1"/>
  <c r="M39" i="6"/>
  <c r="N39" i="6" s="1"/>
  <c r="O39" i="6" s="1"/>
  <c r="M56" i="6"/>
  <c r="N56" i="6" s="1"/>
  <c r="O56" i="6" s="1"/>
  <c r="M48" i="6"/>
  <c r="N48" i="6" s="1"/>
  <c r="O48" i="6" s="1"/>
  <c r="M40" i="6"/>
  <c r="N40" i="6" s="1"/>
  <c r="O40" i="6" s="1"/>
  <c r="M32" i="6"/>
  <c r="N32" i="6" s="1"/>
  <c r="M24" i="6"/>
  <c r="N24" i="6" s="1"/>
  <c r="M16" i="6"/>
  <c r="N16" i="6" s="1"/>
  <c r="C59" i="6"/>
  <c r="G59" i="6" s="1"/>
  <c r="E59" i="6"/>
  <c r="C51" i="6"/>
  <c r="G51" i="6" s="1"/>
  <c r="E51" i="6"/>
  <c r="C11" i="6"/>
  <c r="M29" i="6"/>
  <c r="N29" i="6" s="1"/>
  <c r="M62" i="6"/>
  <c r="N62" i="6" s="1"/>
  <c r="O62" i="6" s="1"/>
  <c r="M63" i="6"/>
  <c r="N63" i="6" s="1"/>
  <c r="O63" i="6" s="1"/>
  <c r="M47" i="6"/>
  <c r="N47" i="6" s="1"/>
  <c r="O47" i="6" s="1"/>
  <c r="M64" i="6"/>
  <c r="N64" i="6" s="1"/>
  <c r="O64" i="6" s="1"/>
  <c r="M65" i="6"/>
  <c r="N65" i="6" s="1"/>
  <c r="O65" i="6" s="1"/>
  <c r="M57" i="6"/>
  <c r="N57" i="6" s="1"/>
  <c r="O57" i="6" s="1"/>
  <c r="M49" i="6"/>
  <c r="N49" i="6" s="1"/>
  <c r="O49" i="6" s="1"/>
  <c r="M41" i="6"/>
  <c r="N41" i="6" s="1"/>
  <c r="O41" i="6" s="1"/>
  <c r="M33" i="6"/>
  <c r="N33" i="6" s="1"/>
  <c r="O33" i="6" s="1"/>
  <c r="M25" i="6"/>
  <c r="N25" i="6" s="1"/>
  <c r="M17" i="6"/>
  <c r="N17" i="6" s="1"/>
  <c r="M9" i="6"/>
  <c r="N9" i="6" s="1"/>
  <c r="F52" i="6"/>
  <c r="E52" i="6"/>
  <c r="F36" i="6"/>
  <c r="E36" i="6"/>
  <c r="C5" i="6"/>
  <c r="C6" i="6"/>
  <c r="C3" i="6"/>
  <c r="C8" i="6"/>
  <c r="M4" i="6"/>
  <c r="N4" i="6" s="1"/>
  <c r="M5" i="6"/>
  <c r="N5" i="6" s="1"/>
  <c r="M3" i="6"/>
  <c r="N3" i="6" s="1"/>
  <c r="M6" i="6"/>
  <c r="N6" i="6" s="1"/>
  <c r="M7" i="6"/>
  <c r="N7" i="6" s="1"/>
  <c r="M8" i="6"/>
  <c r="N8" i="6" s="1"/>
  <c r="AR3" i="1"/>
  <c r="G27" i="5"/>
  <c r="G31" i="5"/>
  <c r="G34" i="5"/>
  <c r="G14" i="5"/>
  <c r="G17" i="5"/>
  <c r="G13" i="5"/>
  <c r="G41" i="5"/>
  <c r="G35" i="5"/>
  <c r="G37" i="5"/>
  <c r="G26" i="5"/>
  <c r="G6" i="5"/>
  <c r="G45" i="5"/>
  <c r="G49" i="5"/>
  <c r="G12" i="5"/>
  <c r="G32" i="5"/>
  <c r="G44" i="5"/>
  <c r="G30" i="5"/>
  <c r="G11" i="5"/>
  <c r="G21" i="5"/>
  <c r="G39" i="5"/>
  <c r="G40" i="5"/>
  <c r="G25" i="5"/>
  <c r="G10" i="5"/>
  <c r="G19" i="5"/>
  <c r="G29" i="5"/>
  <c r="G47" i="5"/>
  <c r="G48" i="5"/>
  <c r="G33" i="5"/>
  <c r="G18" i="5"/>
  <c r="G20" i="5"/>
  <c r="G22" i="5"/>
  <c r="G7" i="5"/>
  <c r="G8" i="5"/>
  <c r="G42" i="5"/>
  <c r="G28" i="5"/>
  <c r="G38" i="5"/>
  <c r="G15" i="5"/>
  <c r="G16" i="5"/>
  <c r="G50" i="5"/>
  <c r="G36" i="5"/>
  <c r="G46" i="5"/>
  <c r="G23" i="5"/>
  <c r="G24" i="5"/>
  <c r="G9" i="5"/>
  <c r="C40" i="6"/>
  <c r="G40" i="6" s="1"/>
  <c r="C27" i="6"/>
  <c r="C35" i="6"/>
  <c r="G35" i="6" s="1"/>
  <c r="F56" i="6"/>
  <c r="F40" i="6"/>
  <c r="F17" i="6"/>
  <c r="C42" i="6"/>
  <c r="G42" i="6" s="1"/>
  <c r="F42" i="6"/>
  <c r="F34" i="6"/>
  <c r="C34" i="6"/>
  <c r="G34" i="6" s="1"/>
  <c r="C26" i="6"/>
  <c r="F18" i="6"/>
  <c r="C10" i="6"/>
  <c r="F10" i="6"/>
  <c r="C43" i="6"/>
  <c r="G43" i="6" s="1"/>
  <c r="D66" i="6"/>
  <c r="N66" i="6"/>
  <c r="O66" i="6" s="1"/>
  <c r="D42" i="6"/>
  <c r="N42" i="6"/>
  <c r="O42" i="6" s="1"/>
  <c r="D34" i="6"/>
  <c r="N34" i="6"/>
  <c r="O34" i="6" s="1"/>
  <c r="D18" i="6"/>
  <c r="E18" i="6" s="1"/>
  <c r="N18" i="6"/>
  <c r="D58" i="6"/>
  <c r="N58" i="6"/>
  <c r="O58" i="6" s="1"/>
  <c r="F33" i="6"/>
  <c r="D50" i="6"/>
  <c r="N50" i="6"/>
  <c r="O50" i="6" s="1"/>
  <c r="D26" i="6"/>
  <c r="E26" i="6" s="1"/>
  <c r="N26" i="6"/>
  <c r="D10" i="6"/>
  <c r="E10" i="6" s="1"/>
  <c r="N10" i="6"/>
  <c r="C19" i="6"/>
  <c r="D67" i="6"/>
  <c r="D51" i="6"/>
  <c r="D43" i="6"/>
  <c r="D35" i="6"/>
  <c r="D27" i="6"/>
  <c r="E27" i="6" s="1"/>
  <c r="D19" i="6"/>
  <c r="E19" i="6" s="1"/>
  <c r="D11" i="6"/>
  <c r="E11" i="6" s="1"/>
  <c r="C50" i="6"/>
  <c r="G50" i="6" s="1"/>
  <c r="C58" i="6"/>
  <c r="G58" i="6" s="1"/>
  <c r="C66" i="6"/>
  <c r="G66" i="6" s="1"/>
  <c r="F66" i="6"/>
  <c r="D33" i="6"/>
  <c r="D28" i="6"/>
  <c r="E28" i="6" s="1"/>
  <c r="C56" i="6"/>
  <c r="G56" i="6" s="1"/>
  <c r="F65" i="6"/>
  <c r="D9" i="6"/>
  <c r="E9" i="6" s="1"/>
  <c r="F16" i="6"/>
  <c r="F47" i="6"/>
  <c r="D21" i="6"/>
  <c r="E21" i="6" s="1"/>
  <c r="D59" i="6"/>
  <c r="D69" i="6"/>
  <c r="D53" i="6"/>
  <c r="D29" i="6"/>
  <c r="E29" i="6" s="1"/>
  <c r="D13" i="6"/>
  <c r="E13" i="6" s="1"/>
  <c r="D5" i="6"/>
  <c r="E5" i="6" s="1"/>
  <c r="F8" i="6"/>
  <c r="D41" i="6"/>
  <c r="C48" i="6"/>
  <c r="G48" i="6" s="1"/>
  <c r="C69" i="6"/>
  <c r="G69" i="6" s="1"/>
  <c r="C16" i="6"/>
  <c r="C64" i="6"/>
  <c r="G64" i="6" s="1"/>
  <c r="C36" i="6"/>
  <c r="G36" i="6" s="1"/>
  <c r="C13" i="6"/>
  <c r="C23" i="6"/>
  <c r="F41" i="6"/>
  <c r="D45" i="6"/>
  <c r="C4" i="6"/>
  <c r="F12" i="6"/>
  <c r="F31" i="6"/>
  <c r="C53" i="6"/>
  <c r="G53" i="6" s="1"/>
  <c r="C29" i="6"/>
  <c r="C28" i="6"/>
  <c r="C39" i="6"/>
  <c r="G39" i="6" s="1"/>
  <c r="D61" i="6"/>
  <c r="C31" i="6"/>
  <c r="F44" i="6"/>
  <c r="F4" i="6"/>
  <c r="F39" i="6"/>
  <c r="C44" i="6"/>
  <c r="G44" i="6" s="1"/>
  <c r="D68" i="6"/>
  <c r="D52" i="6"/>
  <c r="D44" i="6"/>
  <c r="D36" i="6"/>
  <c r="D20" i="6"/>
  <c r="E20" i="6" s="1"/>
  <c r="D12" i="6"/>
  <c r="E12" i="6" s="1"/>
  <c r="D4" i="6"/>
  <c r="E4" i="6" s="1"/>
  <c r="C12" i="6"/>
  <c r="C47" i="6"/>
  <c r="G47" i="6" s="1"/>
  <c r="C52" i="6"/>
  <c r="G52" i="6" s="1"/>
  <c r="F60" i="6"/>
  <c r="C7" i="6"/>
  <c r="F15" i="6"/>
  <c r="F20" i="6"/>
  <c r="C24" i="6"/>
  <c r="F55" i="6"/>
  <c r="D60" i="6"/>
  <c r="D63" i="6"/>
  <c r="D55" i="6"/>
  <c r="D47" i="6"/>
  <c r="D39" i="6"/>
  <c r="D31" i="6"/>
  <c r="E31" i="6" s="1"/>
  <c r="D23" i="6"/>
  <c r="E23" i="6" s="1"/>
  <c r="D15" i="6"/>
  <c r="E15" i="6" s="1"/>
  <c r="D7" i="6"/>
  <c r="E7" i="6" s="1"/>
  <c r="F7" i="6"/>
  <c r="C15" i="6"/>
  <c r="C20" i="6"/>
  <c r="F28" i="6"/>
  <c r="C32" i="6"/>
  <c r="C55" i="6"/>
  <c r="G55" i="6" s="1"/>
  <c r="C60" i="6"/>
  <c r="G60" i="6" s="1"/>
  <c r="F63" i="6"/>
  <c r="F68" i="6"/>
  <c r="D57" i="6"/>
  <c r="D49" i="6"/>
  <c r="D25" i="6"/>
  <c r="E25" i="6" s="1"/>
  <c r="D17" i="6"/>
  <c r="E17" i="6" s="1"/>
  <c r="D3" i="6"/>
  <c r="E3" i="6" s="1"/>
  <c r="D37" i="6"/>
  <c r="D65" i="6"/>
  <c r="F6" i="6"/>
  <c r="D8" i="6"/>
  <c r="E8" i="6" s="1"/>
  <c r="C9" i="6"/>
  <c r="F14" i="6"/>
  <c r="D16" i="6"/>
  <c r="E16" i="6" s="1"/>
  <c r="C17" i="6"/>
  <c r="F22" i="6"/>
  <c r="D24" i="6"/>
  <c r="E24" i="6" s="1"/>
  <c r="C25" i="6"/>
  <c r="F30" i="6"/>
  <c r="D32" i="6"/>
  <c r="E32" i="6" s="1"/>
  <c r="C33" i="6"/>
  <c r="G33" i="6" s="1"/>
  <c r="F38" i="6"/>
  <c r="D40" i="6"/>
  <c r="C41" i="6"/>
  <c r="G41" i="6" s="1"/>
  <c r="F46" i="6"/>
  <c r="D48" i="6"/>
  <c r="C49" i="6"/>
  <c r="G49" i="6" s="1"/>
  <c r="F54" i="6"/>
  <c r="D56" i="6"/>
  <c r="C57" i="6"/>
  <c r="G57" i="6" s="1"/>
  <c r="F62" i="6"/>
  <c r="D64" i="6"/>
  <c r="C65" i="6"/>
  <c r="G65" i="6" s="1"/>
  <c r="F5" i="6"/>
  <c r="F13" i="6"/>
  <c r="F21" i="6"/>
  <c r="F29" i="6"/>
  <c r="F37" i="6"/>
  <c r="F45" i="6"/>
  <c r="F53" i="6"/>
  <c r="F61" i="6"/>
  <c r="D6" i="6"/>
  <c r="E6" i="6" s="1"/>
  <c r="D14" i="6"/>
  <c r="E14" i="6" s="1"/>
  <c r="D22" i="6"/>
  <c r="E22" i="6" s="1"/>
  <c r="D30" i="6"/>
  <c r="E30" i="6" s="1"/>
  <c r="D38" i="6"/>
  <c r="D46" i="6"/>
  <c r="D54" i="6"/>
  <c r="D62" i="6"/>
  <c r="F69" i="6"/>
  <c r="F3" i="6"/>
  <c r="F11" i="6"/>
  <c r="F19" i="6"/>
  <c r="F27" i="6"/>
  <c r="F35" i="6"/>
  <c r="F43" i="6"/>
  <c r="F51" i="6"/>
  <c r="F59" i="6"/>
  <c r="F67" i="6"/>
  <c r="G32" i="6" l="1"/>
  <c r="O31" i="6"/>
  <c r="O27" i="6"/>
  <c r="O29" i="6"/>
  <c r="O32" i="6"/>
  <c r="G29" i="6"/>
  <c r="G27" i="6"/>
  <c r="O24" i="6"/>
  <c r="O30" i="6"/>
  <c r="G24" i="6"/>
  <c r="G26" i="6"/>
  <c r="O25" i="6"/>
  <c r="G30" i="6"/>
  <c r="G28" i="6"/>
  <c r="G25" i="6"/>
  <c r="O28" i="6"/>
  <c r="G31" i="6"/>
  <c r="O26" i="6"/>
  <c r="O18" i="6"/>
  <c r="G20" i="6"/>
  <c r="O19" i="6"/>
  <c r="O13" i="6"/>
  <c r="G18" i="6"/>
  <c r="O20" i="6"/>
  <c r="O16" i="6"/>
  <c r="O17" i="6"/>
  <c r="O22" i="6"/>
  <c r="O15" i="6"/>
  <c r="O21" i="6"/>
  <c r="O14" i="6"/>
  <c r="G21" i="6"/>
  <c r="G22" i="6"/>
  <c r="G14" i="6"/>
  <c r="G17" i="6"/>
  <c r="O23" i="6"/>
  <c r="O9" i="6"/>
  <c r="G23" i="6"/>
  <c r="G16" i="6"/>
  <c r="G15" i="6"/>
  <c r="G19" i="6"/>
  <c r="O11" i="6"/>
  <c r="O7" i="6"/>
  <c r="O8" i="6"/>
  <c r="O3" i="6"/>
  <c r="O12" i="6"/>
  <c r="O4" i="6"/>
  <c r="O6" i="6"/>
  <c r="O5" i="6"/>
  <c r="O10" i="6"/>
  <c r="G3" i="6"/>
  <c r="G11" i="6"/>
  <c r="G13" i="6"/>
  <c r="G12" i="6"/>
  <c r="G10" i="6"/>
  <c r="G6" i="6"/>
  <c r="G5" i="6"/>
  <c r="G8" i="6"/>
  <c r="G4" i="6"/>
  <c r="G9" i="6"/>
  <c r="G7" i="6"/>
  <c r="R60" i="6" l="1"/>
  <c r="R28" i="6"/>
  <c r="L31" i="5" s="1"/>
  <c r="R46" i="6"/>
  <c r="L49" i="5" s="1"/>
  <c r="R12" i="6"/>
  <c r="L15" i="5" s="1"/>
  <c r="R13" i="6"/>
  <c r="L16" i="5" s="1"/>
  <c r="R29" i="6"/>
  <c r="L32" i="5" s="1"/>
  <c r="R45" i="6"/>
  <c r="L48" i="5" s="1"/>
  <c r="R61" i="6"/>
  <c r="R51" i="6"/>
  <c r="R64" i="6"/>
  <c r="R32" i="6"/>
  <c r="L35" i="5" s="1"/>
  <c r="R50" i="6"/>
  <c r="R16" i="6"/>
  <c r="L19" i="5" s="1"/>
  <c r="R11" i="6"/>
  <c r="L14" i="5" s="1"/>
  <c r="R27" i="6"/>
  <c r="L30" i="5" s="1"/>
  <c r="R43" i="6"/>
  <c r="L46" i="5" s="1"/>
  <c r="R59" i="6"/>
  <c r="R53" i="6"/>
  <c r="R48" i="6"/>
  <c r="R66" i="6"/>
  <c r="R19" i="6"/>
  <c r="L22" i="5" s="1"/>
  <c r="R36" i="6"/>
  <c r="L39" i="5" s="1"/>
  <c r="R54" i="6"/>
  <c r="R20" i="6"/>
  <c r="L23" i="5" s="1"/>
  <c r="R9" i="6"/>
  <c r="L12" i="5" s="1"/>
  <c r="R25" i="6"/>
  <c r="L28" i="5" s="1"/>
  <c r="R41" i="6"/>
  <c r="L44" i="5" s="1"/>
  <c r="R57" i="6"/>
  <c r="R68" i="6"/>
  <c r="R3" i="6"/>
  <c r="L6" i="5" s="1"/>
  <c r="R67" i="6"/>
  <c r="R40" i="6"/>
  <c r="L43" i="5" s="1"/>
  <c r="R6" i="6"/>
  <c r="L9" i="5" s="1"/>
  <c r="R58" i="6"/>
  <c r="R26" i="6"/>
  <c r="L29" i="5" s="1"/>
  <c r="R7" i="6"/>
  <c r="L10" i="5" s="1"/>
  <c r="R23" i="6"/>
  <c r="L26" i="5" s="1"/>
  <c r="R39" i="6"/>
  <c r="L42" i="5" s="1"/>
  <c r="R55" i="6"/>
  <c r="R44" i="6"/>
  <c r="L47" i="5" s="1"/>
  <c r="R10" i="6"/>
  <c r="L13" i="5" s="1"/>
  <c r="R62" i="6"/>
  <c r="R30" i="6"/>
  <c r="L33" i="5" s="1"/>
  <c r="R5" i="6"/>
  <c r="L8" i="5" s="1"/>
  <c r="R21" i="6"/>
  <c r="L24" i="5" s="1"/>
  <c r="R37" i="6"/>
  <c r="L40" i="5" s="1"/>
  <c r="R69" i="6"/>
  <c r="R4" i="6"/>
  <c r="L7" i="5" s="1"/>
  <c r="R14" i="6"/>
  <c r="L17" i="5" s="1"/>
  <c r="R34" i="6"/>
  <c r="L37" i="5" s="1"/>
  <c r="R35" i="6"/>
  <c r="L38" i="5" s="1"/>
  <c r="R52" i="6"/>
  <c r="R65" i="6"/>
  <c r="R18" i="6"/>
  <c r="L21" i="5" s="1"/>
  <c r="R15" i="6"/>
  <c r="L18" i="5" s="1"/>
  <c r="R56" i="6"/>
  <c r="R8" i="6"/>
  <c r="L11" i="5" s="1"/>
  <c r="R63" i="6"/>
  <c r="R24" i="6"/>
  <c r="L27" i="5" s="1"/>
  <c r="R38" i="6"/>
  <c r="L41" i="5" s="1"/>
  <c r="R49" i="6"/>
  <c r="R17" i="6"/>
  <c r="L20" i="5" s="1"/>
  <c r="R42" i="6"/>
  <c r="L45" i="5" s="1"/>
  <c r="R47" i="6"/>
  <c r="L50" i="5" s="1"/>
  <c r="R22" i="6"/>
  <c r="L25" i="5" s="1"/>
  <c r="R33" i="6"/>
  <c r="L36" i="5" s="1"/>
  <c r="R31" i="6"/>
  <c r="L34" i="5" s="1"/>
  <c r="J11" i="6"/>
  <c r="M14" i="5" s="1"/>
  <c r="J56" i="6"/>
  <c r="J24" i="6"/>
  <c r="M27" i="5" s="1"/>
  <c r="K48" i="6"/>
  <c r="K24" i="6"/>
  <c r="N27" i="5" s="1"/>
  <c r="K23" i="6"/>
  <c r="N26" i="5" s="1"/>
  <c r="K69" i="6"/>
  <c r="K8" i="6"/>
  <c r="N11" i="5" s="1"/>
  <c r="K33" i="6"/>
  <c r="N36" i="5" s="1"/>
  <c r="FB36" i="5" s="1"/>
  <c r="FC36" i="5" s="1"/>
  <c r="BO36" i="5" s="1"/>
  <c r="K7" i="6"/>
  <c r="N10" i="5" s="1"/>
  <c r="K37" i="6"/>
  <c r="N40" i="5" s="1"/>
  <c r="FB40" i="5" s="1"/>
  <c r="FC40" i="5" s="1"/>
  <c r="BO40" i="5" s="1"/>
  <c r="J33" i="6"/>
  <c r="M36" i="5" s="1"/>
  <c r="J28" i="6"/>
  <c r="M31" i="5" s="1"/>
  <c r="K53" i="6"/>
  <c r="K25" i="6"/>
  <c r="N28" i="5" s="1"/>
  <c r="J17" i="6"/>
  <c r="M20" i="5" s="1"/>
  <c r="K47" i="6"/>
  <c r="N50" i="5" s="1"/>
  <c r="FB50" i="5" s="1"/>
  <c r="FC50" i="5" s="1"/>
  <c r="BO50" i="5" s="1"/>
  <c r="K56" i="6"/>
  <c r="J27" i="6"/>
  <c r="M30" i="5" s="1"/>
  <c r="J65" i="6"/>
  <c r="K44" i="6"/>
  <c r="N47" i="5" s="1"/>
  <c r="FB47" i="5" s="1"/>
  <c r="FC47" i="5" s="1"/>
  <c r="BO47" i="5" s="1"/>
  <c r="K30" i="6"/>
  <c r="N33" i="5" s="1"/>
  <c r="K52" i="6"/>
  <c r="K41" i="6"/>
  <c r="N44" i="5" s="1"/>
  <c r="FB44" i="5" s="1"/>
  <c r="FC44" i="5" s="1"/>
  <c r="BO44" i="5" s="1"/>
  <c r="K13" i="6"/>
  <c r="N16" i="5" s="1"/>
  <c r="K50" i="6"/>
  <c r="J60" i="6"/>
  <c r="K64" i="6"/>
  <c r="J5" i="6"/>
  <c r="M8" i="5" s="1"/>
  <c r="J51" i="6"/>
  <c r="K15" i="6"/>
  <c r="N18" i="5" s="1"/>
  <c r="K55" i="6"/>
  <c r="J21" i="6"/>
  <c r="M24" i="5" s="1"/>
  <c r="J49" i="6"/>
  <c r="J19" i="6"/>
  <c r="M22" i="5" s="1"/>
  <c r="K39" i="6"/>
  <c r="N42" i="5" s="1"/>
  <c r="FB42" i="5" s="1"/>
  <c r="FC42" i="5" s="1"/>
  <c r="BO42" i="5" s="1"/>
  <c r="K17" i="6"/>
  <c r="N20" i="5" s="1"/>
  <c r="J29" i="6"/>
  <c r="M32" i="5" s="1"/>
  <c r="K58" i="6"/>
  <c r="K22" i="6"/>
  <c r="N25" i="5" s="1"/>
  <c r="J4" i="6"/>
  <c r="M7" i="5" s="1"/>
  <c r="J67" i="6"/>
  <c r="J12" i="6"/>
  <c r="M15" i="5" s="1"/>
  <c r="K26" i="6"/>
  <c r="N29" i="5" s="1"/>
  <c r="K45" i="6"/>
  <c r="N48" i="5" s="1"/>
  <c r="FB48" i="5" s="1"/>
  <c r="FC48" i="5" s="1"/>
  <c r="BO48" i="5" s="1"/>
  <c r="J47" i="6"/>
  <c r="M50" i="5" s="1"/>
  <c r="J69" i="6"/>
  <c r="J58" i="6"/>
  <c r="J23" i="6"/>
  <c r="M26" i="5" s="1"/>
  <c r="J45" i="6"/>
  <c r="M48" i="5" s="1"/>
  <c r="J66" i="6"/>
  <c r="J63" i="6"/>
  <c r="K51" i="6"/>
  <c r="J10" i="6"/>
  <c r="M13" i="5" s="1"/>
  <c r="K28" i="6"/>
  <c r="N31" i="5" s="1"/>
  <c r="K49" i="6"/>
  <c r="J61" i="6"/>
  <c r="K32" i="6"/>
  <c r="N35" i="5" s="1"/>
  <c r="J68" i="6"/>
  <c r="K40" i="6"/>
  <c r="N43" i="5" s="1"/>
  <c r="FB43" i="5" s="1"/>
  <c r="FC43" i="5" s="1"/>
  <c r="BO43" i="5" s="1"/>
  <c r="K61" i="6"/>
  <c r="K16" i="6"/>
  <c r="N19" i="5" s="1"/>
  <c r="J25" i="6"/>
  <c r="M28" i="5" s="1"/>
  <c r="J46" i="6"/>
  <c r="M49" i="5" s="1"/>
  <c r="K35" i="6"/>
  <c r="N38" i="5" s="1"/>
  <c r="FB38" i="5" s="1"/>
  <c r="FC38" i="5" s="1"/>
  <c r="BO38" i="5" s="1"/>
  <c r="K14" i="6"/>
  <c r="N17" i="5" s="1"/>
  <c r="K11" i="6"/>
  <c r="N14" i="5" s="1"/>
  <c r="J64" i="6"/>
  <c r="J42" i="6"/>
  <c r="M45" i="5" s="1"/>
  <c r="K60" i="6"/>
  <c r="J39" i="6"/>
  <c r="M42" i="5" s="1"/>
  <c r="J37" i="6"/>
  <c r="M40" i="5" s="1"/>
  <c r="J8" i="6"/>
  <c r="M11" i="5" s="1"/>
  <c r="J13" i="6"/>
  <c r="M16" i="5" s="1"/>
  <c r="J3" i="6"/>
  <c r="M6" i="5" s="1"/>
  <c r="J32" i="6"/>
  <c r="M35" i="5" s="1"/>
  <c r="J57" i="6"/>
  <c r="J35" i="6"/>
  <c r="M38" i="5" s="1"/>
  <c r="K4" i="6"/>
  <c r="N7" i="5" s="1"/>
  <c r="J54" i="6"/>
  <c r="J41" i="6"/>
  <c r="M44" i="5" s="1"/>
  <c r="K31" i="6"/>
  <c r="N34" i="5" s="1"/>
  <c r="K38" i="6"/>
  <c r="N41" i="5" s="1"/>
  <c r="FB41" i="5" s="1"/>
  <c r="FC41" i="5" s="1"/>
  <c r="BO41" i="5" s="1"/>
  <c r="K27" i="6"/>
  <c r="N30" i="5" s="1"/>
  <c r="J7" i="6"/>
  <c r="M10" i="5" s="1"/>
  <c r="K3" i="6"/>
  <c r="N6" i="5" s="1"/>
  <c r="J26" i="6"/>
  <c r="M29" i="5" s="1"/>
  <c r="J55" i="6"/>
  <c r="J34" i="6"/>
  <c r="M37" i="5" s="1"/>
  <c r="J31" i="6"/>
  <c r="M34" i="5" s="1"/>
  <c r="J53" i="6"/>
  <c r="J18" i="6"/>
  <c r="M21" i="5" s="1"/>
  <c r="K36" i="6"/>
  <c r="N39" i="5" s="1"/>
  <c r="FB39" i="5" s="1"/>
  <c r="FC39" i="5" s="1"/>
  <c r="BO39" i="5" s="1"/>
  <c r="J43" i="6"/>
  <c r="M46" i="5" s="1"/>
  <c r="K12" i="6"/>
  <c r="N15" i="5" s="1"/>
  <c r="J15" i="6"/>
  <c r="M18" i="5" s="1"/>
  <c r="J40" i="6"/>
  <c r="M43" i="5" s="1"/>
  <c r="K20" i="6"/>
  <c r="N23" i="5" s="1"/>
  <c r="K9" i="6"/>
  <c r="N12" i="5" s="1"/>
  <c r="J48" i="6"/>
  <c r="K63" i="6"/>
  <c r="J20" i="6"/>
  <c r="M23" i="5" s="1"/>
  <c r="J6" i="6"/>
  <c r="M9" i="5" s="1"/>
  <c r="K42" i="6"/>
  <c r="N45" i="5" s="1"/>
  <c r="FB45" i="5" s="1"/>
  <c r="FC45" i="5" s="1"/>
  <c r="BO45" i="5" s="1"/>
  <c r="K59" i="6"/>
  <c r="K67" i="6"/>
  <c r="J22" i="6"/>
  <c r="M25" i="5" s="1"/>
  <c r="K43" i="6"/>
  <c r="N46" i="5" s="1"/>
  <c r="FB46" i="5" s="1"/>
  <c r="FC46" i="5" s="1"/>
  <c r="BO46" i="5" s="1"/>
  <c r="K18" i="6"/>
  <c r="N21" i="5" s="1"/>
  <c r="K19" i="6"/>
  <c r="N22" i="5" s="1"/>
  <c r="K6" i="6"/>
  <c r="N9" i="5" s="1"/>
  <c r="J50" i="6"/>
  <c r="K68" i="6"/>
  <c r="K57" i="6"/>
  <c r="K54" i="6"/>
  <c r="K65" i="6"/>
  <c r="K62" i="6"/>
  <c r="J59" i="6"/>
  <c r="J30" i="6"/>
  <c r="M33" i="5" s="1"/>
  <c r="K5" i="6"/>
  <c r="N8" i="5" s="1"/>
  <c r="K34" i="6"/>
  <c r="N37" i="5" s="1"/>
  <c r="FB37" i="5" s="1"/>
  <c r="FC37" i="5" s="1"/>
  <c r="BO37" i="5" s="1"/>
  <c r="J52" i="6"/>
  <c r="J38" i="6"/>
  <c r="M41" i="5" s="1"/>
  <c r="J14" i="6"/>
  <c r="M17" i="5" s="1"/>
  <c r="K66" i="6"/>
  <c r="J16" i="6"/>
  <c r="M19" i="5" s="1"/>
  <c r="J9" i="6"/>
  <c r="M12" i="5" s="1"/>
  <c r="J62" i="6"/>
  <c r="K46" i="6"/>
  <c r="N49" i="5" s="1"/>
  <c r="FB49" i="5" s="1"/>
  <c r="FC49" i="5" s="1"/>
  <c r="BO49" i="5" s="1"/>
  <c r="K21" i="6"/>
  <c r="N24" i="5" s="1"/>
  <c r="J36" i="6"/>
  <c r="M39" i="5" s="1"/>
  <c r="K10" i="6"/>
  <c r="N13" i="5" s="1"/>
  <c r="K29" i="6"/>
  <c r="N32" i="5" s="1"/>
  <c r="J44" i="6"/>
  <c r="M47" i="5" s="1"/>
  <c r="BQ37" i="5" l="1"/>
  <c r="BP37" i="5"/>
  <c r="FA31" i="5"/>
  <c r="FB31" i="5"/>
  <c r="FC31" i="5" s="1"/>
  <c r="BO31" i="5" s="1"/>
  <c r="FA29" i="5"/>
  <c r="FB29" i="5"/>
  <c r="FC29" i="5" s="1"/>
  <c r="BO29" i="5" s="1"/>
  <c r="FA34" i="5"/>
  <c r="FB34" i="5"/>
  <c r="FC34" i="5" s="1"/>
  <c r="BO34" i="5" s="1"/>
  <c r="FA14" i="5"/>
  <c r="FB14" i="5"/>
  <c r="FA16" i="5"/>
  <c r="FB16" i="5"/>
  <c r="BQ41" i="5"/>
  <c r="BP41" i="5"/>
  <c r="FA26" i="5"/>
  <c r="FB26" i="5"/>
  <c r="FB32" i="5"/>
  <c r="FC32" i="5" s="1"/>
  <c r="BO32" i="5" s="1"/>
  <c r="FA32" i="5"/>
  <c r="FA7" i="5"/>
  <c r="FB7" i="5"/>
  <c r="FA35" i="5"/>
  <c r="FB35" i="5"/>
  <c r="FC35" i="5" s="1"/>
  <c r="BO35" i="5" s="1"/>
  <c r="FA25" i="5"/>
  <c r="FB25" i="5"/>
  <c r="BQ45" i="5"/>
  <c r="BP45" i="5"/>
  <c r="FA24" i="5"/>
  <c r="FB24" i="5"/>
  <c r="FA22" i="5"/>
  <c r="FB22" i="5"/>
  <c r="BP44" i="5"/>
  <c r="BQ44" i="5"/>
  <c r="FB6" i="5"/>
  <c r="FA6" i="5"/>
  <c r="BQ48" i="5"/>
  <c r="BP48" i="5"/>
  <c r="FA27" i="5"/>
  <c r="FB27" i="5"/>
  <c r="BQ49" i="5"/>
  <c r="BP49" i="5"/>
  <c r="BP47" i="5"/>
  <c r="BQ47" i="5"/>
  <c r="FA10" i="5"/>
  <c r="FB10" i="5"/>
  <c r="FA17" i="5"/>
  <c r="FB17" i="5"/>
  <c r="FA23" i="5"/>
  <c r="FB23" i="5"/>
  <c r="FA20" i="5"/>
  <c r="FB20" i="5"/>
  <c r="FA12" i="5"/>
  <c r="FB12" i="5"/>
  <c r="FA19" i="5"/>
  <c r="FB19" i="5"/>
  <c r="FA13" i="5"/>
  <c r="FB13" i="5"/>
  <c r="BQ39" i="5"/>
  <c r="BP39" i="5"/>
  <c r="BP46" i="5"/>
  <c r="BQ46" i="5"/>
  <c r="FA15" i="5"/>
  <c r="FB15" i="5"/>
  <c r="BQ50" i="5"/>
  <c r="BP50" i="5"/>
  <c r="BQ40" i="5"/>
  <c r="BP40" i="5"/>
  <c r="FA11" i="5"/>
  <c r="FB11" i="5"/>
  <c r="FA30" i="5"/>
  <c r="FB30" i="5"/>
  <c r="FC30" i="5" s="1"/>
  <c r="BO30" i="5" s="1"/>
  <c r="FA18" i="5"/>
  <c r="FB18" i="5"/>
  <c r="FA9" i="5"/>
  <c r="FB9" i="5"/>
  <c r="BQ36" i="5"/>
  <c r="BP36" i="5"/>
  <c r="FB28" i="5"/>
  <c r="FC28" i="5" s="1"/>
  <c r="BO28" i="5" s="1"/>
  <c r="FA28" i="5"/>
  <c r="FA8" i="5"/>
  <c r="FB8" i="5"/>
  <c r="FA21" i="5"/>
  <c r="FB21" i="5"/>
  <c r="BP38" i="5"/>
  <c r="BQ38" i="5"/>
  <c r="BP43" i="5"/>
  <c r="BQ43" i="5"/>
  <c r="BP42" i="5"/>
  <c r="BQ42" i="5"/>
  <c r="FA33" i="5"/>
  <c r="FB33" i="5"/>
  <c r="FC33" i="5" s="1"/>
  <c r="BO33" i="5" s="1"/>
  <c r="FC24" i="5" l="1"/>
  <c r="BO24" i="5" s="1"/>
  <c r="BP24" i="5" s="1"/>
  <c r="FC27" i="5"/>
  <c r="BO27" i="5" s="1"/>
  <c r="BQ27" i="5" s="1"/>
  <c r="FC22" i="5"/>
  <c r="BO22" i="5" s="1"/>
  <c r="BP22" i="5" s="1"/>
  <c r="FC23" i="5"/>
  <c r="BO23" i="5" s="1"/>
  <c r="FC25" i="5"/>
  <c r="BO25" i="5" s="1"/>
  <c r="FC26" i="5"/>
  <c r="BO26" i="5" s="1"/>
  <c r="FC20" i="5"/>
  <c r="BO20" i="5" s="1"/>
  <c r="BP20" i="5" s="1"/>
  <c r="FC16" i="5"/>
  <c r="BO16" i="5" s="1"/>
  <c r="BQ16" i="5" s="1"/>
  <c r="FC19" i="5"/>
  <c r="BO19" i="5" s="1"/>
  <c r="BP19" i="5" s="1"/>
  <c r="FC21" i="5"/>
  <c r="BO21" i="5" s="1"/>
  <c r="BP21" i="5" s="1"/>
  <c r="FC17" i="5"/>
  <c r="BO17" i="5" s="1"/>
  <c r="BP17" i="5" s="1"/>
  <c r="FC18" i="5"/>
  <c r="BO18" i="5" s="1"/>
  <c r="BP18" i="5" s="1"/>
  <c r="FC15" i="5"/>
  <c r="BO15" i="5" s="1"/>
  <c r="BQ15" i="5" s="1"/>
  <c r="FC14" i="5"/>
  <c r="BO14" i="5" s="1"/>
  <c r="BP14" i="5" s="1"/>
  <c r="FC12" i="5"/>
  <c r="BO12" i="5" s="1"/>
  <c r="BP12" i="5" s="1"/>
  <c r="FC13" i="5"/>
  <c r="BO13" i="5" s="1"/>
  <c r="BQ13" i="5" s="1"/>
  <c r="FC8" i="5"/>
  <c r="BO8" i="5" s="1"/>
  <c r="BP8" i="5" s="1"/>
  <c r="BQ33" i="5"/>
  <c r="BP33" i="5"/>
  <c r="BP31" i="5"/>
  <c r="BQ31" i="5"/>
  <c r="BP28" i="5"/>
  <c r="BQ28" i="5"/>
  <c r="FC10" i="5"/>
  <c r="BO10" i="5" s="1"/>
  <c r="FC7" i="5"/>
  <c r="BO7" i="5" s="1"/>
  <c r="BQ25" i="5"/>
  <c r="BP25" i="5"/>
  <c r="BP30" i="5"/>
  <c r="BQ30" i="5"/>
  <c r="BP35" i="5"/>
  <c r="BQ35" i="5"/>
  <c r="BQ29" i="5"/>
  <c r="BP29" i="5"/>
  <c r="FC6" i="5"/>
  <c r="BO6" i="5" s="1"/>
  <c r="FC9" i="5"/>
  <c r="BO9" i="5" s="1"/>
  <c r="FC11" i="5"/>
  <c r="BO11" i="5" s="1"/>
  <c r="BQ23" i="5"/>
  <c r="BP23" i="5"/>
  <c r="BQ32" i="5"/>
  <c r="BP32" i="5"/>
  <c r="BQ26" i="5"/>
  <c r="BP26" i="5"/>
  <c r="BQ34" i="5"/>
  <c r="BP34" i="5"/>
  <c r="BQ22" i="5" l="1"/>
  <c r="BQ24" i="5"/>
  <c r="BP27" i="5"/>
  <c r="BQ19" i="5"/>
  <c r="BQ21" i="5"/>
  <c r="BQ17" i="5"/>
  <c r="BQ18" i="5"/>
  <c r="BP16" i="5"/>
  <c r="BQ20" i="5"/>
  <c r="BQ12" i="5"/>
  <c r="BQ14" i="5"/>
  <c r="BP13" i="5"/>
  <c r="BP15" i="5"/>
  <c r="BQ8" i="5"/>
  <c r="BQ7" i="5"/>
  <c r="BP7" i="5"/>
  <c r="BP6" i="5"/>
  <c r="BQ6" i="5"/>
  <c r="BQ9" i="5"/>
  <c r="BP9" i="5"/>
  <c r="BP11" i="5"/>
  <c r="BQ11" i="5"/>
  <c r="BQ10" i="5"/>
  <c r="BP10" i="5"/>
  <c r="B4" i="3" l="1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E33" i="3" s="1"/>
  <c r="B34" i="3"/>
  <c r="B35" i="3"/>
  <c r="B36" i="3"/>
  <c r="B37" i="3"/>
  <c r="E37" i="3" s="1"/>
  <c r="B38" i="3"/>
  <c r="B39" i="3"/>
  <c r="E39" i="3" s="1"/>
  <c r="B40" i="3"/>
  <c r="B41" i="3"/>
  <c r="E41" i="3" s="1"/>
  <c r="B42" i="3"/>
  <c r="B43" i="3"/>
  <c r="E43" i="3" s="1"/>
  <c r="B44" i="3"/>
  <c r="E44" i="3" s="1"/>
  <c r="B45" i="3"/>
  <c r="B46" i="3"/>
  <c r="B47" i="3"/>
  <c r="B48" i="3"/>
  <c r="E48" i="3" s="1"/>
  <c r="B49" i="3"/>
  <c r="B50" i="3"/>
  <c r="B51" i="3"/>
  <c r="B52" i="3"/>
  <c r="B53" i="3"/>
  <c r="B54" i="3"/>
  <c r="B55" i="3"/>
  <c r="B56" i="3"/>
  <c r="E56" i="3" s="1"/>
  <c r="B57" i="3"/>
  <c r="E57" i="3" s="1"/>
  <c r="B58" i="3"/>
  <c r="B59" i="3"/>
  <c r="E59" i="3" s="1"/>
  <c r="B60" i="3"/>
  <c r="B61" i="3"/>
  <c r="B62" i="3"/>
  <c r="B63" i="3"/>
  <c r="E63" i="3" s="1"/>
  <c r="B64" i="3"/>
  <c r="E64" i="3" s="1"/>
  <c r="B65" i="3"/>
  <c r="B66" i="3"/>
  <c r="B67" i="3"/>
  <c r="E67" i="3" s="1"/>
  <c r="B68" i="3"/>
  <c r="E68" i="3" s="1"/>
  <c r="B69" i="3"/>
  <c r="B3" i="3"/>
  <c r="A4" i="3"/>
  <c r="A5" i="3"/>
  <c r="A6" i="3"/>
  <c r="A7" i="3"/>
  <c r="A8" i="3"/>
  <c r="A9" i="3"/>
  <c r="M9" i="3" s="1"/>
  <c r="N9" i="3" s="1"/>
  <c r="A10" i="3"/>
  <c r="A11" i="3"/>
  <c r="M11" i="3" s="1"/>
  <c r="N11" i="3" s="1"/>
  <c r="A12" i="3"/>
  <c r="A13" i="3"/>
  <c r="A14" i="3"/>
  <c r="A15" i="3"/>
  <c r="A16" i="3"/>
  <c r="M16" i="3" s="1"/>
  <c r="N16" i="3" s="1"/>
  <c r="A17" i="3"/>
  <c r="M17" i="3" s="1"/>
  <c r="N17" i="3" s="1"/>
  <c r="A18" i="3"/>
  <c r="A19" i="3"/>
  <c r="A20" i="3"/>
  <c r="A21" i="3"/>
  <c r="A22" i="3"/>
  <c r="A23" i="3"/>
  <c r="A24" i="3"/>
  <c r="A25" i="3"/>
  <c r="M25" i="3" s="1"/>
  <c r="N25" i="3" s="1"/>
  <c r="A26" i="3"/>
  <c r="A27" i="3"/>
  <c r="A28" i="3"/>
  <c r="A29" i="3"/>
  <c r="A30" i="3"/>
  <c r="A31" i="3"/>
  <c r="A32" i="3"/>
  <c r="M32" i="3" s="1"/>
  <c r="N32" i="3" s="1"/>
  <c r="A33" i="3"/>
  <c r="M33" i="3" s="1"/>
  <c r="N33" i="3" s="1"/>
  <c r="A34" i="3"/>
  <c r="A35" i="3"/>
  <c r="A36" i="3"/>
  <c r="A37" i="3"/>
  <c r="A38" i="3"/>
  <c r="A39" i="3"/>
  <c r="A40" i="3"/>
  <c r="M40" i="3" s="1"/>
  <c r="N40" i="3" s="1"/>
  <c r="A41" i="3"/>
  <c r="M41" i="3" s="1"/>
  <c r="N41" i="3" s="1"/>
  <c r="A42" i="3"/>
  <c r="A43" i="3"/>
  <c r="A44" i="3"/>
  <c r="A45" i="3"/>
  <c r="A46" i="3"/>
  <c r="A47" i="3"/>
  <c r="A48" i="3"/>
  <c r="A49" i="3"/>
  <c r="M49" i="3" s="1"/>
  <c r="N49" i="3" s="1"/>
  <c r="A50" i="3"/>
  <c r="A51" i="3"/>
  <c r="A52" i="3"/>
  <c r="A53" i="3"/>
  <c r="A54" i="3"/>
  <c r="A55" i="3"/>
  <c r="A56" i="3"/>
  <c r="A57" i="3"/>
  <c r="M57" i="3" s="1"/>
  <c r="N57" i="3" s="1"/>
  <c r="A58" i="3"/>
  <c r="A59" i="3"/>
  <c r="A60" i="3"/>
  <c r="A61" i="3"/>
  <c r="A62" i="3"/>
  <c r="A63" i="3"/>
  <c r="A64" i="3"/>
  <c r="A65" i="3"/>
  <c r="M65" i="3" s="1"/>
  <c r="N65" i="3" s="1"/>
  <c r="A66" i="3"/>
  <c r="A67" i="3"/>
  <c r="A68" i="3"/>
  <c r="A69" i="3"/>
  <c r="A3" i="3"/>
  <c r="B4" i="2"/>
  <c r="B5" i="2"/>
  <c r="C5" i="2" s="1"/>
  <c r="B6" i="2"/>
  <c r="B7" i="2"/>
  <c r="B8" i="2"/>
  <c r="B9" i="2"/>
  <c r="B10" i="2"/>
  <c r="M10" i="2" s="1"/>
  <c r="N10" i="2" s="1"/>
  <c r="B11" i="2"/>
  <c r="B12" i="2"/>
  <c r="B13" i="2"/>
  <c r="C13" i="2" s="1"/>
  <c r="B14" i="2"/>
  <c r="B15" i="2"/>
  <c r="B16" i="2"/>
  <c r="B17" i="2"/>
  <c r="B18" i="2"/>
  <c r="B19" i="2"/>
  <c r="B20" i="2"/>
  <c r="B21" i="2"/>
  <c r="F21" i="2" s="1"/>
  <c r="B22" i="2"/>
  <c r="F22" i="2" s="1"/>
  <c r="B23" i="2"/>
  <c r="B24" i="2"/>
  <c r="B25" i="2"/>
  <c r="B26" i="2"/>
  <c r="B27" i="2"/>
  <c r="B28" i="2"/>
  <c r="B29" i="2"/>
  <c r="B30" i="2"/>
  <c r="B31" i="2"/>
  <c r="F31" i="2" s="1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F45" i="2" s="1"/>
  <c r="B46" i="2"/>
  <c r="C46" i="2" s="1"/>
  <c r="G46" i="2" s="1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F69" i="2" s="1"/>
  <c r="B3" i="2"/>
  <c r="A5" i="2"/>
  <c r="A6" i="2"/>
  <c r="A7" i="2"/>
  <c r="A8" i="2"/>
  <c r="A9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4" i="2"/>
  <c r="A3" i="2"/>
  <c r="F9" i="3"/>
  <c r="M66" i="3" l="1"/>
  <c r="N66" i="3" s="1"/>
  <c r="O66" i="3" s="1"/>
  <c r="F69" i="3"/>
  <c r="E69" i="3"/>
  <c r="M67" i="3"/>
  <c r="N67" i="3" s="1"/>
  <c r="O67" i="3" s="1"/>
  <c r="M68" i="3"/>
  <c r="N68" i="3" s="1"/>
  <c r="O68" i="3" s="1"/>
  <c r="M69" i="3"/>
  <c r="N69" i="3" s="1"/>
  <c r="O69" i="3" s="1"/>
  <c r="F66" i="3"/>
  <c r="E66" i="3"/>
  <c r="F60" i="3"/>
  <c r="E60" i="3"/>
  <c r="C52" i="3"/>
  <c r="G52" i="3" s="1"/>
  <c r="E52" i="3"/>
  <c r="C36" i="3"/>
  <c r="G36" i="3" s="1"/>
  <c r="E36" i="3"/>
  <c r="F28" i="3"/>
  <c r="C20" i="3"/>
  <c r="C4" i="3"/>
  <c r="M58" i="3"/>
  <c r="N58" i="3" s="1"/>
  <c r="O58" i="3" s="1"/>
  <c r="M50" i="3"/>
  <c r="M42" i="3"/>
  <c r="N42" i="3" s="1"/>
  <c r="O42" i="3" s="1"/>
  <c r="M34" i="3"/>
  <c r="N34" i="3" s="1"/>
  <c r="O34" i="3" s="1"/>
  <c r="M26" i="3"/>
  <c r="N26" i="3" s="1"/>
  <c r="M18" i="3"/>
  <c r="N18" i="3" s="1"/>
  <c r="M10" i="3"/>
  <c r="N10" i="3" s="1"/>
  <c r="C61" i="3"/>
  <c r="G61" i="3" s="1"/>
  <c r="E61" i="3"/>
  <c r="C53" i="3"/>
  <c r="G53" i="3" s="1"/>
  <c r="E53" i="3"/>
  <c r="C45" i="3"/>
  <c r="G45" i="3" s="1"/>
  <c r="E45" i="3"/>
  <c r="C21" i="3"/>
  <c r="C13" i="3"/>
  <c r="F5" i="3"/>
  <c r="M59" i="3"/>
  <c r="N59" i="3" s="1"/>
  <c r="O59" i="3" s="1"/>
  <c r="M51" i="3"/>
  <c r="N51" i="3" s="1"/>
  <c r="O51" i="3" s="1"/>
  <c r="M43" i="3"/>
  <c r="N43" i="3" s="1"/>
  <c r="O43" i="3" s="1"/>
  <c r="M35" i="3"/>
  <c r="N35" i="3" s="1"/>
  <c r="O35" i="3" s="1"/>
  <c r="M27" i="3"/>
  <c r="N27" i="3" s="1"/>
  <c r="M19" i="3"/>
  <c r="N19" i="3" s="1"/>
  <c r="C62" i="3"/>
  <c r="G62" i="3" s="1"/>
  <c r="E62" i="3"/>
  <c r="C54" i="3"/>
  <c r="G54" i="3" s="1"/>
  <c r="E54" i="3"/>
  <c r="C46" i="3"/>
  <c r="G46" i="3" s="1"/>
  <c r="E46" i="3"/>
  <c r="C38" i="3"/>
  <c r="G38" i="3" s="1"/>
  <c r="E38" i="3"/>
  <c r="C22" i="3"/>
  <c r="F14" i="3"/>
  <c r="C6" i="3"/>
  <c r="M60" i="3"/>
  <c r="N60" i="3" s="1"/>
  <c r="O60" i="3" s="1"/>
  <c r="M52" i="3"/>
  <c r="N52" i="3" s="1"/>
  <c r="O52" i="3" s="1"/>
  <c r="M44" i="3"/>
  <c r="N44" i="3" s="1"/>
  <c r="O44" i="3" s="1"/>
  <c r="M36" i="3"/>
  <c r="N36" i="3" s="1"/>
  <c r="O36" i="3" s="1"/>
  <c r="M28" i="3"/>
  <c r="N28" i="3" s="1"/>
  <c r="M20" i="3"/>
  <c r="N20" i="3" s="1"/>
  <c r="M12" i="3"/>
  <c r="N12" i="3" s="1"/>
  <c r="M4" i="3"/>
  <c r="N4" i="3" s="1"/>
  <c r="O25" i="3" s="1"/>
  <c r="C55" i="3"/>
  <c r="G55" i="3" s="1"/>
  <c r="E55" i="3"/>
  <c r="C47" i="3"/>
  <c r="G47" i="3" s="1"/>
  <c r="E47" i="3"/>
  <c r="C23" i="3"/>
  <c r="C15" i="3"/>
  <c r="M61" i="3"/>
  <c r="N61" i="3" s="1"/>
  <c r="O61" i="3" s="1"/>
  <c r="M53" i="3"/>
  <c r="N53" i="3" s="1"/>
  <c r="O53" i="3" s="1"/>
  <c r="M45" i="3"/>
  <c r="N45" i="3" s="1"/>
  <c r="O45" i="3" s="1"/>
  <c r="M37" i="3"/>
  <c r="N37" i="3" s="1"/>
  <c r="O37" i="3" s="1"/>
  <c r="M29" i="3"/>
  <c r="N29" i="3" s="1"/>
  <c r="O29" i="3" s="1"/>
  <c r="M21" i="3"/>
  <c r="N21" i="3" s="1"/>
  <c r="M13" i="3"/>
  <c r="N13" i="3" s="1"/>
  <c r="M5" i="3"/>
  <c r="N5" i="3" s="1"/>
  <c r="C40" i="3"/>
  <c r="G40" i="3" s="1"/>
  <c r="E40" i="3"/>
  <c r="C32" i="3"/>
  <c r="C24" i="3"/>
  <c r="C16" i="3"/>
  <c r="M3" i="3"/>
  <c r="N3" i="3" s="1"/>
  <c r="M62" i="3"/>
  <c r="N62" i="3" s="1"/>
  <c r="O62" i="3" s="1"/>
  <c r="M54" i="3"/>
  <c r="N54" i="3" s="1"/>
  <c r="O54" i="3" s="1"/>
  <c r="M46" i="3"/>
  <c r="N46" i="3" s="1"/>
  <c r="O46" i="3" s="1"/>
  <c r="M38" i="3"/>
  <c r="N38" i="3" s="1"/>
  <c r="O38" i="3" s="1"/>
  <c r="M30" i="3"/>
  <c r="N30" i="3" s="1"/>
  <c r="M22" i="3"/>
  <c r="N22" i="3" s="1"/>
  <c r="M14" i="3"/>
  <c r="N14" i="3" s="1"/>
  <c r="M6" i="3"/>
  <c r="N6" i="3" s="1"/>
  <c r="C65" i="3"/>
  <c r="G65" i="3" s="1"/>
  <c r="E65" i="3"/>
  <c r="C49" i="3"/>
  <c r="G49" i="3" s="1"/>
  <c r="E49" i="3"/>
  <c r="C25" i="3"/>
  <c r="C17" i="3"/>
  <c r="C9" i="3"/>
  <c r="M63" i="3"/>
  <c r="N63" i="3" s="1"/>
  <c r="O63" i="3" s="1"/>
  <c r="M55" i="3"/>
  <c r="N55" i="3" s="1"/>
  <c r="O55" i="3" s="1"/>
  <c r="M47" i="3"/>
  <c r="N47" i="3" s="1"/>
  <c r="O47" i="3" s="1"/>
  <c r="M39" i="3"/>
  <c r="N39" i="3" s="1"/>
  <c r="O39" i="3" s="1"/>
  <c r="M31" i="3"/>
  <c r="N31" i="3" s="1"/>
  <c r="M23" i="3"/>
  <c r="N23" i="3" s="1"/>
  <c r="M15" i="3"/>
  <c r="N15" i="3" s="1"/>
  <c r="M7" i="3"/>
  <c r="N7" i="3" s="1"/>
  <c r="C58" i="3"/>
  <c r="G58" i="3" s="1"/>
  <c r="E58" i="3"/>
  <c r="F50" i="3"/>
  <c r="E50" i="3"/>
  <c r="F42" i="3"/>
  <c r="E42" i="3"/>
  <c r="F34" i="3"/>
  <c r="E34" i="3"/>
  <c r="F26" i="3"/>
  <c r="C10" i="3"/>
  <c r="M64" i="3"/>
  <c r="N64" i="3" s="1"/>
  <c r="O64" i="3" s="1"/>
  <c r="M56" i="3"/>
  <c r="N56" i="3" s="1"/>
  <c r="O56" i="3" s="1"/>
  <c r="M48" i="3"/>
  <c r="N48" i="3" s="1"/>
  <c r="O48" i="3" s="1"/>
  <c r="M24" i="3"/>
  <c r="N24" i="3" s="1"/>
  <c r="F51" i="3"/>
  <c r="E51" i="3"/>
  <c r="C35" i="3"/>
  <c r="G35" i="3" s="1"/>
  <c r="E35" i="3"/>
  <c r="F27" i="3"/>
  <c r="C19" i="3"/>
  <c r="C11" i="3"/>
  <c r="M8" i="3"/>
  <c r="N8" i="3" s="1"/>
  <c r="C7" i="3"/>
  <c r="D12" i="2"/>
  <c r="M9" i="2"/>
  <c r="N9" i="2" s="1"/>
  <c r="F41" i="3"/>
  <c r="D59" i="2"/>
  <c r="C64" i="3"/>
  <c r="G64" i="3" s="1"/>
  <c r="F65" i="3"/>
  <c r="C33" i="3"/>
  <c r="G33" i="3" s="1"/>
  <c r="C21" i="2"/>
  <c r="C57" i="3"/>
  <c r="G57" i="3" s="1"/>
  <c r="M64" i="2"/>
  <c r="M32" i="2"/>
  <c r="M56" i="2"/>
  <c r="M48" i="2"/>
  <c r="M16" i="2"/>
  <c r="M6" i="2"/>
  <c r="N6" i="2" s="1"/>
  <c r="M57" i="2"/>
  <c r="D53" i="2"/>
  <c r="D37" i="2"/>
  <c r="M17" i="2"/>
  <c r="M65" i="2"/>
  <c r="M33" i="2"/>
  <c r="M41" i="2"/>
  <c r="M25" i="2"/>
  <c r="E66" i="2"/>
  <c r="M66" i="2"/>
  <c r="M19" i="2"/>
  <c r="M11" i="2"/>
  <c r="E40" i="2"/>
  <c r="M40" i="2"/>
  <c r="M24" i="2"/>
  <c r="M34" i="2"/>
  <c r="M51" i="2"/>
  <c r="M35" i="2"/>
  <c r="M44" i="2"/>
  <c r="M12" i="2"/>
  <c r="N12" i="2" s="1"/>
  <c r="M8" i="2"/>
  <c r="N8" i="2" s="1"/>
  <c r="F49" i="2"/>
  <c r="M49" i="2"/>
  <c r="E36" i="2"/>
  <c r="M36" i="2"/>
  <c r="M21" i="2"/>
  <c r="M42" i="2"/>
  <c r="M18" i="2"/>
  <c r="F62" i="3"/>
  <c r="M43" i="2"/>
  <c r="M68" i="2"/>
  <c r="M4" i="2"/>
  <c r="N4" i="2" s="1"/>
  <c r="C9" i="2"/>
  <c r="M3" i="2"/>
  <c r="N3" i="2" s="1"/>
  <c r="M69" i="2"/>
  <c r="M61" i="2"/>
  <c r="M53" i="2"/>
  <c r="M45" i="2"/>
  <c r="M37" i="2"/>
  <c r="M29" i="2"/>
  <c r="M13" i="2"/>
  <c r="M5" i="2"/>
  <c r="N5" i="2" s="1"/>
  <c r="E67" i="2"/>
  <c r="M67" i="2"/>
  <c r="E60" i="2"/>
  <c r="M60" i="2"/>
  <c r="M28" i="2"/>
  <c r="E46" i="2"/>
  <c r="M46" i="2"/>
  <c r="M58" i="2"/>
  <c r="M27" i="2"/>
  <c r="C56" i="3"/>
  <c r="G56" i="3" s="1"/>
  <c r="M54" i="2"/>
  <c r="M38" i="2"/>
  <c r="M30" i="2"/>
  <c r="M22" i="2"/>
  <c r="M14" i="2"/>
  <c r="F26" i="2"/>
  <c r="M26" i="2"/>
  <c r="E59" i="2"/>
  <c r="M59" i="2"/>
  <c r="F52" i="2"/>
  <c r="M52" i="2"/>
  <c r="M20" i="2"/>
  <c r="E55" i="2"/>
  <c r="M55" i="2"/>
  <c r="M50" i="2"/>
  <c r="F38" i="3"/>
  <c r="F35" i="2"/>
  <c r="F24" i="3"/>
  <c r="M62" i="2"/>
  <c r="F21" i="3"/>
  <c r="F54" i="3"/>
  <c r="F29" i="2"/>
  <c r="M63" i="2"/>
  <c r="M47" i="2"/>
  <c r="M39" i="2"/>
  <c r="M31" i="2"/>
  <c r="M23" i="2"/>
  <c r="M15" i="2"/>
  <c r="M7" i="2"/>
  <c r="N7" i="2" s="1"/>
  <c r="D49" i="3"/>
  <c r="O49" i="3"/>
  <c r="D11" i="3"/>
  <c r="E11" i="3" s="1"/>
  <c r="D31" i="3"/>
  <c r="E31" i="3" s="1"/>
  <c r="F49" i="3"/>
  <c r="D40" i="3"/>
  <c r="O40" i="3"/>
  <c r="D16" i="3"/>
  <c r="E16" i="3" s="1"/>
  <c r="D41" i="3"/>
  <c r="O41" i="3"/>
  <c r="D17" i="3"/>
  <c r="E17" i="3" s="1"/>
  <c r="C41" i="3"/>
  <c r="G41" i="3" s="1"/>
  <c r="D32" i="3"/>
  <c r="E32" i="3" s="1"/>
  <c r="O32" i="3"/>
  <c r="D57" i="3"/>
  <c r="O57" i="3"/>
  <c r="D25" i="3"/>
  <c r="E25" i="3" s="1"/>
  <c r="F25" i="3"/>
  <c r="F17" i="3"/>
  <c r="F33" i="3"/>
  <c r="F57" i="3"/>
  <c r="D65" i="3"/>
  <c r="O65" i="3"/>
  <c r="D33" i="3"/>
  <c r="O33" i="3"/>
  <c r="D9" i="3"/>
  <c r="E9" i="3" s="1"/>
  <c r="F60" i="2"/>
  <c r="F64" i="2"/>
  <c r="E64" i="2"/>
  <c r="C56" i="2"/>
  <c r="G56" i="2" s="1"/>
  <c r="E56" i="2"/>
  <c r="C48" i="2"/>
  <c r="G48" i="2" s="1"/>
  <c r="E48" i="2"/>
  <c r="C32" i="2"/>
  <c r="F16" i="2"/>
  <c r="C8" i="2"/>
  <c r="C65" i="2"/>
  <c r="G65" i="2" s="1"/>
  <c r="E65" i="2"/>
  <c r="F57" i="2"/>
  <c r="E57" i="2"/>
  <c r="C49" i="2"/>
  <c r="G49" i="2" s="1"/>
  <c r="E49" i="2"/>
  <c r="F41" i="2"/>
  <c r="E41" i="2"/>
  <c r="C33" i="2"/>
  <c r="G33" i="2" s="1"/>
  <c r="E33" i="2"/>
  <c r="F25" i="2"/>
  <c r="C17" i="2"/>
  <c r="F9" i="2"/>
  <c r="C58" i="2"/>
  <c r="G58" i="2" s="1"/>
  <c r="E58" i="2"/>
  <c r="C50" i="2"/>
  <c r="G50" i="2" s="1"/>
  <c r="E50" i="2"/>
  <c r="C42" i="2"/>
  <c r="G42" i="2" s="1"/>
  <c r="E42" i="2"/>
  <c r="F34" i="2"/>
  <c r="E34" i="2"/>
  <c r="C26" i="2"/>
  <c r="C18" i="2"/>
  <c r="C10" i="2"/>
  <c r="C51" i="2"/>
  <c r="G51" i="2" s="1"/>
  <c r="E51" i="2"/>
  <c r="F43" i="2"/>
  <c r="E43" i="2"/>
  <c r="C35" i="2"/>
  <c r="G35" i="2" s="1"/>
  <c r="E35" i="2"/>
  <c r="F27" i="2"/>
  <c r="C44" i="2"/>
  <c r="G44" i="2" s="1"/>
  <c r="E44" i="2"/>
  <c r="C12" i="2"/>
  <c r="E12" i="2"/>
  <c r="C4" i="2"/>
  <c r="F68" i="2"/>
  <c r="E68" i="2"/>
  <c r="C52" i="2"/>
  <c r="G52" i="2" s="1"/>
  <c r="E52" i="2"/>
  <c r="C3" i="2"/>
  <c r="C69" i="2"/>
  <c r="G69" i="2" s="1"/>
  <c r="E69" i="2"/>
  <c r="C61" i="2"/>
  <c r="G61" i="2" s="1"/>
  <c r="E61" i="2"/>
  <c r="F53" i="2"/>
  <c r="E53" i="2"/>
  <c r="C45" i="2"/>
  <c r="G45" i="2" s="1"/>
  <c r="E45" i="2"/>
  <c r="C37" i="2"/>
  <c r="G37" i="2" s="1"/>
  <c r="E37" i="2"/>
  <c r="C29" i="2"/>
  <c r="F13" i="2"/>
  <c r="F5" i="2"/>
  <c r="F17" i="2"/>
  <c r="C41" i="2"/>
  <c r="G41" i="2" s="1"/>
  <c r="F62" i="2"/>
  <c r="E62" i="2"/>
  <c r="C54" i="2"/>
  <c r="G54" i="2" s="1"/>
  <c r="E54" i="2"/>
  <c r="C38" i="2"/>
  <c r="G38" i="2" s="1"/>
  <c r="E38" i="2"/>
  <c r="C30" i="2"/>
  <c r="C22" i="2"/>
  <c r="C14" i="2"/>
  <c r="F6" i="2"/>
  <c r="C63" i="2"/>
  <c r="G63" i="2" s="1"/>
  <c r="E63" i="2"/>
  <c r="C47" i="2"/>
  <c r="G47" i="2" s="1"/>
  <c r="E47" i="2"/>
  <c r="C39" i="2"/>
  <c r="G39" i="2" s="1"/>
  <c r="E39" i="2"/>
  <c r="C31" i="2"/>
  <c r="F23" i="2"/>
  <c r="C15" i="2"/>
  <c r="F7" i="2"/>
  <c r="C68" i="2"/>
  <c r="G68" i="2" s="1"/>
  <c r="F58" i="2"/>
  <c r="C34" i="2"/>
  <c r="G34" i="2" s="1"/>
  <c r="F50" i="2"/>
  <c r="F42" i="2"/>
  <c r="F66" i="2"/>
  <c r="C66" i="2"/>
  <c r="G66" i="2" s="1"/>
  <c r="D17" i="2"/>
  <c r="E17" i="2" s="1"/>
  <c r="C57" i="2"/>
  <c r="G57" i="2" s="1"/>
  <c r="F14" i="2"/>
  <c r="F38" i="2"/>
  <c r="F54" i="2"/>
  <c r="C62" i="2"/>
  <c r="G62" i="2" s="1"/>
  <c r="D62" i="2"/>
  <c r="D46" i="2"/>
  <c r="D38" i="2"/>
  <c r="D30" i="2"/>
  <c r="E30" i="2" s="1"/>
  <c r="D14" i="2"/>
  <c r="E14" i="2" s="1"/>
  <c r="D6" i="2"/>
  <c r="E6" i="2" s="1"/>
  <c r="F46" i="3"/>
  <c r="F33" i="2"/>
  <c r="D55" i="2"/>
  <c r="D39" i="2"/>
  <c r="D15" i="2"/>
  <c r="E15" i="2" s="1"/>
  <c r="D40" i="2"/>
  <c r="D24" i="2"/>
  <c r="E24" i="2" s="1"/>
  <c r="F47" i="2"/>
  <c r="F65" i="2"/>
  <c r="C6" i="2"/>
  <c r="F30" i="2"/>
  <c r="D66" i="2"/>
  <c r="D58" i="2"/>
  <c r="D50" i="2"/>
  <c r="D42" i="2"/>
  <c r="D34" i="2"/>
  <c r="D26" i="2"/>
  <c r="E26" i="2" s="1"/>
  <c r="D18" i="2"/>
  <c r="E18" i="2" s="1"/>
  <c r="D67" i="2"/>
  <c r="D19" i="2"/>
  <c r="E19" i="2" s="1"/>
  <c r="D11" i="2"/>
  <c r="E11" i="2" s="1"/>
  <c r="D54" i="2"/>
  <c r="F10" i="2"/>
  <c r="F18" i="2"/>
  <c r="F46" i="2"/>
  <c r="D68" i="2"/>
  <c r="D60" i="2"/>
  <c r="D20" i="2"/>
  <c r="E20" i="2" s="1"/>
  <c r="F6" i="3"/>
  <c r="C30" i="3"/>
  <c r="C14" i="3"/>
  <c r="D27" i="3"/>
  <c r="E27" i="3" s="1"/>
  <c r="C25" i="2"/>
  <c r="C18" i="3"/>
  <c r="C27" i="3"/>
  <c r="C59" i="3"/>
  <c r="G59" i="3" s="1"/>
  <c r="C67" i="3"/>
  <c r="G67" i="3" s="1"/>
  <c r="D63" i="3"/>
  <c r="D67" i="3"/>
  <c r="F22" i="3"/>
  <c r="F30" i="3"/>
  <c r="D43" i="3"/>
  <c r="D51" i="3"/>
  <c r="D62" i="3"/>
  <c r="D54" i="3"/>
  <c r="D46" i="3"/>
  <c r="D38" i="3"/>
  <c r="D30" i="3"/>
  <c r="E30" i="3" s="1"/>
  <c r="D14" i="3"/>
  <c r="E14" i="3" s="1"/>
  <c r="D6" i="3"/>
  <c r="E6" i="3" s="1"/>
  <c r="F11" i="3"/>
  <c r="F35" i="3"/>
  <c r="C43" i="3"/>
  <c r="G43" i="3" s="1"/>
  <c r="F58" i="3"/>
  <c r="D50" i="3"/>
  <c r="D18" i="3"/>
  <c r="E18" i="3" s="1"/>
  <c r="F10" i="3"/>
  <c r="C26" i="3"/>
  <c r="D59" i="3"/>
  <c r="D19" i="3"/>
  <c r="E19" i="3" s="1"/>
  <c r="F19" i="3"/>
  <c r="C42" i="3"/>
  <c r="G42" i="3" s="1"/>
  <c r="C66" i="3"/>
  <c r="G66" i="3" s="1"/>
  <c r="C69" i="3"/>
  <c r="G69" i="3" s="1"/>
  <c r="D66" i="3"/>
  <c r="D35" i="3"/>
  <c r="C5" i="3"/>
  <c r="C34" i="3"/>
  <c r="G34" i="3" s="1"/>
  <c r="F45" i="3"/>
  <c r="C50" i="3"/>
  <c r="G50" i="3" s="1"/>
  <c r="D69" i="3"/>
  <c r="D61" i="3"/>
  <c r="D53" i="3"/>
  <c r="D37" i="3"/>
  <c r="D21" i="3"/>
  <c r="E21" i="3" s="1"/>
  <c r="D13" i="3"/>
  <c r="E13" i="3" s="1"/>
  <c r="D5" i="3"/>
  <c r="E5" i="3" s="1"/>
  <c r="D7" i="3"/>
  <c r="E7" i="3" s="1"/>
  <c r="C51" i="3"/>
  <c r="G51" i="3" s="1"/>
  <c r="D42" i="3"/>
  <c r="D26" i="3"/>
  <c r="E26" i="3" s="1"/>
  <c r="F4" i="3"/>
  <c r="F18" i="3"/>
  <c r="D56" i="3"/>
  <c r="D48" i="3"/>
  <c r="D8" i="3"/>
  <c r="E8" i="3" s="1"/>
  <c r="D58" i="3"/>
  <c r="D34" i="3"/>
  <c r="D10" i="3"/>
  <c r="E10" i="3" s="1"/>
  <c r="F43" i="3"/>
  <c r="F59" i="3"/>
  <c r="F67" i="3"/>
  <c r="C3" i="3"/>
  <c r="F13" i="3"/>
  <c r="D27" i="2"/>
  <c r="E27" i="2" s="1"/>
  <c r="D43" i="2"/>
  <c r="C59" i="2"/>
  <c r="G59" i="2" s="1"/>
  <c r="C8" i="3"/>
  <c r="C37" i="3"/>
  <c r="G37" i="3" s="1"/>
  <c r="D64" i="3"/>
  <c r="F11" i="2"/>
  <c r="F19" i="2"/>
  <c r="F24" i="2"/>
  <c r="C27" i="2"/>
  <c r="D36" i="2"/>
  <c r="C40" i="2"/>
  <c r="G40" i="2" s="1"/>
  <c r="C43" i="2"/>
  <c r="G43" i="2" s="1"/>
  <c r="F67" i="2"/>
  <c r="D65" i="2"/>
  <c r="D57" i="2"/>
  <c r="D49" i="2"/>
  <c r="D41" i="2"/>
  <c r="D33" i="2"/>
  <c r="D25" i="2"/>
  <c r="E25" i="2" s="1"/>
  <c r="D10" i="2"/>
  <c r="E10" i="2" s="1"/>
  <c r="D16" i="2"/>
  <c r="E16" i="2" s="1"/>
  <c r="C16" i="2"/>
  <c r="C24" i="2"/>
  <c r="F51" i="2"/>
  <c r="D29" i="3"/>
  <c r="E29" i="3" s="1"/>
  <c r="C39" i="3"/>
  <c r="G39" i="3" s="1"/>
  <c r="C44" i="3"/>
  <c r="G44" i="3" s="1"/>
  <c r="F48" i="3"/>
  <c r="C68" i="3"/>
  <c r="G68" i="3" s="1"/>
  <c r="C11" i="2"/>
  <c r="C19" i="2"/>
  <c r="D35" i="2"/>
  <c r="C60" i="2"/>
  <c r="G60" i="2" s="1"/>
  <c r="C67" i="2"/>
  <c r="G67" i="2" s="1"/>
  <c r="D12" i="3"/>
  <c r="E12" i="3" s="1"/>
  <c r="C29" i="3"/>
  <c r="F53" i="3"/>
  <c r="D28" i="2"/>
  <c r="E28" i="2" s="1"/>
  <c r="F32" i="2"/>
  <c r="F44" i="2"/>
  <c r="D51" i="2"/>
  <c r="F59" i="2"/>
  <c r="D56" i="2"/>
  <c r="C28" i="3"/>
  <c r="C48" i="3"/>
  <c r="G48" i="3" s="1"/>
  <c r="F52" i="3"/>
  <c r="F56" i="3"/>
  <c r="C64" i="2"/>
  <c r="G64" i="2" s="1"/>
  <c r="D23" i="2"/>
  <c r="E23" i="2" s="1"/>
  <c r="D63" i="2"/>
  <c r="D47" i="2"/>
  <c r="F7" i="3"/>
  <c r="C12" i="3"/>
  <c r="C31" i="3"/>
  <c r="F44" i="3"/>
  <c r="C60" i="3"/>
  <c r="G60" i="3" s="1"/>
  <c r="F16" i="3"/>
  <c r="F32" i="3"/>
  <c r="F36" i="3"/>
  <c r="F40" i="3"/>
  <c r="F61" i="3"/>
  <c r="F63" i="3"/>
  <c r="D68" i="3"/>
  <c r="D60" i="3"/>
  <c r="D52" i="3"/>
  <c r="D44" i="3"/>
  <c r="D36" i="3"/>
  <c r="D28" i="3"/>
  <c r="E28" i="3" s="1"/>
  <c r="D20" i="3"/>
  <c r="E20" i="3" s="1"/>
  <c r="D4" i="3"/>
  <c r="E4" i="3" s="1"/>
  <c r="D23" i="3"/>
  <c r="E23" i="3" s="1"/>
  <c r="F8" i="3"/>
  <c r="C63" i="3"/>
  <c r="G63" i="3" s="1"/>
  <c r="D55" i="3"/>
  <c r="D39" i="3"/>
  <c r="D24" i="3"/>
  <c r="E24" i="3" s="1"/>
  <c r="D15" i="3"/>
  <c r="E15" i="3" s="1"/>
  <c r="F55" i="3"/>
  <c r="F12" i="3"/>
  <c r="F15" i="3"/>
  <c r="F20" i="3"/>
  <c r="F23" i="3"/>
  <c r="F29" i="3"/>
  <c r="F31" i="3"/>
  <c r="F37" i="3"/>
  <c r="F39" i="3"/>
  <c r="D45" i="3"/>
  <c r="D47" i="3"/>
  <c r="F64" i="3"/>
  <c r="F68" i="3"/>
  <c r="F47" i="3"/>
  <c r="D3" i="3"/>
  <c r="E3" i="3" s="1"/>
  <c r="F3" i="3"/>
  <c r="D22" i="3"/>
  <c r="E22" i="3" s="1"/>
  <c r="D7" i="2"/>
  <c r="E7" i="2" s="1"/>
  <c r="F12" i="2"/>
  <c r="C28" i="2"/>
  <c r="C36" i="2"/>
  <c r="G36" i="2" s="1"/>
  <c r="F39" i="2"/>
  <c r="C55" i="2"/>
  <c r="G55" i="2" s="1"/>
  <c r="F4" i="2"/>
  <c r="C7" i="2"/>
  <c r="F15" i="2"/>
  <c r="F20" i="2"/>
  <c r="F37" i="2"/>
  <c r="C53" i="2"/>
  <c r="G53" i="2" s="1"/>
  <c r="F56" i="2"/>
  <c r="D4" i="2"/>
  <c r="E4" i="2" s="1"/>
  <c r="D61" i="2"/>
  <c r="D45" i="2"/>
  <c r="D29" i="2"/>
  <c r="E29" i="2" s="1"/>
  <c r="D21" i="2"/>
  <c r="E21" i="2" s="1"/>
  <c r="D13" i="2"/>
  <c r="E13" i="2" s="1"/>
  <c r="D5" i="2"/>
  <c r="E5" i="2" s="1"/>
  <c r="F8" i="2"/>
  <c r="C20" i="2"/>
  <c r="C23" i="2"/>
  <c r="D31" i="2"/>
  <c r="E31" i="2" s="1"/>
  <c r="F40" i="2"/>
  <c r="D44" i="2"/>
  <c r="F48" i="2"/>
  <c r="D52" i="2"/>
  <c r="F61" i="2"/>
  <c r="F63" i="2"/>
  <c r="D64" i="2"/>
  <c r="D48" i="2"/>
  <c r="D32" i="2"/>
  <c r="E32" i="2" s="1"/>
  <c r="D8" i="2"/>
  <c r="E8" i="2" s="1"/>
  <c r="F28" i="2"/>
  <c r="F36" i="2"/>
  <c r="F55" i="2"/>
  <c r="D69" i="2"/>
  <c r="D3" i="2"/>
  <c r="E3" i="2" s="1"/>
  <c r="F3" i="2"/>
  <c r="D9" i="2"/>
  <c r="E9" i="2" s="1"/>
  <c r="D22" i="2"/>
  <c r="E22" i="2" s="1"/>
  <c r="G24" i="3" l="1"/>
  <c r="O31" i="3"/>
  <c r="G25" i="3"/>
  <c r="O30" i="3"/>
  <c r="O28" i="3"/>
  <c r="O24" i="3"/>
  <c r="G26" i="3"/>
  <c r="G28" i="3"/>
  <c r="G29" i="3"/>
  <c r="G27" i="3"/>
  <c r="O26" i="3"/>
  <c r="G31" i="3"/>
  <c r="G32" i="3"/>
  <c r="O27" i="3"/>
  <c r="G30" i="3"/>
  <c r="G25" i="2"/>
  <c r="G31" i="2"/>
  <c r="G29" i="2"/>
  <c r="G26" i="2"/>
  <c r="G20" i="2"/>
  <c r="G24" i="2"/>
  <c r="G30" i="2"/>
  <c r="G28" i="2"/>
  <c r="G27" i="2"/>
  <c r="G32" i="2"/>
  <c r="N50" i="3"/>
  <c r="O50" i="3" s="1"/>
  <c r="G20" i="3"/>
  <c r="G15" i="3"/>
  <c r="G23" i="3"/>
  <c r="G21" i="3"/>
  <c r="G22" i="3"/>
  <c r="G19" i="3"/>
  <c r="G16" i="3"/>
  <c r="G17" i="3"/>
  <c r="G14" i="3"/>
  <c r="G18" i="3"/>
  <c r="G23" i="2"/>
  <c r="G18" i="2"/>
  <c r="G19" i="2"/>
  <c r="G17" i="2"/>
  <c r="G14" i="2"/>
  <c r="G16" i="2"/>
  <c r="G15" i="2"/>
  <c r="G22" i="2"/>
  <c r="N31" i="2"/>
  <c r="N55" i="2"/>
  <c r="O55" i="2" s="1"/>
  <c r="N13" i="2"/>
  <c r="N36" i="2"/>
  <c r="O36" i="2" s="1"/>
  <c r="N44" i="2"/>
  <c r="O44" i="2" s="1"/>
  <c r="N24" i="2"/>
  <c r="N11" i="2"/>
  <c r="N33" i="2"/>
  <c r="O33" i="2" s="1"/>
  <c r="N57" i="2"/>
  <c r="O57" i="2" s="1"/>
  <c r="N23" i="2"/>
  <c r="N50" i="2"/>
  <c r="O50" i="2" s="1"/>
  <c r="N46" i="2"/>
  <c r="O46" i="2" s="1"/>
  <c r="N64" i="2"/>
  <c r="O64" i="2" s="1"/>
  <c r="N15" i="2"/>
  <c r="N52" i="2"/>
  <c r="O52" i="2" s="1"/>
  <c r="N26" i="2"/>
  <c r="N54" i="2"/>
  <c r="O54" i="2" s="1"/>
  <c r="N69" i="2"/>
  <c r="O69" i="2" s="1"/>
  <c r="N43" i="2"/>
  <c r="O43" i="2" s="1"/>
  <c r="N34" i="2"/>
  <c r="O34" i="2" s="1"/>
  <c r="N41" i="2"/>
  <c r="O41" i="2" s="1"/>
  <c r="N32" i="2"/>
  <c r="N38" i="2"/>
  <c r="O38" i="2" s="1"/>
  <c r="N30" i="2"/>
  <c r="N68" i="2"/>
  <c r="O68" i="2" s="1"/>
  <c r="N56" i="2"/>
  <c r="O56" i="2" s="1"/>
  <c r="N63" i="2"/>
  <c r="O63" i="2" s="1"/>
  <c r="N62" i="2"/>
  <c r="O62" i="2" s="1"/>
  <c r="N22" i="2"/>
  <c r="N28" i="2"/>
  <c r="N45" i="2"/>
  <c r="O45" i="2" s="1"/>
  <c r="N35" i="2"/>
  <c r="O35" i="2" s="1"/>
  <c r="N66" i="2"/>
  <c r="O66" i="2" s="1"/>
  <c r="N48" i="2"/>
  <c r="O48" i="2" s="1"/>
  <c r="N58" i="2"/>
  <c r="O58" i="2" s="1"/>
  <c r="N61" i="2"/>
  <c r="O61" i="2" s="1"/>
  <c r="N25" i="2"/>
  <c r="N20" i="2"/>
  <c r="N27" i="2"/>
  <c r="N53" i="2"/>
  <c r="O53" i="2" s="1"/>
  <c r="N47" i="2"/>
  <c r="O47" i="2" s="1"/>
  <c r="N59" i="2"/>
  <c r="O59" i="2" s="1"/>
  <c r="N14" i="2"/>
  <c r="N37" i="2"/>
  <c r="O37" i="2" s="1"/>
  <c r="N42" i="2"/>
  <c r="O42" i="2" s="1"/>
  <c r="N49" i="2"/>
  <c r="O49" i="2" s="1"/>
  <c r="N40" i="2"/>
  <c r="O40" i="2" s="1"/>
  <c r="N17" i="2"/>
  <c r="N16" i="2"/>
  <c r="N60" i="2"/>
  <c r="O60" i="2" s="1"/>
  <c r="N21" i="2"/>
  <c r="N51" i="2"/>
  <c r="O51" i="2" s="1"/>
  <c r="N39" i="2"/>
  <c r="O39" i="2" s="1"/>
  <c r="N67" i="2"/>
  <c r="O67" i="2" s="1"/>
  <c r="N29" i="2"/>
  <c r="N18" i="2"/>
  <c r="N19" i="2"/>
  <c r="N65" i="2"/>
  <c r="O65" i="2" s="1"/>
  <c r="G10" i="3"/>
  <c r="G11" i="3"/>
  <c r="G13" i="3"/>
  <c r="G12" i="3"/>
  <c r="G3" i="3"/>
  <c r="G13" i="2"/>
  <c r="G12" i="2"/>
  <c r="G11" i="2"/>
  <c r="G3" i="2"/>
  <c r="G9" i="3"/>
  <c r="G6" i="3"/>
  <c r="G7" i="3"/>
  <c r="G4" i="3"/>
  <c r="G8" i="3"/>
  <c r="G5" i="3"/>
  <c r="G4" i="2"/>
  <c r="G5" i="2"/>
  <c r="G8" i="2"/>
  <c r="G6" i="2"/>
  <c r="G7" i="2"/>
  <c r="G10" i="2"/>
  <c r="G21" i="2"/>
  <c r="G9" i="2"/>
  <c r="O25" i="2" l="1"/>
  <c r="O28" i="2"/>
  <c r="O32" i="2"/>
  <c r="O24" i="2"/>
  <c r="O29" i="2"/>
  <c r="O27" i="2"/>
  <c r="O18" i="2"/>
  <c r="O30" i="2"/>
  <c r="O26" i="2"/>
  <c r="O31" i="2"/>
  <c r="O11" i="3"/>
  <c r="O18" i="3"/>
  <c r="O19" i="2"/>
  <c r="O22" i="3"/>
  <c r="O13" i="3"/>
  <c r="O15" i="3"/>
  <c r="O23" i="3"/>
  <c r="O20" i="3"/>
  <c r="O14" i="3"/>
  <c r="O19" i="3"/>
  <c r="O21" i="3"/>
  <c r="O16" i="3"/>
  <c r="O17" i="3"/>
  <c r="O23" i="2"/>
  <c r="O20" i="2"/>
  <c r="O15" i="2"/>
  <c r="O5" i="2"/>
  <c r="O14" i="2"/>
  <c r="O22" i="2"/>
  <c r="O10" i="2"/>
  <c r="O21" i="2"/>
  <c r="O9" i="2"/>
  <c r="O17" i="2"/>
  <c r="O16" i="2"/>
  <c r="O11" i="2"/>
  <c r="O8" i="2"/>
  <c r="O12" i="2"/>
  <c r="O4" i="2"/>
  <c r="O9" i="3"/>
  <c r="O6" i="3"/>
  <c r="O12" i="3"/>
  <c r="O3" i="3"/>
  <c r="O4" i="3"/>
  <c r="O10" i="3"/>
  <c r="O5" i="3"/>
  <c r="O8" i="3"/>
  <c r="O7" i="3"/>
  <c r="O3" i="2"/>
  <c r="O6" i="2"/>
  <c r="O13" i="2"/>
  <c r="O7" i="2"/>
  <c r="K41" i="3"/>
  <c r="N44" i="4" s="1"/>
  <c r="FB44" i="4" s="1"/>
  <c r="FC44" i="4" s="1"/>
  <c r="BO44" i="4" s="1"/>
  <c r="J63" i="3"/>
  <c r="J37" i="3"/>
  <c r="M40" i="4" s="1"/>
  <c r="K25" i="3"/>
  <c r="N28" i="4" s="1"/>
  <c r="K48" i="3"/>
  <c r="J28" i="3"/>
  <c r="M31" i="4" s="1"/>
  <c r="K31" i="3"/>
  <c r="N34" i="4" s="1"/>
  <c r="K45" i="3"/>
  <c r="N48" i="4" s="1"/>
  <c r="FB48" i="4" s="1"/>
  <c r="FC48" i="4" s="1"/>
  <c r="BO48" i="4" s="1"/>
  <c r="K6" i="3"/>
  <c r="N9" i="4" s="1"/>
  <c r="J25" i="3"/>
  <c r="M28" i="4" s="1"/>
  <c r="K54" i="3"/>
  <c r="J20" i="3"/>
  <c r="M23" i="4" s="1"/>
  <c r="J13" i="3"/>
  <c r="M16" i="4" s="1"/>
  <c r="J64" i="3"/>
  <c r="K19" i="3"/>
  <c r="N22" i="4" s="1"/>
  <c r="J27" i="3"/>
  <c r="M30" i="4" s="1"/>
  <c r="K28" i="3"/>
  <c r="N31" i="4" s="1"/>
  <c r="J11" i="3"/>
  <c r="M14" i="4" s="1"/>
  <c r="J58" i="3"/>
  <c r="K64" i="3"/>
  <c r="J34" i="3"/>
  <c r="M37" i="4" s="1"/>
  <c r="K10" i="3"/>
  <c r="N13" i="4" s="1"/>
  <c r="K38" i="3"/>
  <c r="N41" i="4" s="1"/>
  <c r="FB41" i="4" s="1"/>
  <c r="FC41" i="4" s="1"/>
  <c r="BO41" i="4" s="1"/>
  <c r="K4" i="3"/>
  <c r="N7" i="4" s="1"/>
  <c r="K11" i="3"/>
  <c r="N14" i="4" s="1"/>
  <c r="K40" i="3"/>
  <c r="N43" i="4" s="1"/>
  <c r="FB43" i="4" s="1"/>
  <c r="FC43" i="4" s="1"/>
  <c r="BO43" i="4" s="1"/>
  <c r="K8" i="3"/>
  <c r="N11" i="4" s="1"/>
  <c r="J5" i="3"/>
  <c r="M8" i="4" s="1"/>
  <c r="K14" i="3"/>
  <c r="N17" i="4" s="1"/>
  <c r="K42" i="3"/>
  <c r="N45" i="4" s="1"/>
  <c r="FB45" i="4" s="1"/>
  <c r="FC45" i="4" s="1"/>
  <c r="BO45" i="4" s="1"/>
  <c r="K12" i="3"/>
  <c r="N15" i="4" s="1"/>
  <c r="J67" i="3"/>
  <c r="J7" i="3"/>
  <c r="M10" i="4" s="1"/>
  <c r="J16" i="3"/>
  <c r="M19" i="4" s="1"/>
  <c r="K43" i="3"/>
  <c r="N46" i="4" s="1"/>
  <c r="FB46" i="4" s="1"/>
  <c r="FC46" i="4" s="1"/>
  <c r="BO46" i="4" s="1"/>
  <c r="K46" i="3"/>
  <c r="N49" i="4" s="1"/>
  <c r="FB49" i="4" s="1"/>
  <c r="FC49" i="4" s="1"/>
  <c r="BO49" i="4" s="1"/>
  <c r="J9" i="3"/>
  <c r="M12" i="4" s="1"/>
  <c r="K67" i="3"/>
  <c r="J33" i="3"/>
  <c r="M36" i="4" s="1"/>
  <c r="K32" i="3"/>
  <c r="N35" i="4" s="1"/>
  <c r="J53" i="3"/>
  <c r="K53" i="3"/>
  <c r="J23" i="3"/>
  <c r="M26" i="4" s="1"/>
  <c r="K66" i="3"/>
  <c r="J66" i="3"/>
  <c r="K5" i="3"/>
  <c r="N8" i="4" s="1"/>
  <c r="J3" i="3"/>
  <c r="M6" i="4" s="1"/>
  <c r="J59" i="3"/>
  <c r="J57" i="3"/>
  <c r="K22" i="3"/>
  <c r="N25" i="4" s="1"/>
  <c r="J55" i="3"/>
  <c r="J19" i="3"/>
  <c r="M22" i="4" s="1"/>
  <c r="J15" i="3"/>
  <c r="M18" i="4" s="1"/>
  <c r="J30" i="3"/>
  <c r="M33" i="4" s="1"/>
  <c r="K29" i="3"/>
  <c r="N32" i="4" s="1"/>
  <c r="J61" i="3"/>
  <c r="K49" i="3"/>
  <c r="J42" i="3"/>
  <c r="M45" i="4" s="1"/>
  <c r="J8" i="3"/>
  <c r="M11" i="4" s="1"/>
  <c r="J46" i="3"/>
  <c r="M49" i="4" s="1"/>
  <c r="K13" i="3"/>
  <c r="N16" i="4" s="1"/>
  <c r="K34" i="3"/>
  <c r="N37" i="4" s="1"/>
  <c r="FB37" i="4" s="1"/>
  <c r="FC37" i="4" s="1"/>
  <c r="BO37" i="4" s="1"/>
  <c r="J31" i="3"/>
  <c r="M34" i="4" s="1"/>
  <c r="J40" i="3"/>
  <c r="M43" i="4" s="1"/>
  <c r="K52" i="3"/>
  <c r="K33" i="3"/>
  <c r="N36" i="4" s="1"/>
  <c r="FB36" i="4" s="1"/>
  <c r="FC36" i="4" s="1"/>
  <c r="BO36" i="4" s="1"/>
  <c r="K27" i="3"/>
  <c r="N30" i="4" s="1"/>
  <c r="J65" i="3"/>
  <c r="J22" i="3"/>
  <c r="M25" i="4" s="1"/>
  <c r="J4" i="3"/>
  <c r="M7" i="4" s="1"/>
  <c r="J24" i="3"/>
  <c r="M27" i="4" s="1"/>
  <c r="J39" i="3"/>
  <c r="M42" i="4" s="1"/>
  <c r="K56" i="3"/>
  <c r="K61" i="3"/>
  <c r="K59" i="3"/>
  <c r="K58" i="3"/>
  <c r="J10" i="3"/>
  <c r="M13" i="4" s="1"/>
  <c r="J14" i="3"/>
  <c r="M17" i="4" s="1"/>
  <c r="K16" i="3"/>
  <c r="N19" i="4" s="1"/>
  <c r="K68" i="3"/>
  <c r="J51" i="3"/>
  <c r="J26" i="3"/>
  <c r="M29" i="4" s="1"/>
  <c r="K65" i="3"/>
  <c r="K62" i="3"/>
  <c r="J36" i="3"/>
  <c r="M39" i="4" s="1"/>
  <c r="K30" i="3"/>
  <c r="N33" i="4" s="1"/>
  <c r="J38" i="3"/>
  <c r="M41" i="4" s="1"/>
  <c r="K9" i="3"/>
  <c r="N12" i="4" s="1"/>
  <c r="K3" i="3"/>
  <c r="N6" i="4" s="1"/>
  <c r="K17" i="3"/>
  <c r="N20" i="4" s="1"/>
  <c r="J49" i="3"/>
  <c r="J50" i="3"/>
  <c r="K37" i="3"/>
  <c r="N40" i="4" s="1"/>
  <c r="FB40" i="4" s="1"/>
  <c r="FC40" i="4" s="1"/>
  <c r="BO40" i="4" s="1"/>
  <c r="K26" i="3"/>
  <c r="N29" i="4" s="1"/>
  <c r="K18" i="3"/>
  <c r="N21" i="4" s="1"/>
  <c r="J12" i="3"/>
  <c r="M15" i="4" s="1"/>
  <c r="J52" i="3"/>
  <c r="J47" i="3"/>
  <c r="M50" i="4" s="1"/>
  <c r="K24" i="3"/>
  <c r="N27" i="4" s="1"/>
  <c r="K23" i="3"/>
  <c r="N26" i="4" s="1"/>
  <c r="K35" i="3"/>
  <c r="N38" i="4" s="1"/>
  <c r="FB38" i="4" s="1"/>
  <c r="FC38" i="4" s="1"/>
  <c r="BO38" i="4" s="1"/>
  <c r="K39" i="3"/>
  <c r="N42" i="4" s="1"/>
  <c r="FB42" i="4" s="1"/>
  <c r="FC42" i="4" s="1"/>
  <c r="BO42" i="4" s="1"/>
  <c r="K69" i="3"/>
  <c r="K47" i="3"/>
  <c r="N50" i="4" s="1"/>
  <c r="FB50" i="4" s="1"/>
  <c r="FC50" i="4" s="1"/>
  <c r="BO50" i="4" s="1"/>
  <c r="J43" i="3"/>
  <c r="M46" i="4" s="1"/>
  <c r="K60" i="3"/>
  <c r="K44" i="3"/>
  <c r="N47" i="4" s="1"/>
  <c r="FB47" i="4" s="1"/>
  <c r="FC47" i="4" s="1"/>
  <c r="BO47" i="4" s="1"/>
  <c r="K21" i="3"/>
  <c r="N24" i="4" s="1"/>
  <c r="J41" i="3"/>
  <c r="M44" i="4" s="1"/>
  <c r="J21" i="3"/>
  <c r="M24" i="4" s="1"/>
  <c r="J62" i="3"/>
  <c r="J32" i="3"/>
  <c r="M35" i="4" s="1"/>
  <c r="J56" i="3"/>
  <c r="J44" i="3"/>
  <c r="M47" i="4" s="1"/>
  <c r="J17" i="3"/>
  <c r="M20" i="4" s="1"/>
  <c r="J68" i="3"/>
  <c r="J29" i="3"/>
  <c r="M32" i="4" s="1"/>
  <c r="K55" i="3"/>
  <c r="J6" i="3"/>
  <c r="M9" i="4" s="1"/>
  <c r="J69" i="3"/>
  <c r="K57" i="3"/>
  <c r="J18" i="3"/>
  <c r="M21" i="4" s="1"/>
  <c r="J54" i="3"/>
  <c r="K63" i="3"/>
  <c r="J48" i="3"/>
  <c r="J60" i="3"/>
  <c r="K50" i="3"/>
  <c r="J45" i="3"/>
  <c r="M48" i="4" s="1"/>
  <c r="K7" i="3"/>
  <c r="N10" i="4" s="1"/>
  <c r="K51" i="3"/>
  <c r="K15" i="3"/>
  <c r="N18" i="4" s="1"/>
  <c r="J35" i="3"/>
  <c r="M38" i="4" s="1"/>
  <c r="K36" i="3"/>
  <c r="N39" i="4" s="1"/>
  <c r="FB39" i="4" s="1"/>
  <c r="FC39" i="4" s="1"/>
  <c r="BO39" i="4" s="1"/>
  <c r="K20" i="3"/>
  <c r="N23" i="4" s="1"/>
  <c r="J66" i="2"/>
  <c r="J48" i="2"/>
  <c r="J57" i="2"/>
  <c r="J56" i="2"/>
  <c r="J62" i="2"/>
  <c r="J5" i="2"/>
  <c r="J69" i="2"/>
  <c r="J36" i="2"/>
  <c r="J11" i="2"/>
  <c r="J58" i="2"/>
  <c r="J32" i="2"/>
  <c r="J55" i="2"/>
  <c r="J49" i="2"/>
  <c r="J40" i="2"/>
  <c r="J54" i="2"/>
  <c r="J61" i="2"/>
  <c r="J28" i="2"/>
  <c r="J67" i="2"/>
  <c r="J50" i="2"/>
  <c r="J24" i="2"/>
  <c r="J39" i="2"/>
  <c r="J41" i="2"/>
  <c r="J8" i="2"/>
  <c r="J63" i="2"/>
  <c r="J46" i="2"/>
  <c r="J53" i="2"/>
  <c r="J20" i="2"/>
  <c r="J59" i="2"/>
  <c r="J42" i="2"/>
  <c r="J16" i="2"/>
  <c r="J23" i="2"/>
  <c r="J33" i="2"/>
  <c r="J47" i="2"/>
  <c r="J38" i="2"/>
  <c r="J12" i="2"/>
  <c r="J45" i="2"/>
  <c r="J4" i="2"/>
  <c r="J51" i="2"/>
  <c r="J34" i="2"/>
  <c r="J7" i="2"/>
  <c r="J25" i="2"/>
  <c r="J31" i="2"/>
  <c r="J30" i="2"/>
  <c r="J37" i="2"/>
  <c r="J3" i="2"/>
  <c r="J68" i="2"/>
  <c r="J43" i="2"/>
  <c r="J26" i="2"/>
  <c r="J17" i="2"/>
  <c r="J15" i="2"/>
  <c r="J22" i="2"/>
  <c r="J29" i="2"/>
  <c r="J60" i="2"/>
  <c r="J35" i="2"/>
  <c r="J18" i="2"/>
  <c r="J9" i="2"/>
  <c r="J14" i="2"/>
  <c r="J21" i="2"/>
  <c r="J52" i="2"/>
  <c r="J27" i="2"/>
  <c r="J10" i="2"/>
  <c r="J64" i="2"/>
  <c r="J65" i="2"/>
  <c r="J6" i="2"/>
  <c r="J13" i="2"/>
  <c r="J44" i="2"/>
  <c r="J19" i="2"/>
  <c r="K67" i="2"/>
  <c r="K65" i="2"/>
  <c r="K60" i="2"/>
  <c r="K27" i="2"/>
  <c r="K21" i="2"/>
  <c r="K17" i="2"/>
  <c r="K59" i="2"/>
  <c r="K31" i="2"/>
  <c r="K56" i="2"/>
  <c r="K20" i="2"/>
  <c r="K28" i="2"/>
  <c r="K3" i="2"/>
  <c r="K61" i="2"/>
  <c r="K24" i="2"/>
  <c r="K38" i="2"/>
  <c r="K30" i="2"/>
  <c r="K69" i="2"/>
  <c r="K45" i="2"/>
  <c r="K34" i="2"/>
  <c r="K16" i="2"/>
  <c r="K37" i="2"/>
  <c r="K5" i="2"/>
  <c r="K58" i="2"/>
  <c r="K25" i="2"/>
  <c r="K51" i="2"/>
  <c r="K23" i="2"/>
  <c r="K49" i="2"/>
  <c r="K44" i="2"/>
  <c r="K50" i="2"/>
  <c r="K12" i="2"/>
  <c r="K36" i="2"/>
  <c r="K29" i="2"/>
  <c r="K64" i="2"/>
  <c r="K52" i="2"/>
  <c r="K10" i="2"/>
  <c r="K48" i="2"/>
  <c r="K41" i="2"/>
  <c r="K35" i="2"/>
  <c r="K39" i="2"/>
  <c r="K32" i="2"/>
  <c r="K13" i="2"/>
  <c r="K47" i="2"/>
  <c r="K11" i="2"/>
  <c r="K33" i="2"/>
  <c r="K54" i="2"/>
  <c r="K26" i="2"/>
  <c r="K7" i="2"/>
  <c r="K46" i="2"/>
  <c r="K18" i="2"/>
  <c r="K19" i="2"/>
  <c r="K42" i="2"/>
  <c r="K66" i="2"/>
  <c r="K68" i="2"/>
  <c r="K63" i="2"/>
  <c r="K57" i="2"/>
  <c r="K4" i="2"/>
  <c r="K43" i="2"/>
  <c r="K55" i="2"/>
  <c r="K9" i="2"/>
  <c r="K22" i="2"/>
  <c r="K40" i="2"/>
  <c r="K8" i="2"/>
  <c r="K62" i="2"/>
  <c r="K53" i="2"/>
  <c r="K15" i="2"/>
  <c r="K6" i="2"/>
  <c r="K14" i="2"/>
  <c r="R38" i="3" l="1"/>
  <c r="L41" i="4" s="1"/>
  <c r="R41" i="3"/>
  <c r="L44" i="4" s="1"/>
  <c r="R37" i="3"/>
  <c r="L40" i="4" s="1"/>
  <c r="R48" i="2"/>
  <c r="R59" i="2"/>
  <c r="R41" i="2"/>
  <c r="C44" i="4" s="1"/>
  <c r="R60" i="3"/>
  <c r="R8" i="3"/>
  <c r="L11" i="4" s="1"/>
  <c r="R30" i="2"/>
  <c r="C33" i="5" s="1"/>
  <c r="R39" i="3"/>
  <c r="L42" i="4" s="1"/>
  <c r="R8" i="2"/>
  <c r="C11" i="5" s="1"/>
  <c r="R20" i="2"/>
  <c r="C23" i="4" s="1"/>
  <c r="R24" i="2"/>
  <c r="C27" i="5" s="1"/>
  <c r="R46" i="3"/>
  <c r="L49" i="4" s="1"/>
  <c r="R5" i="2"/>
  <c r="C8" i="4" s="1"/>
  <c r="R43" i="3"/>
  <c r="L46" i="4" s="1"/>
  <c r="R32" i="2"/>
  <c r="C35" i="4" s="1"/>
  <c r="R50" i="3"/>
  <c r="R6" i="2"/>
  <c r="C9" i="5" s="1"/>
  <c r="R7" i="3"/>
  <c r="L10" i="4" s="1"/>
  <c r="R16" i="2"/>
  <c r="R25" i="3"/>
  <c r="L28" i="4" s="1"/>
  <c r="R3" i="3"/>
  <c r="L6" i="4" s="1"/>
  <c r="R18" i="2"/>
  <c r="C21" i="4" s="1"/>
  <c r="R58" i="3"/>
  <c r="R59" i="3"/>
  <c r="R19" i="3"/>
  <c r="L22" i="4" s="1"/>
  <c r="R25" i="2"/>
  <c r="C28" i="4" s="1"/>
  <c r="R27" i="2"/>
  <c r="C30" i="5" s="1"/>
  <c r="R13" i="2"/>
  <c r="C16" i="5" s="1"/>
  <c r="R21" i="2"/>
  <c r="C24" i="4" s="1"/>
  <c r="R14" i="3"/>
  <c r="L17" i="4" s="1"/>
  <c r="R48" i="3"/>
  <c r="R17" i="3"/>
  <c r="L20" i="4" s="1"/>
  <c r="R36" i="3"/>
  <c r="L39" i="4" s="1"/>
  <c r="R13" i="3"/>
  <c r="L16" i="4" s="1"/>
  <c r="R15" i="3"/>
  <c r="L18" i="4" s="1"/>
  <c r="R46" i="2"/>
  <c r="C49" i="4" s="1"/>
  <c r="R51" i="2"/>
  <c r="R64" i="2"/>
  <c r="R37" i="2"/>
  <c r="C40" i="5" s="1"/>
  <c r="R45" i="2"/>
  <c r="C48" i="5" s="1"/>
  <c r="R9" i="2"/>
  <c r="C12" i="5" s="1"/>
  <c r="R17" i="2"/>
  <c r="C20" i="4" s="1"/>
  <c r="R10" i="3"/>
  <c r="L13" i="4" s="1"/>
  <c r="R22" i="3"/>
  <c r="L25" i="4" s="1"/>
  <c r="R56" i="3"/>
  <c r="R57" i="3"/>
  <c r="R11" i="3"/>
  <c r="L14" i="4" s="1"/>
  <c r="R44" i="3"/>
  <c r="L47" i="4" s="1"/>
  <c r="R21" i="3"/>
  <c r="L24" i="4" s="1"/>
  <c r="R23" i="3"/>
  <c r="L26" i="4" s="1"/>
  <c r="R7" i="2"/>
  <c r="C10" i="5" s="1"/>
  <c r="R40" i="2"/>
  <c r="C43" i="4" s="1"/>
  <c r="R28" i="2"/>
  <c r="C31" i="4" s="1"/>
  <c r="R49" i="2"/>
  <c r="R4" i="2"/>
  <c r="C7" i="4" s="1"/>
  <c r="R43" i="2"/>
  <c r="C46" i="5" s="1"/>
  <c r="R65" i="2"/>
  <c r="R67" i="2"/>
  <c r="R9" i="3"/>
  <c r="L12" i="4" s="1"/>
  <c r="R34" i="3"/>
  <c r="L37" i="4" s="1"/>
  <c r="R30" i="3"/>
  <c r="L33" i="4" s="1"/>
  <c r="R64" i="3"/>
  <c r="R27" i="3"/>
  <c r="L30" i="4" s="1"/>
  <c r="R52" i="3"/>
  <c r="R26" i="3"/>
  <c r="L29" i="4" s="1"/>
  <c r="R29" i="3"/>
  <c r="L32" i="4" s="1"/>
  <c r="R31" i="3"/>
  <c r="L34" i="4" s="1"/>
  <c r="R44" i="2"/>
  <c r="C47" i="5" s="1"/>
  <c r="R62" i="2"/>
  <c r="R42" i="2"/>
  <c r="C45" i="5" s="1"/>
  <c r="R29" i="2"/>
  <c r="C32" i="5" s="1"/>
  <c r="R39" i="2"/>
  <c r="C42" i="4" s="1"/>
  <c r="R58" i="2"/>
  <c r="R14" i="2"/>
  <c r="C17" i="5" s="1"/>
  <c r="R12" i="2"/>
  <c r="C15" i="5" s="1"/>
  <c r="R19" i="2"/>
  <c r="C22" i="4" s="1"/>
  <c r="R52" i="2"/>
  <c r="R68" i="3"/>
  <c r="R66" i="3"/>
  <c r="R55" i="3"/>
  <c r="R65" i="3"/>
  <c r="R32" i="3"/>
  <c r="L35" i="4" s="1"/>
  <c r="R20" i="3"/>
  <c r="L23" i="4" s="1"/>
  <c r="R51" i="3"/>
  <c r="R61" i="3"/>
  <c r="R63" i="3"/>
  <c r="R3" i="2"/>
  <c r="C6" i="4" s="1"/>
  <c r="R31" i="2"/>
  <c r="C34" i="4" s="1"/>
  <c r="R50" i="2"/>
  <c r="R61" i="2"/>
  <c r="R47" i="2"/>
  <c r="C50" i="5" s="1"/>
  <c r="R66" i="2"/>
  <c r="R55" i="2"/>
  <c r="R63" i="2"/>
  <c r="R33" i="3"/>
  <c r="L36" i="4" s="1"/>
  <c r="R54" i="3"/>
  <c r="R16" i="3"/>
  <c r="L19" i="4" s="1"/>
  <c r="R4" i="3"/>
  <c r="L7" i="4" s="1"/>
  <c r="R45" i="3"/>
  <c r="L48" i="4" s="1"/>
  <c r="R47" i="3"/>
  <c r="L50" i="4" s="1"/>
  <c r="R56" i="2"/>
  <c r="R49" i="3"/>
  <c r="R62" i="3"/>
  <c r="R24" i="3"/>
  <c r="L27" i="4" s="1"/>
  <c r="R12" i="3"/>
  <c r="L15" i="4" s="1"/>
  <c r="R35" i="3"/>
  <c r="L38" i="4" s="1"/>
  <c r="R53" i="3"/>
  <c r="R42" i="3"/>
  <c r="L45" i="4" s="1"/>
  <c r="R34" i="2"/>
  <c r="C37" i="4" s="1"/>
  <c r="R23" i="2"/>
  <c r="C26" i="5" s="1"/>
  <c r="R69" i="2"/>
  <c r="R11" i="2"/>
  <c r="C14" i="5" s="1"/>
  <c r="R57" i="2"/>
  <c r="R36" i="2"/>
  <c r="C39" i="5" s="1"/>
  <c r="R60" i="2"/>
  <c r="R68" i="2"/>
  <c r="R10" i="2"/>
  <c r="C13" i="5" s="1"/>
  <c r="R35" i="2"/>
  <c r="C38" i="4" s="1"/>
  <c r="R6" i="3"/>
  <c r="L9" i="4" s="1"/>
  <c r="R40" i="3"/>
  <c r="L43" i="4" s="1"/>
  <c r="R18" i="3"/>
  <c r="L21" i="4" s="1"/>
  <c r="R28" i="3"/>
  <c r="L31" i="4" s="1"/>
  <c r="R67" i="3"/>
  <c r="R69" i="3"/>
  <c r="R5" i="3"/>
  <c r="L8" i="4" s="1"/>
  <c r="R26" i="2"/>
  <c r="C29" i="5" s="1"/>
  <c r="R15" i="2"/>
  <c r="C18" i="4" s="1"/>
  <c r="R33" i="2"/>
  <c r="C36" i="5" s="1"/>
  <c r="R22" i="2"/>
  <c r="C25" i="5" s="1"/>
  <c r="R53" i="2"/>
  <c r="R38" i="2"/>
  <c r="C41" i="4" s="1"/>
  <c r="R54" i="2"/>
  <c r="E21" i="5"/>
  <c r="E21" i="4"/>
  <c r="E20" i="5"/>
  <c r="E20" i="4"/>
  <c r="D21" i="5"/>
  <c r="D21" i="4"/>
  <c r="E9" i="5"/>
  <c r="E9" i="4"/>
  <c r="D50" i="5"/>
  <c r="D50" i="4"/>
  <c r="D39" i="5"/>
  <c r="D39" i="4"/>
  <c r="E45" i="5"/>
  <c r="E45" i="4"/>
  <c r="E47" i="5"/>
  <c r="E47" i="4"/>
  <c r="E34" i="5"/>
  <c r="E34" i="4"/>
  <c r="D41" i="5"/>
  <c r="D41" i="4"/>
  <c r="D14" i="4"/>
  <c r="D14" i="5"/>
  <c r="E17" i="5"/>
  <c r="E17" i="4"/>
  <c r="D9" i="5"/>
  <c r="D9" i="4"/>
  <c r="E11" i="4"/>
  <c r="E11" i="5"/>
  <c r="E13" i="5"/>
  <c r="E13" i="4"/>
  <c r="E23" i="5"/>
  <c r="E23" i="4"/>
  <c r="D32" i="5"/>
  <c r="D32" i="4"/>
  <c r="D29" i="4"/>
  <c r="D29" i="5"/>
  <c r="D48" i="5"/>
  <c r="D48" i="4"/>
  <c r="D45" i="4"/>
  <c r="D45" i="5"/>
  <c r="D11" i="4"/>
  <c r="D11" i="5"/>
  <c r="C10" i="4"/>
  <c r="E12" i="5"/>
  <c r="E12" i="4"/>
  <c r="E33" i="5"/>
  <c r="E33" i="4"/>
  <c r="D40" i="5"/>
  <c r="D40" i="4"/>
  <c r="E22" i="5"/>
  <c r="E22" i="4"/>
  <c r="E40" i="4"/>
  <c r="E40" i="5"/>
  <c r="D6" i="4"/>
  <c r="D6" i="5"/>
  <c r="D27" i="4"/>
  <c r="D27" i="5"/>
  <c r="E43" i="4"/>
  <c r="E43" i="5"/>
  <c r="E42" i="4"/>
  <c r="E42" i="5"/>
  <c r="D42" i="5"/>
  <c r="D42" i="4"/>
  <c r="E46" i="5"/>
  <c r="E46" i="4"/>
  <c r="E8" i="4"/>
  <c r="E8" i="5"/>
  <c r="D12" i="5"/>
  <c r="D12" i="4"/>
  <c r="D15" i="5"/>
  <c r="D15" i="4"/>
  <c r="E16" i="4"/>
  <c r="E16" i="5"/>
  <c r="E15" i="5"/>
  <c r="E15" i="4"/>
  <c r="E27" i="4"/>
  <c r="E27" i="5"/>
  <c r="D16" i="5"/>
  <c r="D16" i="4"/>
  <c r="D13" i="5"/>
  <c r="D13" i="4"/>
  <c r="D34" i="5"/>
  <c r="D34" i="4"/>
  <c r="D7" i="5"/>
  <c r="D7" i="4"/>
  <c r="D19" i="4"/>
  <c r="D19" i="5"/>
  <c r="D31" i="5"/>
  <c r="D31" i="4"/>
  <c r="D35" i="4"/>
  <c r="D35" i="5"/>
  <c r="E26" i="5"/>
  <c r="E26" i="4"/>
  <c r="D24" i="5"/>
  <c r="D24" i="4"/>
  <c r="D37" i="5"/>
  <c r="D37" i="4"/>
  <c r="D43" i="4"/>
  <c r="D43" i="5"/>
  <c r="E25" i="5"/>
  <c r="E25" i="4"/>
  <c r="E6" i="5"/>
  <c r="E6" i="4"/>
  <c r="D25" i="5"/>
  <c r="D25" i="4"/>
  <c r="D28" i="5"/>
  <c r="D28" i="4"/>
  <c r="E10" i="4"/>
  <c r="E10" i="5"/>
  <c r="E44" i="5"/>
  <c r="E44" i="4"/>
  <c r="E39" i="5"/>
  <c r="E39" i="4"/>
  <c r="E28" i="5"/>
  <c r="E28" i="4"/>
  <c r="E48" i="4"/>
  <c r="E48" i="5"/>
  <c r="E31" i="5"/>
  <c r="E31" i="4"/>
  <c r="E30" i="5"/>
  <c r="E30" i="4"/>
  <c r="D17" i="5"/>
  <c r="D17" i="4"/>
  <c r="D33" i="5"/>
  <c r="D33" i="4"/>
  <c r="D26" i="5"/>
  <c r="D26" i="4"/>
  <c r="D49" i="5"/>
  <c r="D49" i="4"/>
  <c r="C19" i="4"/>
  <c r="C19" i="5"/>
  <c r="E18" i="4"/>
  <c r="E18" i="5"/>
  <c r="E36" i="5"/>
  <c r="E36" i="4"/>
  <c r="E19" i="5"/>
  <c r="E19" i="4"/>
  <c r="D22" i="4"/>
  <c r="D22" i="5"/>
  <c r="E7" i="5"/>
  <c r="E7" i="4"/>
  <c r="E32" i="4"/>
  <c r="E32" i="5"/>
  <c r="D18" i="5"/>
  <c r="D18" i="4"/>
  <c r="D23" i="5"/>
  <c r="D23" i="4"/>
  <c r="E29" i="5"/>
  <c r="E29" i="4"/>
  <c r="D10" i="5"/>
  <c r="D10" i="4"/>
  <c r="E35" i="4"/>
  <c r="E35" i="5"/>
  <c r="D30" i="5"/>
  <c r="D30" i="4"/>
  <c r="D46" i="4"/>
  <c r="D46" i="5"/>
  <c r="D44" i="5"/>
  <c r="D44" i="4"/>
  <c r="E50" i="4"/>
  <c r="E50" i="5"/>
  <c r="E49" i="5"/>
  <c r="E49" i="4"/>
  <c r="E14" i="5"/>
  <c r="E14" i="4"/>
  <c r="E38" i="5"/>
  <c r="E38" i="4"/>
  <c r="E37" i="5"/>
  <c r="E37" i="4"/>
  <c r="E41" i="5"/>
  <c r="E41" i="4"/>
  <c r="E24" i="4"/>
  <c r="E24" i="5"/>
  <c r="D47" i="5"/>
  <c r="D47" i="4"/>
  <c r="D38" i="4"/>
  <c r="D38" i="5"/>
  <c r="D20" i="5"/>
  <c r="D20" i="4"/>
  <c r="D36" i="5"/>
  <c r="D36" i="4"/>
  <c r="D8" i="5"/>
  <c r="D8" i="4"/>
  <c r="FA18" i="4"/>
  <c r="FB18" i="4"/>
  <c r="FA17" i="4"/>
  <c r="FB17" i="4"/>
  <c r="BP39" i="4"/>
  <c r="BQ39" i="4"/>
  <c r="FA27" i="4"/>
  <c r="FB27" i="4"/>
  <c r="FA31" i="4"/>
  <c r="FB31" i="4"/>
  <c r="FC31" i="4" s="1"/>
  <c r="BO31" i="4" s="1"/>
  <c r="FA23" i="4"/>
  <c r="FB23" i="4"/>
  <c r="FB16" i="4"/>
  <c r="FA16" i="4"/>
  <c r="BP47" i="4"/>
  <c r="BQ47" i="4"/>
  <c r="BQ38" i="4"/>
  <c r="BP38" i="4"/>
  <c r="FB12" i="4"/>
  <c r="FA12" i="4"/>
  <c r="BP37" i="4"/>
  <c r="BQ37" i="4"/>
  <c r="FA32" i="4"/>
  <c r="FB32" i="4"/>
  <c r="FC32" i="4" s="1"/>
  <c r="BO32" i="4" s="1"/>
  <c r="FA8" i="4"/>
  <c r="FB8" i="4"/>
  <c r="BP43" i="4"/>
  <c r="BQ43" i="4"/>
  <c r="BP48" i="4"/>
  <c r="BQ48" i="4"/>
  <c r="FA35" i="4"/>
  <c r="FB35" i="4"/>
  <c r="FC35" i="4" s="1"/>
  <c r="BO35" i="4" s="1"/>
  <c r="BP46" i="4"/>
  <c r="BQ46" i="4"/>
  <c r="BQ36" i="4"/>
  <c r="BP36" i="4"/>
  <c r="BP45" i="4"/>
  <c r="BQ45" i="4"/>
  <c r="BP49" i="4"/>
  <c r="BQ49" i="4"/>
  <c r="FB10" i="4"/>
  <c r="FA10" i="4"/>
  <c r="FA24" i="4"/>
  <c r="FB24" i="4"/>
  <c r="FA29" i="4"/>
  <c r="FB29" i="4"/>
  <c r="FC29" i="4" s="1"/>
  <c r="BO29" i="4" s="1"/>
  <c r="FA6" i="4"/>
  <c r="FB6" i="4"/>
  <c r="FA25" i="4"/>
  <c r="FB25" i="4"/>
  <c r="FA11" i="4"/>
  <c r="FB11" i="4"/>
  <c r="BP41" i="4"/>
  <c r="BQ41" i="4"/>
  <c r="BP44" i="4"/>
  <c r="BQ44" i="4"/>
  <c r="FA26" i="4"/>
  <c r="FB26" i="4"/>
  <c r="FB14" i="4"/>
  <c r="FA14" i="4"/>
  <c r="BQ42" i="4"/>
  <c r="BP42" i="4"/>
  <c r="FA21" i="4"/>
  <c r="FB21" i="4"/>
  <c r="FA20" i="4"/>
  <c r="FB20" i="4"/>
  <c r="FA9" i="4"/>
  <c r="FB9" i="4"/>
  <c r="FA33" i="4"/>
  <c r="FB33" i="4"/>
  <c r="FC33" i="4" s="1"/>
  <c r="BO33" i="4" s="1"/>
  <c r="FB13" i="4"/>
  <c r="FA13" i="4"/>
  <c r="BQ50" i="4"/>
  <c r="BP50" i="4"/>
  <c r="BQ40" i="4"/>
  <c r="BP40" i="4"/>
  <c r="FA7" i="4"/>
  <c r="FB7" i="4"/>
  <c r="FA15" i="4"/>
  <c r="FB15" i="4"/>
  <c r="FB34" i="4"/>
  <c r="FC34" i="4" s="1"/>
  <c r="BO34" i="4" s="1"/>
  <c r="FA34" i="4"/>
  <c r="FA19" i="4"/>
  <c r="FB19" i="4"/>
  <c r="FA30" i="4"/>
  <c r="FB30" i="4"/>
  <c r="FC30" i="4" s="1"/>
  <c r="BO30" i="4" s="1"/>
  <c r="FA22" i="4"/>
  <c r="FB22" i="4"/>
  <c r="FA28" i="4"/>
  <c r="FB28" i="4"/>
  <c r="FC28" i="4" s="1"/>
  <c r="BO28" i="4" s="1"/>
  <c r="FC24" i="4" l="1"/>
  <c r="BO24" i="4" s="1"/>
  <c r="FC23" i="4"/>
  <c r="BO23" i="4" s="1"/>
  <c r="BP23" i="4" s="1"/>
  <c r="FC27" i="4"/>
  <c r="BO27" i="4" s="1"/>
  <c r="FC22" i="4"/>
  <c r="BO22" i="4" s="1"/>
  <c r="FC25" i="4"/>
  <c r="BO25" i="4" s="1"/>
  <c r="FC26" i="4"/>
  <c r="BO26" i="4" s="1"/>
  <c r="C50" i="4"/>
  <c r="C37" i="5"/>
  <c r="AY37" i="5" s="1"/>
  <c r="CX7" i="4"/>
  <c r="DJ7" i="4" s="1"/>
  <c r="DV7" i="4" s="1"/>
  <c r="EH7" i="4" s="1"/>
  <c r="CX6" i="4"/>
  <c r="DJ6" i="4" s="1"/>
  <c r="DV6" i="4" s="1"/>
  <c r="EH6" i="4" s="1"/>
  <c r="CX8" i="4"/>
  <c r="DJ8" i="4" s="1"/>
  <c r="DV8" i="4" s="1"/>
  <c r="EH8" i="4" s="1"/>
  <c r="CX10" i="4"/>
  <c r="DJ10" i="4" s="1"/>
  <c r="DV10" i="4" s="1"/>
  <c r="EH10" i="4" s="1"/>
  <c r="DI6" i="4"/>
  <c r="J5" i="9" s="1"/>
  <c r="CX11" i="4"/>
  <c r="DJ11" i="4" s="1"/>
  <c r="DV11" i="4" s="1"/>
  <c r="EH11" i="4" s="1"/>
  <c r="DI8" i="4"/>
  <c r="J7" i="9" s="1"/>
  <c r="CX9" i="4"/>
  <c r="DJ9" i="4" s="1"/>
  <c r="DV9" i="4" s="1"/>
  <c r="EH9" i="4" s="1"/>
  <c r="C18" i="5"/>
  <c r="AZ18" i="5" s="1"/>
  <c r="C45" i="4"/>
  <c r="C49" i="5"/>
  <c r="AZ49" i="5" s="1"/>
  <c r="C30" i="4"/>
  <c r="C33" i="4"/>
  <c r="C22" i="5"/>
  <c r="C20" i="5"/>
  <c r="C21" i="5"/>
  <c r="BH21" i="5" s="1"/>
  <c r="C43" i="5"/>
  <c r="AZ43" i="5" s="1"/>
  <c r="BC43" i="5" s="1"/>
  <c r="C31" i="5"/>
  <c r="AX31" i="5" s="1"/>
  <c r="C29" i="4"/>
  <c r="FC20" i="4"/>
  <c r="BO20" i="4" s="1"/>
  <c r="BQ20" i="4" s="1"/>
  <c r="FC19" i="4"/>
  <c r="BO19" i="4" s="1"/>
  <c r="BP19" i="4" s="1"/>
  <c r="FC17" i="4"/>
  <c r="BO17" i="4" s="1"/>
  <c r="BQ17" i="4" s="1"/>
  <c r="FC18" i="4"/>
  <c r="BO18" i="4" s="1"/>
  <c r="FC16" i="4"/>
  <c r="BO16" i="4" s="1"/>
  <c r="BQ16" i="4" s="1"/>
  <c r="AK6" i="4"/>
  <c r="B5" i="9" s="1"/>
  <c r="FC21" i="4"/>
  <c r="BO21" i="4" s="1"/>
  <c r="BP21" i="4" s="1"/>
  <c r="C27" i="4"/>
  <c r="C17" i="4"/>
  <c r="C35" i="5"/>
  <c r="AK35" i="5" s="1"/>
  <c r="BI35" i="5" s="1"/>
  <c r="C13" i="4"/>
  <c r="C23" i="5"/>
  <c r="AK23" i="5" s="1"/>
  <c r="AO23" i="5" s="1"/>
  <c r="C47" i="4"/>
  <c r="C36" i="4"/>
  <c r="C26" i="4"/>
  <c r="C38" i="5"/>
  <c r="AX38" i="5" s="1"/>
  <c r="C48" i="4"/>
  <c r="C25" i="4"/>
  <c r="C34" i="5"/>
  <c r="AJ34" i="5" s="1"/>
  <c r="D33" i="9" s="1"/>
  <c r="C7" i="5"/>
  <c r="AK7" i="5" s="1"/>
  <c r="AO7" i="5" s="1"/>
  <c r="C11" i="4"/>
  <c r="C42" i="5"/>
  <c r="BG42" i="5" s="1"/>
  <c r="C44" i="5"/>
  <c r="BG44" i="5" s="1"/>
  <c r="C9" i="4"/>
  <c r="C46" i="4"/>
  <c r="C12" i="4"/>
  <c r="C8" i="5"/>
  <c r="AX8" i="5" s="1"/>
  <c r="C15" i="4"/>
  <c r="C39" i="4"/>
  <c r="C40" i="4"/>
  <c r="C41" i="5"/>
  <c r="BH41" i="5" s="1"/>
  <c r="C28" i="5"/>
  <c r="BG28" i="5" s="1"/>
  <c r="C6" i="5"/>
  <c r="AZ6" i="5" s="1"/>
  <c r="AJ10" i="4"/>
  <c r="BA10" i="4" s="1"/>
  <c r="C14" i="4"/>
  <c r="AJ7" i="4"/>
  <c r="AN7" i="4" s="1"/>
  <c r="C16" i="4"/>
  <c r="C24" i="5"/>
  <c r="AK24" i="5" s="1"/>
  <c r="AO24" i="5" s="1"/>
  <c r="C32" i="4"/>
  <c r="AJ8" i="4"/>
  <c r="BA8" i="4" s="1"/>
  <c r="FC14" i="4"/>
  <c r="BO14" i="4" s="1"/>
  <c r="BP14" i="4" s="1"/>
  <c r="FC12" i="4"/>
  <c r="BO12" i="4" s="1"/>
  <c r="BQ12" i="4" s="1"/>
  <c r="FC15" i="4"/>
  <c r="BO15" i="4" s="1"/>
  <c r="BQ15" i="4" s="1"/>
  <c r="FC13" i="4"/>
  <c r="BO13" i="4" s="1"/>
  <c r="BQ13" i="4" s="1"/>
  <c r="DH11" i="4"/>
  <c r="I10" i="9" s="1"/>
  <c r="CW11" i="4"/>
  <c r="AK7" i="4"/>
  <c r="B6" i="9" s="1"/>
  <c r="AK8" i="4"/>
  <c r="B7" i="9" s="1"/>
  <c r="CV8" i="4"/>
  <c r="DA8" i="4" s="1"/>
  <c r="CW8" i="4"/>
  <c r="CV11" i="4"/>
  <c r="DA11" i="4" s="1"/>
  <c r="AJ6" i="4"/>
  <c r="AN6" i="4" s="1"/>
  <c r="DH8" i="4"/>
  <c r="I7" i="9" s="1"/>
  <c r="CW6" i="4"/>
  <c r="CW10" i="4"/>
  <c r="DH10" i="4"/>
  <c r="I9" i="9" s="1"/>
  <c r="DH9" i="4"/>
  <c r="I8" i="9" s="1"/>
  <c r="CV10" i="4"/>
  <c r="DA10" i="4" s="1"/>
  <c r="CV9" i="4"/>
  <c r="DA9" i="4" s="1"/>
  <c r="DH6" i="4"/>
  <c r="I5" i="9" s="1"/>
  <c r="CV6" i="4"/>
  <c r="DA6" i="4" s="1"/>
  <c r="DU46" i="4"/>
  <c r="DH46" i="4"/>
  <c r="I45" i="9" s="1"/>
  <c r="DT46" i="4"/>
  <c r="EF46" i="4"/>
  <c r="K45" i="9" s="1"/>
  <c r="CV46" i="4"/>
  <c r="EG46" i="4"/>
  <c r="L45" i="9" s="1"/>
  <c r="CW46" i="4"/>
  <c r="CX46" i="4"/>
  <c r="DJ46" i="4" s="1"/>
  <c r="DV46" i="4" s="1"/>
  <c r="EH46" i="4" s="1"/>
  <c r="DU33" i="5"/>
  <c r="P32" i="9" s="1"/>
  <c r="EF33" i="5"/>
  <c r="EG33" i="5"/>
  <c r="DH33" i="5"/>
  <c r="DT33" i="5"/>
  <c r="O32" i="9" s="1"/>
  <c r="CX33" i="5"/>
  <c r="DJ33" i="5" s="1"/>
  <c r="DV33" i="5" s="1"/>
  <c r="EH33" i="5" s="1"/>
  <c r="CW33" i="5"/>
  <c r="N32" i="9" s="1"/>
  <c r="CV33" i="5"/>
  <c r="M32" i="9" s="1"/>
  <c r="DH15" i="5"/>
  <c r="CW15" i="5"/>
  <c r="N14" i="9" s="1"/>
  <c r="CX15" i="5"/>
  <c r="DJ15" i="5" s="1"/>
  <c r="DV15" i="5" s="1"/>
  <c r="EH15" i="5" s="1"/>
  <c r="CV15" i="5"/>
  <c r="M14" i="9" s="1"/>
  <c r="DI21" i="5"/>
  <c r="CY21" i="5"/>
  <c r="DK21" i="5" s="1"/>
  <c r="DW21" i="5" s="1"/>
  <c r="EI21" i="5" s="1"/>
  <c r="EY21" i="5"/>
  <c r="EZ21" i="5" s="1"/>
  <c r="BN21" i="5" s="1"/>
  <c r="CV20" i="4"/>
  <c r="CW20" i="4"/>
  <c r="CX20" i="4"/>
  <c r="DJ20" i="4" s="1"/>
  <c r="DV20" i="4" s="1"/>
  <c r="EH20" i="4" s="1"/>
  <c r="DH20" i="4"/>
  <c r="I19" i="9" s="1"/>
  <c r="DT46" i="5"/>
  <c r="O45" i="9" s="1"/>
  <c r="CX46" i="5"/>
  <c r="DJ46" i="5" s="1"/>
  <c r="DV46" i="5" s="1"/>
  <c r="EH46" i="5" s="1"/>
  <c r="DU46" i="5"/>
  <c r="P45" i="9" s="1"/>
  <c r="CV46" i="5"/>
  <c r="M45" i="9" s="1"/>
  <c r="EG46" i="5"/>
  <c r="EF46" i="5"/>
  <c r="CW46" i="5"/>
  <c r="N45" i="9" s="1"/>
  <c r="DH46" i="5"/>
  <c r="EY7" i="4"/>
  <c r="EZ7" i="4" s="1"/>
  <c r="BN7" i="4" s="1"/>
  <c r="CY7" i="4"/>
  <c r="DK7" i="4" s="1"/>
  <c r="DW7" i="4" s="1"/>
  <c r="EI7" i="4" s="1"/>
  <c r="EF33" i="4"/>
  <c r="K32" i="9" s="1"/>
  <c r="CV33" i="4"/>
  <c r="EG33" i="4"/>
  <c r="L32" i="9" s="1"/>
  <c r="CW33" i="4"/>
  <c r="CX33" i="4"/>
  <c r="DJ33" i="4" s="1"/>
  <c r="DV33" i="4" s="1"/>
  <c r="EH33" i="4" s="1"/>
  <c r="DT33" i="4"/>
  <c r="DH33" i="4"/>
  <c r="I32" i="9" s="1"/>
  <c r="DU33" i="4"/>
  <c r="BG17" i="5"/>
  <c r="BH17" i="5"/>
  <c r="AY17" i="5"/>
  <c r="AJ17" i="5"/>
  <c r="D16" i="9" s="1"/>
  <c r="AZ17" i="5"/>
  <c r="AK17" i="5"/>
  <c r="AX17" i="5"/>
  <c r="DH15" i="4"/>
  <c r="I14" i="9" s="1"/>
  <c r="CW15" i="4"/>
  <c r="CV15" i="4"/>
  <c r="CX15" i="4"/>
  <c r="DJ15" i="4" s="1"/>
  <c r="DV15" i="4" s="1"/>
  <c r="EH15" i="4" s="1"/>
  <c r="EY40" i="5"/>
  <c r="EZ40" i="5" s="1"/>
  <c r="BN40" i="5" s="1"/>
  <c r="CY40" i="5"/>
  <c r="DK40" i="5" s="1"/>
  <c r="DW40" i="5" s="1"/>
  <c r="EI40" i="5" s="1"/>
  <c r="DI40" i="5"/>
  <c r="DU29" i="5"/>
  <c r="P28" i="9" s="1"/>
  <c r="EF29" i="5"/>
  <c r="CV29" i="5"/>
  <c r="M28" i="9" s="1"/>
  <c r="EG29" i="5"/>
  <c r="CW29" i="5"/>
  <c r="N28" i="9" s="1"/>
  <c r="CX29" i="5"/>
  <c r="DJ29" i="5" s="1"/>
  <c r="DV29" i="5" s="1"/>
  <c r="EH29" i="5" s="1"/>
  <c r="DT29" i="5"/>
  <c r="O28" i="9" s="1"/>
  <c r="DH29" i="5"/>
  <c r="AX50" i="5"/>
  <c r="AJ50" i="5"/>
  <c r="D49" i="9" s="1"/>
  <c r="AY50" i="5"/>
  <c r="AK50" i="5"/>
  <c r="AO50" i="5" s="1"/>
  <c r="AZ50" i="5"/>
  <c r="BG50" i="5"/>
  <c r="BH50" i="5"/>
  <c r="EG36" i="5"/>
  <c r="CW36" i="5"/>
  <c r="N35" i="9" s="1"/>
  <c r="CX36" i="5"/>
  <c r="DJ36" i="5" s="1"/>
  <c r="DV36" i="5" s="1"/>
  <c r="EH36" i="5" s="1"/>
  <c r="DH36" i="5"/>
  <c r="CV36" i="5"/>
  <c r="M35" i="9" s="1"/>
  <c r="DT36" i="5"/>
  <c r="O35" i="9" s="1"/>
  <c r="DU36" i="5"/>
  <c r="P35" i="9" s="1"/>
  <c r="EF36" i="5"/>
  <c r="DU44" i="5"/>
  <c r="P43" i="9" s="1"/>
  <c r="CW44" i="5"/>
  <c r="N43" i="9" s="1"/>
  <c r="EF44" i="5"/>
  <c r="CX44" i="5"/>
  <c r="DJ44" i="5" s="1"/>
  <c r="DV44" i="5" s="1"/>
  <c r="EH44" i="5" s="1"/>
  <c r="EG44" i="5"/>
  <c r="DH44" i="5"/>
  <c r="CV44" i="5"/>
  <c r="M43" i="9" s="1"/>
  <c r="DT44" i="5"/>
  <c r="O43" i="9" s="1"/>
  <c r="CY19" i="5"/>
  <c r="DK19" i="5" s="1"/>
  <c r="DW19" i="5" s="1"/>
  <c r="EI19" i="5" s="1"/>
  <c r="DI19" i="5"/>
  <c r="EY19" i="5"/>
  <c r="EZ19" i="5" s="1"/>
  <c r="BN19" i="5" s="1"/>
  <c r="DI44" i="5"/>
  <c r="CY44" i="5"/>
  <c r="DK44" i="5" s="1"/>
  <c r="DW44" i="5" s="1"/>
  <c r="EI44" i="5" s="1"/>
  <c r="EY44" i="5"/>
  <c r="EZ44" i="5" s="1"/>
  <c r="BN44" i="5" s="1"/>
  <c r="DH37" i="5"/>
  <c r="DU37" i="5"/>
  <c r="P36" i="9" s="1"/>
  <c r="DT37" i="5"/>
  <c r="O36" i="9" s="1"/>
  <c r="EF37" i="5"/>
  <c r="CV37" i="5"/>
  <c r="M36" i="9" s="1"/>
  <c r="CW37" i="5"/>
  <c r="N36" i="9" s="1"/>
  <c r="CX37" i="5"/>
  <c r="DJ37" i="5" s="1"/>
  <c r="DV37" i="5" s="1"/>
  <c r="EH37" i="5" s="1"/>
  <c r="EG37" i="5"/>
  <c r="AJ45" i="5"/>
  <c r="D44" i="9" s="1"/>
  <c r="BG45" i="5"/>
  <c r="BH45" i="5"/>
  <c r="AX45" i="5"/>
  <c r="AK45" i="5"/>
  <c r="AO45" i="5" s="1"/>
  <c r="AY45" i="5"/>
  <c r="AZ45" i="5"/>
  <c r="BG20" i="5"/>
  <c r="AK20" i="5"/>
  <c r="BI20" i="5" s="1"/>
  <c r="BH20" i="5"/>
  <c r="AX20" i="5"/>
  <c r="AJ20" i="5"/>
  <c r="D19" i="9" s="1"/>
  <c r="AY20" i="5"/>
  <c r="AZ20" i="5"/>
  <c r="BC20" i="5" s="1"/>
  <c r="EF48" i="5"/>
  <c r="CX48" i="5"/>
  <c r="DJ48" i="5" s="1"/>
  <c r="DV48" i="5" s="1"/>
  <c r="EH48" i="5" s="1"/>
  <c r="EG48" i="5"/>
  <c r="DH48" i="5"/>
  <c r="DT48" i="5"/>
  <c r="O47" i="9" s="1"/>
  <c r="DU48" i="5"/>
  <c r="P47" i="9" s="1"/>
  <c r="CV48" i="5"/>
  <c r="M47" i="9" s="1"/>
  <c r="CW48" i="5"/>
  <c r="N47" i="9" s="1"/>
  <c r="EY9" i="5"/>
  <c r="EZ9" i="5" s="1"/>
  <c r="BN9" i="5" s="1"/>
  <c r="CY9" i="5"/>
  <c r="DK9" i="5" s="1"/>
  <c r="DW9" i="5" s="1"/>
  <c r="EI9" i="5" s="1"/>
  <c r="DI9" i="5"/>
  <c r="AK9" i="5"/>
  <c r="BI9" i="5" s="1"/>
  <c r="AX9" i="5"/>
  <c r="BG9" i="5"/>
  <c r="AY9" i="5"/>
  <c r="AZ9" i="5"/>
  <c r="BC9" i="5" s="1"/>
  <c r="AJ9" i="5"/>
  <c r="D8" i="9" s="1"/>
  <c r="BH9" i="5"/>
  <c r="EY31" i="4"/>
  <c r="EZ31" i="4" s="1"/>
  <c r="BN31" i="4" s="1"/>
  <c r="CY31" i="4"/>
  <c r="DK31" i="4" s="1"/>
  <c r="DW31" i="4" s="1"/>
  <c r="EI31" i="4" s="1"/>
  <c r="DI31" i="4"/>
  <c r="J30" i="9" s="1"/>
  <c r="CY6" i="4"/>
  <c r="DK6" i="4" s="1"/>
  <c r="DW6" i="4" s="1"/>
  <c r="EI6" i="4" s="1"/>
  <c r="EY6" i="4"/>
  <c r="EZ6" i="4" s="1"/>
  <c r="BN6" i="4" s="1"/>
  <c r="DH19" i="5"/>
  <c r="CW19" i="5"/>
  <c r="N18" i="9" s="1"/>
  <c r="CX19" i="5"/>
  <c r="DJ19" i="5" s="1"/>
  <c r="DV19" i="5" s="1"/>
  <c r="EH19" i="5" s="1"/>
  <c r="CV19" i="5"/>
  <c r="M18" i="9" s="1"/>
  <c r="CY46" i="4"/>
  <c r="DK46" i="4" s="1"/>
  <c r="DW46" i="4" s="1"/>
  <c r="EI46" i="4" s="1"/>
  <c r="DI46" i="4"/>
  <c r="J45" i="9" s="1"/>
  <c r="EY46" i="4"/>
  <c r="EZ46" i="4" s="1"/>
  <c r="BN46" i="4" s="1"/>
  <c r="CY20" i="4"/>
  <c r="DK20" i="4" s="1"/>
  <c r="DW20" i="4" s="1"/>
  <c r="EI20" i="4" s="1"/>
  <c r="EY20" i="4"/>
  <c r="EZ20" i="4" s="1"/>
  <c r="BN20" i="4" s="1"/>
  <c r="DI20" i="4"/>
  <c r="J19" i="9" s="1"/>
  <c r="DH8" i="5"/>
  <c r="CX8" i="5"/>
  <c r="DJ8" i="5" s="1"/>
  <c r="DV8" i="5" s="1"/>
  <c r="EH8" i="5" s="1"/>
  <c r="CV8" i="5"/>
  <c r="M7" i="9" s="1"/>
  <c r="CW8" i="5"/>
  <c r="N7" i="9" s="1"/>
  <c r="EF47" i="5"/>
  <c r="CW47" i="5"/>
  <c r="N46" i="9" s="1"/>
  <c r="EG47" i="5"/>
  <c r="CX47" i="5"/>
  <c r="DJ47" i="5" s="1"/>
  <c r="DV47" i="5" s="1"/>
  <c r="EH47" i="5" s="1"/>
  <c r="DH47" i="5"/>
  <c r="DT47" i="5"/>
  <c r="O46" i="9" s="1"/>
  <c r="DU47" i="5"/>
  <c r="P46" i="9" s="1"/>
  <c r="CV47" i="5"/>
  <c r="M46" i="9" s="1"/>
  <c r="CY38" i="5"/>
  <c r="DK38" i="5" s="1"/>
  <c r="DW38" i="5" s="1"/>
  <c r="EI38" i="5" s="1"/>
  <c r="DI38" i="5"/>
  <c r="EY38" i="5"/>
  <c r="EZ38" i="5" s="1"/>
  <c r="BN38" i="5" s="1"/>
  <c r="BG12" i="5"/>
  <c r="BH12" i="5"/>
  <c r="AK12" i="5"/>
  <c r="AO12" i="5" s="1"/>
  <c r="AX12" i="5"/>
  <c r="AJ12" i="5"/>
  <c r="D11" i="9" s="1"/>
  <c r="AY12" i="5"/>
  <c r="AZ12" i="5"/>
  <c r="EY35" i="4"/>
  <c r="EZ35" i="4" s="1"/>
  <c r="BN35" i="4" s="1"/>
  <c r="CY35" i="4"/>
  <c r="DK35" i="4" s="1"/>
  <c r="DW35" i="4" s="1"/>
  <c r="EI35" i="4" s="1"/>
  <c r="DI35" i="4"/>
  <c r="J34" i="9" s="1"/>
  <c r="DH18" i="5"/>
  <c r="CV18" i="5"/>
  <c r="M17" i="9" s="1"/>
  <c r="CW18" i="5"/>
  <c r="N17" i="9" s="1"/>
  <c r="CX18" i="5"/>
  <c r="DJ18" i="5" s="1"/>
  <c r="DV18" i="5" s="1"/>
  <c r="EH18" i="5" s="1"/>
  <c r="CV22" i="4"/>
  <c r="CW22" i="4"/>
  <c r="CX22" i="4"/>
  <c r="DJ22" i="4" s="1"/>
  <c r="DV22" i="4" s="1"/>
  <c r="EH22" i="4" s="1"/>
  <c r="DH22" i="4"/>
  <c r="I21" i="9" s="1"/>
  <c r="BG8" i="5"/>
  <c r="DH49" i="5"/>
  <c r="DT49" i="5"/>
  <c r="O48" i="9" s="1"/>
  <c r="EF49" i="5"/>
  <c r="CW49" i="5"/>
  <c r="N48" i="9" s="1"/>
  <c r="DU49" i="5"/>
  <c r="P48" i="9" s="1"/>
  <c r="CV49" i="5"/>
  <c r="M48" i="9" s="1"/>
  <c r="EG49" i="5"/>
  <c r="CX49" i="5"/>
  <c r="DJ49" i="5" s="1"/>
  <c r="DV49" i="5" s="1"/>
  <c r="EH49" i="5" s="1"/>
  <c r="EY30" i="5"/>
  <c r="EZ30" i="5" s="1"/>
  <c r="BN30" i="5" s="1"/>
  <c r="CY30" i="5"/>
  <c r="DK30" i="5" s="1"/>
  <c r="DW30" i="5" s="1"/>
  <c r="EI30" i="5" s="1"/>
  <c r="DI30" i="5"/>
  <c r="DI39" i="5"/>
  <c r="EY39" i="5"/>
  <c r="EZ39" i="5" s="1"/>
  <c r="BN39" i="5" s="1"/>
  <c r="CY39" i="5"/>
  <c r="DK39" i="5" s="1"/>
  <c r="DW39" i="5" s="1"/>
  <c r="EI39" i="5" s="1"/>
  <c r="DH28" i="5"/>
  <c r="EF28" i="5"/>
  <c r="DT28" i="5"/>
  <c r="O27" i="9" s="1"/>
  <c r="CV28" i="5"/>
  <c r="M27" i="9" s="1"/>
  <c r="DU28" i="5"/>
  <c r="P27" i="9" s="1"/>
  <c r="CW28" i="5"/>
  <c r="N27" i="9" s="1"/>
  <c r="CX28" i="5"/>
  <c r="DJ28" i="5" s="1"/>
  <c r="DV28" i="5" s="1"/>
  <c r="EH28" i="5" s="1"/>
  <c r="EG28" i="5"/>
  <c r="CX43" i="4"/>
  <c r="DJ43" i="4" s="1"/>
  <c r="DV43" i="4" s="1"/>
  <c r="EH43" i="4" s="1"/>
  <c r="DT43" i="4"/>
  <c r="CV43" i="4"/>
  <c r="DU43" i="4"/>
  <c r="CW43" i="4"/>
  <c r="EF43" i="4"/>
  <c r="K42" i="9" s="1"/>
  <c r="DH43" i="4"/>
  <c r="I42" i="9" s="1"/>
  <c r="EG43" i="4"/>
  <c r="L42" i="9" s="1"/>
  <c r="AY22" i="4"/>
  <c r="AK22" i="4"/>
  <c r="B21" i="9" s="1"/>
  <c r="AZ22" i="4"/>
  <c r="BG22" i="4"/>
  <c r="BH22" i="4"/>
  <c r="AJ22" i="4"/>
  <c r="BA22" i="4" s="1"/>
  <c r="AX22" i="4"/>
  <c r="EG31" i="5"/>
  <c r="CW31" i="5"/>
  <c r="N30" i="9" s="1"/>
  <c r="CX31" i="5"/>
  <c r="DJ31" i="5" s="1"/>
  <c r="DV31" i="5" s="1"/>
  <c r="EH31" i="5" s="1"/>
  <c r="DH31" i="5"/>
  <c r="DU31" i="5"/>
  <c r="P30" i="9" s="1"/>
  <c r="EF31" i="5"/>
  <c r="DT31" i="5"/>
  <c r="O30" i="9" s="1"/>
  <c r="CV31" i="5"/>
  <c r="M30" i="9" s="1"/>
  <c r="CV13" i="5"/>
  <c r="M12" i="9" s="1"/>
  <c r="DH13" i="5"/>
  <c r="CX13" i="5"/>
  <c r="DJ13" i="5" s="1"/>
  <c r="DV13" i="5" s="1"/>
  <c r="EH13" i="5" s="1"/>
  <c r="CW13" i="5"/>
  <c r="N12" i="9" s="1"/>
  <c r="CY16" i="4"/>
  <c r="DK16" i="4" s="1"/>
  <c r="DW16" i="4" s="1"/>
  <c r="EI16" i="4" s="1"/>
  <c r="DI16" i="4"/>
  <c r="J15" i="9" s="1"/>
  <c r="EY16" i="4"/>
  <c r="EZ16" i="4" s="1"/>
  <c r="BN16" i="4" s="1"/>
  <c r="CY8" i="4"/>
  <c r="DK8" i="4" s="1"/>
  <c r="DW8" i="4" s="1"/>
  <c r="EI8" i="4" s="1"/>
  <c r="EY8" i="4"/>
  <c r="EZ8" i="4" s="1"/>
  <c r="BN8" i="4" s="1"/>
  <c r="DT42" i="5"/>
  <c r="O41" i="9" s="1"/>
  <c r="CV42" i="5"/>
  <c r="M41" i="9" s="1"/>
  <c r="DU42" i="5"/>
  <c r="P41" i="9" s="1"/>
  <c r="CW42" i="5"/>
  <c r="N41" i="9" s="1"/>
  <c r="DH42" i="5"/>
  <c r="CX42" i="5"/>
  <c r="DJ42" i="5" s="1"/>
  <c r="DV42" i="5" s="1"/>
  <c r="EH42" i="5" s="1"/>
  <c r="EG42" i="5"/>
  <c r="EF42" i="5"/>
  <c r="DH27" i="4"/>
  <c r="I26" i="9" s="1"/>
  <c r="CW27" i="4"/>
  <c r="CV27" i="4"/>
  <c r="CX27" i="4"/>
  <c r="DJ27" i="4" s="1"/>
  <c r="DV27" i="4" s="1"/>
  <c r="EH27" i="4" s="1"/>
  <c r="CY33" i="5"/>
  <c r="DK33" i="5" s="1"/>
  <c r="DW33" i="5" s="1"/>
  <c r="EI33" i="5" s="1"/>
  <c r="EY33" i="5"/>
  <c r="EZ33" i="5" s="1"/>
  <c r="BN33" i="5" s="1"/>
  <c r="DI33" i="5"/>
  <c r="DT45" i="4"/>
  <c r="DU45" i="4"/>
  <c r="EG45" i="4"/>
  <c r="L44" i="9" s="1"/>
  <c r="EF45" i="4"/>
  <c r="K44" i="9" s="1"/>
  <c r="CV45" i="4"/>
  <c r="CW45" i="4"/>
  <c r="DH45" i="4"/>
  <c r="I44" i="9" s="1"/>
  <c r="CX45" i="4"/>
  <c r="DJ45" i="4" s="1"/>
  <c r="DV45" i="4" s="1"/>
  <c r="EH45" i="4" s="1"/>
  <c r="DI23" i="5"/>
  <c r="CY23" i="5"/>
  <c r="DK23" i="5" s="1"/>
  <c r="DW23" i="5" s="1"/>
  <c r="EI23" i="5" s="1"/>
  <c r="EY23" i="5"/>
  <c r="EZ23" i="5" s="1"/>
  <c r="BN23" i="5" s="1"/>
  <c r="AX49" i="4"/>
  <c r="AJ49" i="4"/>
  <c r="BA49" i="4" s="1"/>
  <c r="AN49" i="4"/>
  <c r="AY49" i="4"/>
  <c r="AK49" i="4"/>
  <c r="B48" i="9" s="1"/>
  <c r="BG49" i="4"/>
  <c r="AZ49" i="4"/>
  <c r="BH49" i="4"/>
  <c r="AX29" i="5"/>
  <c r="AJ29" i="5"/>
  <c r="D28" i="9" s="1"/>
  <c r="AZ29" i="5"/>
  <c r="AY29" i="5"/>
  <c r="AK29" i="5"/>
  <c r="BI29" i="5" s="1"/>
  <c r="BG29" i="5"/>
  <c r="BH29" i="5"/>
  <c r="BK29" i="5" s="1"/>
  <c r="EY47" i="5"/>
  <c r="EZ47" i="5" s="1"/>
  <c r="BN47" i="5" s="1"/>
  <c r="CY47" i="5"/>
  <c r="DK47" i="5" s="1"/>
  <c r="DW47" i="5" s="1"/>
  <c r="EI47" i="5" s="1"/>
  <c r="DI47" i="5"/>
  <c r="EG50" i="5"/>
  <c r="DT50" i="5"/>
  <c r="O49" i="9" s="1"/>
  <c r="EF50" i="5"/>
  <c r="DU50" i="5"/>
  <c r="P49" i="9" s="1"/>
  <c r="CV50" i="5"/>
  <c r="M49" i="9" s="1"/>
  <c r="CX50" i="5"/>
  <c r="DJ50" i="5" s="1"/>
  <c r="DV50" i="5" s="1"/>
  <c r="EH50" i="5" s="1"/>
  <c r="CW50" i="5"/>
  <c r="N49" i="9" s="1"/>
  <c r="DH50" i="5"/>
  <c r="DH21" i="5"/>
  <c r="CV21" i="5"/>
  <c r="M20" i="9" s="1"/>
  <c r="CX21" i="5"/>
  <c r="DJ21" i="5" s="1"/>
  <c r="DV21" i="5" s="1"/>
  <c r="EH21" i="5" s="1"/>
  <c r="CW21" i="5"/>
  <c r="N20" i="9" s="1"/>
  <c r="DI7" i="4"/>
  <c r="J6" i="9" s="1"/>
  <c r="CW9" i="4"/>
  <c r="DH20" i="5"/>
  <c r="CV20" i="5"/>
  <c r="M19" i="9" s="1"/>
  <c r="CW20" i="5"/>
  <c r="N19" i="9" s="1"/>
  <c r="CX20" i="5"/>
  <c r="DJ20" i="5" s="1"/>
  <c r="DV20" i="5" s="1"/>
  <c r="EH20" i="5" s="1"/>
  <c r="CY29" i="5"/>
  <c r="DK29" i="5" s="1"/>
  <c r="DW29" i="5" s="1"/>
  <c r="EI29" i="5" s="1"/>
  <c r="EY29" i="5"/>
  <c r="EZ29" i="5" s="1"/>
  <c r="BN29" i="5" s="1"/>
  <c r="DI29" i="5"/>
  <c r="AX33" i="4"/>
  <c r="EY10" i="4"/>
  <c r="EZ10" i="4" s="1"/>
  <c r="BN10" i="4" s="1"/>
  <c r="CY10" i="4"/>
  <c r="DK10" i="4" s="1"/>
  <c r="DW10" i="4" s="1"/>
  <c r="EI10" i="4" s="1"/>
  <c r="DH24" i="5"/>
  <c r="CV24" i="5"/>
  <c r="M23" i="9" s="1"/>
  <c r="CX24" i="5"/>
  <c r="DJ24" i="5" s="1"/>
  <c r="DV24" i="5" s="1"/>
  <c r="EH24" i="5" s="1"/>
  <c r="CW24" i="5"/>
  <c r="N23" i="9" s="1"/>
  <c r="DI27" i="4"/>
  <c r="J26" i="9" s="1"/>
  <c r="CY27" i="4"/>
  <c r="DK27" i="4" s="1"/>
  <c r="DW27" i="4" s="1"/>
  <c r="EI27" i="4" s="1"/>
  <c r="EY27" i="4"/>
  <c r="EZ27" i="4" s="1"/>
  <c r="BN27" i="4" s="1"/>
  <c r="DH29" i="4"/>
  <c r="I28" i="9" s="1"/>
  <c r="DT29" i="4"/>
  <c r="EF29" i="4"/>
  <c r="K28" i="9" s="1"/>
  <c r="CV29" i="4"/>
  <c r="EG29" i="4"/>
  <c r="L28" i="9" s="1"/>
  <c r="CW29" i="4"/>
  <c r="CX29" i="4"/>
  <c r="DJ29" i="4" s="1"/>
  <c r="DV29" i="4" s="1"/>
  <c r="EH29" i="4" s="1"/>
  <c r="DU29" i="4"/>
  <c r="CY17" i="5"/>
  <c r="DK17" i="5" s="1"/>
  <c r="DW17" i="5" s="1"/>
  <c r="EI17" i="5" s="1"/>
  <c r="DI17" i="5"/>
  <c r="EY17" i="5"/>
  <c r="EZ17" i="5" s="1"/>
  <c r="BN17" i="5" s="1"/>
  <c r="AX14" i="4"/>
  <c r="AY30" i="5"/>
  <c r="AK30" i="5"/>
  <c r="AZ30" i="5"/>
  <c r="BG30" i="5"/>
  <c r="BH30" i="5"/>
  <c r="BK30" i="5" s="1"/>
  <c r="AX30" i="5"/>
  <c r="AJ30" i="5"/>
  <c r="AZ44" i="4"/>
  <c r="BH44" i="4"/>
  <c r="BG44" i="4"/>
  <c r="AX44" i="4"/>
  <c r="AJ44" i="4"/>
  <c r="AN44" i="4" s="1"/>
  <c r="AY44" i="4"/>
  <c r="AK44" i="4"/>
  <c r="B43" i="9" s="1"/>
  <c r="EY43" i="5"/>
  <c r="EZ43" i="5" s="1"/>
  <c r="BN43" i="5" s="1"/>
  <c r="CY43" i="5"/>
  <c r="DK43" i="5" s="1"/>
  <c r="DW43" i="5" s="1"/>
  <c r="EI43" i="5" s="1"/>
  <c r="DI43" i="5"/>
  <c r="AK10" i="5"/>
  <c r="BI10" i="5" s="1"/>
  <c r="AX10" i="5"/>
  <c r="AY10" i="5"/>
  <c r="BG10" i="5"/>
  <c r="AZ10" i="5"/>
  <c r="AJ10" i="5"/>
  <c r="D9" i="9" s="1"/>
  <c r="BH10" i="5"/>
  <c r="BK10" i="5" s="1"/>
  <c r="BG14" i="5"/>
  <c r="BH14" i="5"/>
  <c r="AY14" i="5"/>
  <c r="AX14" i="5"/>
  <c r="AJ14" i="5"/>
  <c r="D13" i="9" s="1"/>
  <c r="AK14" i="5"/>
  <c r="AZ14" i="5"/>
  <c r="EY24" i="4"/>
  <c r="EZ24" i="4" s="1"/>
  <c r="BN24" i="4" s="1"/>
  <c r="CY24" i="4"/>
  <c r="DK24" i="4" s="1"/>
  <c r="DW24" i="4" s="1"/>
  <c r="EI24" i="4" s="1"/>
  <c r="DI24" i="4"/>
  <c r="J23" i="9" s="1"/>
  <c r="EY31" i="5"/>
  <c r="EZ31" i="5" s="1"/>
  <c r="BN31" i="5" s="1"/>
  <c r="CY31" i="5"/>
  <c r="DK31" i="5" s="1"/>
  <c r="DW31" i="5" s="1"/>
  <c r="EI31" i="5" s="1"/>
  <c r="DI31" i="5"/>
  <c r="EY13" i="5"/>
  <c r="EZ13" i="5" s="1"/>
  <c r="BN13" i="5" s="1"/>
  <c r="DI13" i="5"/>
  <c r="CY13" i="5"/>
  <c r="DK13" i="5" s="1"/>
  <c r="DW13" i="5" s="1"/>
  <c r="EI13" i="5" s="1"/>
  <c r="EY20" i="5"/>
  <c r="EZ20" i="5" s="1"/>
  <c r="BN20" i="5" s="1"/>
  <c r="DI20" i="5"/>
  <c r="CY20" i="5"/>
  <c r="DK20" i="5" s="1"/>
  <c r="DW20" i="5" s="1"/>
  <c r="EI20" i="5" s="1"/>
  <c r="EG44" i="4"/>
  <c r="L43" i="9" s="1"/>
  <c r="CW44" i="4"/>
  <c r="CX44" i="4"/>
  <c r="DJ44" i="4" s="1"/>
  <c r="DV44" i="4" s="1"/>
  <c r="EH44" i="4" s="1"/>
  <c r="DH44" i="4"/>
  <c r="I43" i="9" s="1"/>
  <c r="DT44" i="4"/>
  <c r="DU44" i="4"/>
  <c r="CV44" i="4"/>
  <c r="EF44" i="4"/>
  <c r="K43" i="9" s="1"/>
  <c r="AJ19" i="5"/>
  <c r="D18" i="9" s="1"/>
  <c r="BG19" i="5"/>
  <c r="AX19" i="5"/>
  <c r="BH19" i="5"/>
  <c r="AK19" i="5"/>
  <c r="BI19" i="5" s="1"/>
  <c r="AY19" i="5"/>
  <c r="AZ19" i="5"/>
  <c r="AJ23" i="4"/>
  <c r="BA23" i="4" s="1"/>
  <c r="BG23" i="4"/>
  <c r="AX23" i="4"/>
  <c r="BH23" i="4"/>
  <c r="AZ23" i="4"/>
  <c r="AK23" i="4"/>
  <c r="B22" i="9" s="1"/>
  <c r="AY23" i="4"/>
  <c r="AX20" i="4"/>
  <c r="AJ20" i="4"/>
  <c r="AY20" i="4"/>
  <c r="AK20" i="4"/>
  <c r="B19" i="9" s="1"/>
  <c r="AZ20" i="4"/>
  <c r="BC20" i="4" s="1"/>
  <c r="BG20" i="4"/>
  <c r="BH20" i="4"/>
  <c r="BG39" i="5"/>
  <c r="AX39" i="5"/>
  <c r="AJ39" i="5"/>
  <c r="D38" i="9" s="1"/>
  <c r="AY39" i="5"/>
  <c r="AK39" i="5"/>
  <c r="BI39" i="5" s="1"/>
  <c r="AZ39" i="5"/>
  <c r="BH39" i="5"/>
  <c r="BK39" i="5" s="1"/>
  <c r="DH48" i="4"/>
  <c r="I47" i="9" s="1"/>
  <c r="DT48" i="4"/>
  <c r="CV48" i="4"/>
  <c r="DU48" i="4"/>
  <c r="EF48" i="4"/>
  <c r="K47" i="9" s="1"/>
  <c r="CW48" i="4"/>
  <c r="EG48" i="4"/>
  <c r="L47" i="9" s="1"/>
  <c r="CX48" i="4"/>
  <c r="DJ48" i="4" s="1"/>
  <c r="DV48" i="4" s="1"/>
  <c r="EH48" i="4" s="1"/>
  <c r="CY9" i="4"/>
  <c r="DK9" i="4" s="1"/>
  <c r="DW9" i="4" s="1"/>
  <c r="EI9" i="4" s="1"/>
  <c r="EY9" i="4"/>
  <c r="EZ9" i="4" s="1"/>
  <c r="BN9" i="4" s="1"/>
  <c r="AY24" i="4"/>
  <c r="AK24" i="4"/>
  <c r="B23" i="9" s="1"/>
  <c r="AZ24" i="4"/>
  <c r="BH24" i="4"/>
  <c r="AX24" i="4"/>
  <c r="AJ24" i="4"/>
  <c r="BA24" i="4" s="1"/>
  <c r="BG24" i="4"/>
  <c r="DT47" i="4"/>
  <c r="CV47" i="4"/>
  <c r="EG47" i="4"/>
  <c r="L46" i="9" s="1"/>
  <c r="DU47" i="4"/>
  <c r="CW47" i="4"/>
  <c r="DH47" i="4"/>
  <c r="I46" i="9" s="1"/>
  <c r="EF47" i="4"/>
  <c r="K46" i="9" s="1"/>
  <c r="CX47" i="4"/>
  <c r="DJ47" i="4" s="1"/>
  <c r="DV47" i="4" s="1"/>
  <c r="EH47" i="4" s="1"/>
  <c r="DI38" i="4"/>
  <c r="J37" i="9" s="1"/>
  <c r="CY38" i="4"/>
  <c r="DK38" i="4" s="1"/>
  <c r="DW38" i="4" s="1"/>
  <c r="EI38" i="4" s="1"/>
  <c r="EY38" i="4"/>
  <c r="EZ38" i="4" s="1"/>
  <c r="BN38" i="4" s="1"/>
  <c r="BH12" i="4"/>
  <c r="EY35" i="5"/>
  <c r="EZ35" i="5" s="1"/>
  <c r="BN35" i="5" s="1"/>
  <c r="CY35" i="5"/>
  <c r="DK35" i="5" s="1"/>
  <c r="DW35" i="5" s="1"/>
  <c r="EI35" i="5" s="1"/>
  <c r="DI35" i="5"/>
  <c r="DH18" i="4"/>
  <c r="I17" i="9" s="1"/>
  <c r="CW18" i="4"/>
  <c r="CV18" i="4"/>
  <c r="CX18" i="4"/>
  <c r="DJ18" i="4" s="1"/>
  <c r="DV18" i="4" s="1"/>
  <c r="EH18" i="4" s="1"/>
  <c r="CW22" i="5"/>
  <c r="N21" i="9" s="1"/>
  <c r="CV22" i="5"/>
  <c r="M21" i="9" s="1"/>
  <c r="DH22" i="5"/>
  <c r="CX22" i="5"/>
  <c r="DJ22" i="5" s="1"/>
  <c r="DV22" i="5" s="1"/>
  <c r="EH22" i="5" s="1"/>
  <c r="BG27" i="5"/>
  <c r="AY27" i="5"/>
  <c r="BH27" i="5"/>
  <c r="AK27" i="5"/>
  <c r="BI27" i="5" s="1"/>
  <c r="AX27" i="5"/>
  <c r="AJ27" i="5"/>
  <c r="D26" i="9" s="1"/>
  <c r="AZ27" i="5"/>
  <c r="BG8" i="4"/>
  <c r="BH8" i="4"/>
  <c r="BK8" i="4" s="1"/>
  <c r="AX8" i="4"/>
  <c r="AY8" i="4"/>
  <c r="AZ8" i="4"/>
  <c r="BC8" i="4" s="1"/>
  <c r="EF49" i="4"/>
  <c r="K48" i="9" s="1"/>
  <c r="CV49" i="4"/>
  <c r="EG49" i="4"/>
  <c r="L48" i="9" s="1"/>
  <c r="CW49" i="4"/>
  <c r="CX49" i="4"/>
  <c r="DJ49" i="4" s="1"/>
  <c r="DV49" i="4" s="1"/>
  <c r="EH49" i="4" s="1"/>
  <c r="DH49" i="4"/>
  <c r="I48" i="9" s="1"/>
  <c r="DT49" i="4"/>
  <c r="DU49" i="4"/>
  <c r="EY30" i="4"/>
  <c r="EZ30" i="4" s="1"/>
  <c r="BN30" i="4" s="1"/>
  <c r="CY30" i="4"/>
  <c r="DK30" i="4" s="1"/>
  <c r="DW30" i="4" s="1"/>
  <c r="EI30" i="4" s="1"/>
  <c r="DI30" i="4"/>
  <c r="J29" i="9" s="1"/>
  <c r="EY39" i="4"/>
  <c r="EZ39" i="4" s="1"/>
  <c r="BN39" i="4" s="1"/>
  <c r="CY39" i="4"/>
  <c r="DK39" i="4" s="1"/>
  <c r="DW39" i="4" s="1"/>
  <c r="EI39" i="4" s="1"/>
  <c r="DI39" i="4"/>
  <c r="J38" i="9" s="1"/>
  <c r="CX28" i="4"/>
  <c r="DJ28" i="4" s="1"/>
  <c r="DV28" i="4" s="1"/>
  <c r="EH28" i="4" s="1"/>
  <c r="DT28" i="4"/>
  <c r="CV28" i="4"/>
  <c r="DU28" i="4"/>
  <c r="CW28" i="4"/>
  <c r="EF28" i="4"/>
  <c r="K27" i="9" s="1"/>
  <c r="DH28" i="4"/>
  <c r="I27" i="9" s="1"/>
  <c r="EG28" i="4"/>
  <c r="L27" i="9" s="1"/>
  <c r="BH6" i="4"/>
  <c r="AX6" i="4"/>
  <c r="AZ6" i="4"/>
  <c r="BG6" i="4"/>
  <c r="AY6" i="4"/>
  <c r="DU43" i="5"/>
  <c r="P42" i="9" s="1"/>
  <c r="CV43" i="5"/>
  <c r="M42" i="9" s="1"/>
  <c r="EF43" i="5"/>
  <c r="CW43" i="5"/>
  <c r="N42" i="9" s="1"/>
  <c r="EG43" i="5"/>
  <c r="CX43" i="5"/>
  <c r="DJ43" i="5" s="1"/>
  <c r="DV43" i="5" s="1"/>
  <c r="EH43" i="5" s="1"/>
  <c r="DH43" i="5"/>
  <c r="DT43" i="5"/>
  <c r="O42" i="9" s="1"/>
  <c r="BG22" i="5"/>
  <c r="BH22" i="5"/>
  <c r="AY22" i="5"/>
  <c r="AX22" i="5"/>
  <c r="AJ22" i="5"/>
  <c r="D21" i="9" s="1"/>
  <c r="AK22" i="5"/>
  <c r="BI22" i="5" s="1"/>
  <c r="AZ22" i="5"/>
  <c r="BG32" i="5"/>
  <c r="AJ32" i="5"/>
  <c r="D31" i="9" s="1"/>
  <c r="BH32" i="5"/>
  <c r="AX32" i="5"/>
  <c r="AY32" i="5"/>
  <c r="AZ32" i="5"/>
  <c r="BC32" i="5" s="1"/>
  <c r="AK32" i="5"/>
  <c r="BI32" i="5" s="1"/>
  <c r="DH31" i="4"/>
  <c r="I30" i="9" s="1"/>
  <c r="DU31" i="4"/>
  <c r="CV31" i="4"/>
  <c r="EF31" i="4"/>
  <c r="K30" i="9" s="1"/>
  <c r="CW31" i="4"/>
  <c r="CX31" i="4"/>
  <c r="DJ31" i="4" s="1"/>
  <c r="DV31" i="4" s="1"/>
  <c r="EH31" i="4" s="1"/>
  <c r="DT31" i="4"/>
  <c r="EG31" i="4"/>
  <c r="L30" i="9" s="1"/>
  <c r="CW13" i="4"/>
  <c r="CV13" i="4"/>
  <c r="CX13" i="4"/>
  <c r="DJ13" i="4" s="1"/>
  <c r="DV13" i="4" s="1"/>
  <c r="EH13" i="4" s="1"/>
  <c r="DH13" i="4"/>
  <c r="I12" i="9" s="1"/>
  <c r="EY16" i="5"/>
  <c r="EZ16" i="5" s="1"/>
  <c r="BN16" i="5" s="1"/>
  <c r="DI16" i="5"/>
  <c r="CY16" i="5"/>
  <c r="DK16" i="5" s="1"/>
  <c r="DW16" i="5" s="1"/>
  <c r="EI16" i="5" s="1"/>
  <c r="CY8" i="5"/>
  <c r="DK8" i="5" s="1"/>
  <c r="DW8" i="5" s="1"/>
  <c r="EI8" i="5" s="1"/>
  <c r="DI8" i="5"/>
  <c r="EY8" i="5"/>
  <c r="EZ8" i="5" s="1"/>
  <c r="BN8" i="5" s="1"/>
  <c r="EG42" i="4"/>
  <c r="L41" i="9" s="1"/>
  <c r="CW42" i="4"/>
  <c r="DH42" i="4"/>
  <c r="I41" i="9" s="1"/>
  <c r="CX42" i="4"/>
  <c r="DJ42" i="4" s="1"/>
  <c r="DV42" i="4" s="1"/>
  <c r="EH42" i="4" s="1"/>
  <c r="DT42" i="4"/>
  <c r="DU42" i="4"/>
  <c r="CV42" i="4"/>
  <c r="EF42" i="4"/>
  <c r="K41" i="9" s="1"/>
  <c r="DH27" i="5"/>
  <c r="CV27" i="5"/>
  <c r="M26" i="9" s="1"/>
  <c r="CX27" i="5"/>
  <c r="DJ27" i="5" s="1"/>
  <c r="DV27" i="5" s="1"/>
  <c r="EH27" i="5" s="1"/>
  <c r="CW27" i="5"/>
  <c r="N26" i="9" s="1"/>
  <c r="BG21" i="4"/>
  <c r="BH21" i="4"/>
  <c r="AY21" i="4"/>
  <c r="AK21" i="4"/>
  <c r="B20" i="9" s="1"/>
  <c r="AZ21" i="4"/>
  <c r="AX21" i="4"/>
  <c r="AJ21" i="4"/>
  <c r="BA21" i="4" s="1"/>
  <c r="EY33" i="4"/>
  <c r="EZ33" i="4" s="1"/>
  <c r="BN33" i="4" s="1"/>
  <c r="CY33" i="4"/>
  <c r="DK33" i="4" s="1"/>
  <c r="DW33" i="4" s="1"/>
  <c r="EI33" i="4" s="1"/>
  <c r="DI33" i="4"/>
  <c r="J32" i="9" s="1"/>
  <c r="BG31" i="4"/>
  <c r="BH31" i="4"/>
  <c r="AX31" i="4"/>
  <c r="AJ31" i="4"/>
  <c r="BA31" i="4" s="1"/>
  <c r="AY31" i="4"/>
  <c r="AK31" i="4"/>
  <c r="B30" i="9" s="1"/>
  <c r="AZ31" i="4"/>
  <c r="DH45" i="5"/>
  <c r="EF45" i="5"/>
  <c r="CV45" i="5"/>
  <c r="M44" i="9" s="1"/>
  <c r="CW45" i="5"/>
  <c r="N44" i="9" s="1"/>
  <c r="DT45" i="5"/>
  <c r="O44" i="9" s="1"/>
  <c r="DU45" i="5"/>
  <c r="P44" i="9" s="1"/>
  <c r="CX45" i="5"/>
  <c r="DJ45" i="5" s="1"/>
  <c r="DV45" i="5" s="1"/>
  <c r="EH45" i="5" s="1"/>
  <c r="EG45" i="5"/>
  <c r="DI23" i="4"/>
  <c r="J22" i="9" s="1"/>
  <c r="EY23" i="4"/>
  <c r="EZ23" i="4" s="1"/>
  <c r="BN23" i="4" s="1"/>
  <c r="CY23" i="4"/>
  <c r="DK23" i="4" s="1"/>
  <c r="DW23" i="4" s="1"/>
  <c r="EI23" i="4" s="1"/>
  <c r="BG49" i="5"/>
  <c r="AY49" i="5"/>
  <c r="BH49" i="5"/>
  <c r="AZ29" i="4"/>
  <c r="BC29" i="4" s="1"/>
  <c r="BH29" i="4"/>
  <c r="BK29" i="4" s="1"/>
  <c r="AK29" i="4"/>
  <c r="B28" i="9" s="1"/>
  <c r="EY47" i="4"/>
  <c r="EZ47" i="4" s="1"/>
  <c r="BN47" i="4" s="1"/>
  <c r="CY47" i="4"/>
  <c r="DK47" i="4" s="1"/>
  <c r="DW47" i="4" s="1"/>
  <c r="EI47" i="4" s="1"/>
  <c r="DI47" i="4"/>
  <c r="J46" i="9" s="1"/>
  <c r="DH50" i="4"/>
  <c r="I49" i="9" s="1"/>
  <c r="DU50" i="4"/>
  <c r="DT50" i="4"/>
  <c r="EF50" i="4"/>
  <c r="K49" i="9" s="1"/>
  <c r="CV50" i="4"/>
  <c r="EG50" i="4"/>
  <c r="L49" i="9" s="1"/>
  <c r="CW50" i="4"/>
  <c r="CX50" i="4"/>
  <c r="DJ50" i="4" s="1"/>
  <c r="DV50" i="4" s="1"/>
  <c r="EH50" i="4" s="1"/>
  <c r="CV21" i="4"/>
  <c r="CX21" i="4"/>
  <c r="DJ21" i="4" s="1"/>
  <c r="DV21" i="4" s="1"/>
  <c r="EH21" i="4" s="1"/>
  <c r="DH21" i="4"/>
  <c r="I20" i="9" s="1"/>
  <c r="CW21" i="4"/>
  <c r="CW7" i="4"/>
  <c r="DI10" i="4"/>
  <c r="J9" i="9" s="1"/>
  <c r="DI49" i="5"/>
  <c r="EY49" i="5"/>
  <c r="EZ49" i="5" s="1"/>
  <c r="BN49" i="5" s="1"/>
  <c r="CY49" i="5"/>
  <c r="DK49" i="5" s="1"/>
  <c r="DW49" i="5" s="1"/>
  <c r="EI49" i="5" s="1"/>
  <c r="EY7" i="5"/>
  <c r="EZ7" i="5" s="1"/>
  <c r="BN7" i="5" s="1"/>
  <c r="CY7" i="5"/>
  <c r="DK7" i="5" s="1"/>
  <c r="DW7" i="5" s="1"/>
  <c r="EI7" i="5" s="1"/>
  <c r="DI7" i="5"/>
  <c r="BH18" i="4"/>
  <c r="AX18" i="4"/>
  <c r="AJ18" i="4"/>
  <c r="AN18" i="4" s="1"/>
  <c r="AY18" i="4"/>
  <c r="AK18" i="4"/>
  <c r="B17" i="9" s="1"/>
  <c r="AZ18" i="4"/>
  <c r="BG18" i="4"/>
  <c r="CV7" i="5"/>
  <c r="M6" i="9" s="1"/>
  <c r="CW7" i="5"/>
  <c r="N6" i="9" s="1"/>
  <c r="CX7" i="5"/>
  <c r="DJ7" i="5" s="1"/>
  <c r="DV7" i="5" s="1"/>
  <c r="EH7" i="5" s="1"/>
  <c r="DH7" i="5"/>
  <c r="EY40" i="4"/>
  <c r="EZ40" i="4" s="1"/>
  <c r="BN40" i="4" s="1"/>
  <c r="DI40" i="4"/>
  <c r="J39" i="9" s="1"/>
  <c r="CY40" i="4"/>
  <c r="DK40" i="4" s="1"/>
  <c r="DW40" i="4" s="1"/>
  <c r="EI40" i="4" s="1"/>
  <c r="CY11" i="4"/>
  <c r="DK11" i="4" s="1"/>
  <c r="DW11" i="4" s="1"/>
  <c r="EI11" i="4" s="1"/>
  <c r="EY11" i="4"/>
  <c r="EZ11" i="4" s="1"/>
  <c r="BN11" i="4" s="1"/>
  <c r="BG50" i="4"/>
  <c r="AX50" i="4"/>
  <c r="AJ50" i="4"/>
  <c r="AN50" i="4" s="1"/>
  <c r="AK50" i="4"/>
  <c r="B49" i="9" s="1"/>
  <c r="BH50" i="4"/>
  <c r="AY50" i="4"/>
  <c r="AZ50" i="4"/>
  <c r="BA50" i="4"/>
  <c r="CY49" i="4"/>
  <c r="DK49" i="4" s="1"/>
  <c r="DW49" i="4" s="1"/>
  <c r="EI49" i="4" s="1"/>
  <c r="EY49" i="4"/>
  <c r="EZ49" i="4" s="1"/>
  <c r="BN49" i="4" s="1"/>
  <c r="DI49" i="4"/>
  <c r="J48" i="9" s="1"/>
  <c r="DI36" i="4"/>
  <c r="J35" i="9" s="1"/>
  <c r="EY36" i="4"/>
  <c r="EZ36" i="4" s="1"/>
  <c r="BN36" i="4" s="1"/>
  <c r="CY36" i="4"/>
  <c r="DK36" i="4" s="1"/>
  <c r="DW36" i="4" s="1"/>
  <c r="EI36" i="4" s="1"/>
  <c r="CY10" i="5"/>
  <c r="DK10" i="5" s="1"/>
  <c r="DW10" i="5" s="1"/>
  <c r="EI10" i="5" s="1"/>
  <c r="DI10" i="5"/>
  <c r="EY10" i="5"/>
  <c r="EZ10" i="5" s="1"/>
  <c r="BN10" i="5" s="1"/>
  <c r="DI25" i="4"/>
  <c r="J24" i="9" s="1"/>
  <c r="EY25" i="4"/>
  <c r="EZ25" i="4" s="1"/>
  <c r="BN25" i="4" s="1"/>
  <c r="CY25" i="4"/>
  <c r="DK25" i="4" s="1"/>
  <c r="DW25" i="4" s="1"/>
  <c r="EI25" i="4" s="1"/>
  <c r="AY47" i="5"/>
  <c r="AK47" i="5"/>
  <c r="AZ47" i="5"/>
  <c r="BH47" i="5"/>
  <c r="BA47" i="5"/>
  <c r="BG47" i="5"/>
  <c r="AN47" i="5"/>
  <c r="AJ47" i="5"/>
  <c r="D46" i="9" s="1"/>
  <c r="AX47" i="5"/>
  <c r="BH25" i="5"/>
  <c r="AY25" i="5"/>
  <c r="AX25" i="5"/>
  <c r="AJ25" i="5"/>
  <c r="D24" i="9" s="1"/>
  <c r="AK25" i="5"/>
  <c r="BI25" i="5" s="1"/>
  <c r="AZ25" i="5"/>
  <c r="BG25" i="5"/>
  <c r="BA46" i="5"/>
  <c r="AX46" i="5"/>
  <c r="AJ46" i="5"/>
  <c r="D45" i="9" s="1"/>
  <c r="AY46" i="5"/>
  <c r="AK46" i="5"/>
  <c r="BI46" i="5" s="1"/>
  <c r="AZ46" i="5"/>
  <c r="BG46" i="5"/>
  <c r="AN46" i="5"/>
  <c r="AO46" i="5"/>
  <c r="BH46" i="5"/>
  <c r="EY17" i="4"/>
  <c r="EZ17" i="4" s="1"/>
  <c r="BN17" i="4" s="1"/>
  <c r="DI17" i="4"/>
  <c r="J16" i="9" s="1"/>
  <c r="CY17" i="4"/>
  <c r="DK17" i="4" s="1"/>
  <c r="DW17" i="4" s="1"/>
  <c r="EI17" i="4" s="1"/>
  <c r="DT41" i="4"/>
  <c r="CV41" i="4"/>
  <c r="DU41" i="4"/>
  <c r="EG41" i="4"/>
  <c r="L40" i="9" s="1"/>
  <c r="CX41" i="4"/>
  <c r="DJ41" i="4" s="1"/>
  <c r="DV41" i="4" s="1"/>
  <c r="EH41" i="4" s="1"/>
  <c r="EF41" i="4"/>
  <c r="K40" i="9" s="1"/>
  <c r="CW41" i="4"/>
  <c r="DH41" i="4"/>
  <c r="I40" i="9" s="1"/>
  <c r="AY16" i="5"/>
  <c r="BG16" i="5"/>
  <c r="AK16" i="5"/>
  <c r="AO16" i="5" s="1"/>
  <c r="BH16" i="5"/>
  <c r="AX16" i="5"/>
  <c r="AJ16" i="5"/>
  <c r="D15" i="9" s="1"/>
  <c r="AZ16" i="5"/>
  <c r="CW10" i="5"/>
  <c r="N9" i="9" s="1"/>
  <c r="CX10" i="5"/>
  <c r="DJ10" i="5" s="1"/>
  <c r="DV10" i="5" s="1"/>
  <c r="EH10" i="5" s="1"/>
  <c r="DH10" i="5"/>
  <c r="CV10" i="5"/>
  <c r="M9" i="9" s="1"/>
  <c r="DI6" i="5"/>
  <c r="CY6" i="5"/>
  <c r="DK6" i="5" s="1"/>
  <c r="DW6" i="5" s="1"/>
  <c r="EI6" i="5" s="1"/>
  <c r="EY6" i="5"/>
  <c r="EZ6" i="5" s="1"/>
  <c r="BN6" i="5" s="1"/>
  <c r="CV19" i="4"/>
  <c r="CX19" i="4"/>
  <c r="DJ19" i="4" s="1"/>
  <c r="DV19" i="4" s="1"/>
  <c r="EH19" i="4" s="1"/>
  <c r="CW19" i="4"/>
  <c r="DH19" i="4"/>
  <c r="I18" i="9" s="1"/>
  <c r="EY42" i="4"/>
  <c r="EZ42" i="4" s="1"/>
  <c r="BN42" i="4" s="1"/>
  <c r="CY42" i="4"/>
  <c r="DK42" i="4" s="1"/>
  <c r="DW42" i="4" s="1"/>
  <c r="EI42" i="4" s="1"/>
  <c r="DI42" i="4"/>
  <c r="J41" i="9" s="1"/>
  <c r="AY43" i="4"/>
  <c r="AX43" i="4"/>
  <c r="AJ43" i="4"/>
  <c r="BA43" i="4" s="1"/>
  <c r="AK43" i="4"/>
  <c r="B42" i="9" s="1"/>
  <c r="BG43" i="4"/>
  <c r="AZ43" i="4"/>
  <c r="BH43" i="4"/>
  <c r="DI45" i="5"/>
  <c r="CY45" i="5"/>
  <c r="DK45" i="5" s="1"/>
  <c r="DW45" i="5" s="1"/>
  <c r="EI45" i="5" s="1"/>
  <c r="EY45" i="5"/>
  <c r="EZ45" i="5" s="1"/>
  <c r="BN45" i="5" s="1"/>
  <c r="CV36" i="4"/>
  <c r="DT36" i="4"/>
  <c r="DU36" i="4"/>
  <c r="EF36" i="4"/>
  <c r="K35" i="9" s="1"/>
  <c r="CX36" i="4"/>
  <c r="DJ36" i="4" s="1"/>
  <c r="DV36" i="4" s="1"/>
  <c r="EH36" i="4" s="1"/>
  <c r="EG36" i="4"/>
  <c r="L35" i="9" s="1"/>
  <c r="CW36" i="4"/>
  <c r="DH36" i="4"/>
  <c r="I35" i="9" s="1"/>
  <c r="CY14" i="4"/>
  <c r="DK14" i="4" s="1"/>
  <c r="DW14" i="4" s="1"/>
  <c r="EI14" i="4" s="1"/>
  <c r="EY14" i="4"/>
  <c r="EZ14" i="4" s="1"/>
  <c r="BN14" i="4" s="1"/>
  <c r="DI14" i="4"/>
  <c r="J13" i="9" s="1"/>
  <c r="DI32" i="5"/>
  <c r="CY32" i="5"/>
  <c r="DK32" i="5" s="1"/>
  <c r="DW32" i="5" s="1"/>
  <c r="EI32" i="5" s="1"/>
  <c r="EY32" i="5"/>
  <c r="EZ32" i="5" s="1"/>
  <c r="BN32" i="5" s="1"/>
  <c r="CV26" i="4"/>
  <c r="CW26" i="4"/>
  <c r="CX26" i="4"/>
  <c r="DJ26" i="4" s="1"/>
  <c r="DV26" i="4" s="1"/>
  <c r="EH26" i="4" s="1"/>
  <c r="DH26" i="4"/>
  <c r="I25" i="9" s="1"/>
  <c r="EG37" i="4"/>
  <c r="L36" i="9" s="1"/>
  <c r="CW37" i="4"/>
  <c r="CX37" i="4"/>
  <c r="DJ37" i="4" s="1"/>
  <c r="DV37" i="4" s="1"/>
  <c r="EH37" i="4" s="1"/>
  <c r="DH37" i="4"/>
  <c r="I36" i="9" s="1"/>
  <c r="DT37" i="4"/>
  <c r="DU37" i="4"/>
  <c r="EF37" i="4"/>
  <c r="K36" i="9" s="1"/>
  <c r="CV37" i="4"/>
  <c r="DI42" i="5"/>
  <c r="CY42" i="5"/>
  <c r="DK42" i="5" s="1"/>
  <c r="DW42" i="5" s="1"/>
  <c r="EI42" i="5" s="1"/>
  <c r="EY42" i="5"/>
  <c r="EZ42" i="5" s="1"/>
  <c r="BN42" i="5" s="1"/>
  <c r="DH14" i="5"/>
  <c r="CV14" i="5"/>
  <c r="M13" i="9" s="1"/>
  <c r="CW14" i="5"/>
  <c r="N13" i="9" s="1"/>
  <c r="CX14" i="5"/>
  <c r="DJ14" i="5" s="1"/>
  <c r="DV14" i="5" s="1"/>
  <c r="EH14" i="5" s="1"/>
  <c r="DT38" i="4"/>
  <c r="DU38" i="4"/>
  <c r="CV38" i="4"/>
  <c r="EG38" i="4"/>
  <c r="L37" i="9" s="1"/>
  <c r="EF38" i="4"/>
  <c r="K37" i="9" s="1"/>
  <c r="CW38" i="4"/>
  <c r="CX38" i="4"/>
  <c r="DJ38" i="4" s="1"/>
  <c r="DV38" i="4" s="1"/>
  <c r="EH38" i="4" s="1"/>
  <c r="DH38" i="4"/>
  <c r="I37" i="9" s="1"/>
  <c r="CY37" i="5"/>
  <c r="DK37" i="5" s="1"/>
  <c r="DW37" i="5" s="1"/>
  <c r="EI37" i="5" s="1"/>
  <c r="EY37" i="5"/>
  <c r="EZ37" i="5" s="1"/>
  <c r="BN37" i="5" s="1"/>
  <c r="DI37" i="5"/>
  <c r="CY50" i="4"/>
  <c r="DK50" i="4" s="1"/>
  <c r="DW50" i="4" s="1"/>
  <c r="EI50" i="4" s="1"/>
  <c r="DI50" i="4"/>
  <c r="J49" i="9" s="1"/>
  <c r="EY50" i="4"/>
  <c r="EZ50" i="4" s="1"/>
  <c r="BN50" i="4" s="1"/>
  <c r="DU30" i="5"/>
  <c r="P29" i="9" s="1"/>
  <c r="CV30" i="5"/>
  <c r="M29" i="9" s="1"/>
  <c r="CW30" i="5"/>
  <c r="N29" i="9" s="1"/>
  <c r="EF30" i="5"/>
  <c r="CX30" i="5"/>
  <c r="DJ30" i="5" s="1"/>
  <c r="DV30" i="5" s="1"/>
  <c r="EH30" i="5" s="1"/>
  <c r="EG30" i="5"/>
  <c r="DH30" i="5"/>
  <c r="DT30" i="5"/>
  <c r="O29" i="9" s="1"/>
  <c r="DH23" i="5"/>
  <c r="CV23" i="5"/>
  <c r="M22" i="9" s="1"/>
  <c r="CX23" i="5"/>
  <c r="DJ23" i="5" s="1"/>
  <c r="DV23" i="5" s="1"/>
  <c r="EH23" i="5" s="1"/>
  <c r="CW23" i="5"/>
  <c r="N22" i="9" s="1"/>
  <c r="BI38" i="4"/>
  <c r="AY38" i="4"/>
  <c r="AK38" i="4"/>
  <c r="B37" i="9" s="1"/>
  <c r="AX38" i="4"/>
  <c r="AJ38" i="4"/>
  <c r="BA38" i="4" s="1"/>
  <c r="BG38" i="4"/>
  <c r="AZ38" i="4"/>
  <c r="BH38" i="4"/>
  <c r="AO38" i="4"/>
  <c r="DI18" i="4"/>
  <c r="J17" i="9" s="1"/>
  <c r="EY18" i="4"/>
  <c r="EZ18" i="4" s="1"/>
  <c r="BN18" i="4" s="1"/>
  <c r="CY18" i="4"/>
  <c r="DK18" i="4" s="1"/>
  <c r="DW18" i="4" s="1"/>
  <c r="EI18" i="4" s="1"/>
  <c r="AJ11" i="5"/>
  <c r="D10" i="9" s="1"/>
  <c r="AZ11" i="5"/>
  <c r="BC11" i="5" s="1"/>
  <c r="AK11" i="5"/>
  <c r="BI11" i="5" s="1"/>
  <c r="AX11" i="5"/>
  <c r="AY11" i="5"/>
  <c r="BG11" i="5"/>
  <c r="BH11" i="5"/>
  <c r="BK11" i="5" s="1"/>
  <c r="AX35" i="4"/>
  <c r="AJ35" i="4"/>
  <c r="AN35" i="4" s="1"/>
  <c r="AY35" i="4"/>
  <c r="AK35" i="4"/>
  <c r="AZ35" i="4"/>
  <c r="BH35" i="4"/>
  <c r="BG35" i="4"/>
  <c r="DH17" i="5"/>
  <c r="CW17" i="5"/>
  <c r="N16" i="9" s="1"/>
  <c r="CX17" i="5"/>
  <c r="DJ17" i="5" s="1"/>
  <c r="DV17" i="5" s="1"/>
  <c r="EH17" i="5" s="1"/>
  <c r="CV17" i="5"/>
  <c r="M16" i="9" s="1"/>
  <c r="DI28" i="5"/>
  <c r="CY28" i="5"/>
  <c r="DK28" i="5" s="1"/>
  <c r="DW28" i="5" s="1"/>
  <c r="EI28" i="5" s="1"/>
  <c r="EY28" i="5"/>
  <c r="EZ28" i="5" s="1"/>
  <c r="BN28" i="5" s="1"/>
  <c r="BA48" i="5"/>
  <c r="BG48" i="5"/>
  <c r="AN48" i="5"/>
  <c r="BH48" i="5"/>
  <c r="AJ48" i="5"/>
  <c r="D47" i="9" s="1"/>
  <c r="AX48" i="5"/>
  <c r="AK48" i="5"/>
  <c r="AY48" i="5"/>
  <c r="AZ48" i="5"/>
  <c r="DH25" i="5"/>
  <c r="CW25" i="5"/>
  <c r="N24" i="9" s="1"/>
  <c r="CV25" i="5"/>
  <c r="M24" i="9" s="1"/>
  <c r="CX25" i="5"/>
  <c r="DJ25" i="5" s="1"/>
  <c r="DV25" i="5" s="1"/>
  <c r="EH25" i="5" s="1"/>
  <c r="BG13" i="5"/>
  <c r="BH13" i="5"/>
  <c r="AK13" i="5"/>
  <c r="BI13" i="5" s="1"/>
  <c r="AX13" i="5"/>
  <c r="AJ13" i="5"/>
  <c r="D12" i="9" s="1"/>
  <c r="AY13" i="5"/>
  <c r="AZ13" i="5"/>
  <c r="EY26" i="5"/>
  <c r="EZ26" i="5" s="1"/>
  <c r="BN26" i="5" s="1"/>
  <c r="CY26" i="5"/>
  <c r="DK26" i="5" s="1"/>
  <c r="DW26" i="5" s="1"/>
  <c r="EI26" i="5" s="1"/>
  <c r="DI26" i="5"/>
  <c r="AY42" i="4"/>
  <c r="AK42" i="4"/>
  <c r="B41" i="9" s="1"/>
  <c r="AZ42" i="4"/>
  <c r="BH42" i="4"/>
  <c r="BK42" i="4" s="1"/>
  <c r="BI42" i="4"/>
  <c r="BG42" i="4"/>
  <c r="AJ42" i="4"/>
  <c r="BA42" i="4" s="1"/>
  <c r="AO42" i="4"/>
  <c r="AX42" i="4"/>
  <c r="EG35" i="4"/>
  <c r="L34" i="9" s="1"/>
  <c r="CW35" i="4"/>
  <c r="DH35" i="4"/>
  <c r="I34" i="9" s="1"/>
  <c r="CX35" i="4"/>
  <c r="DJ35" i="4" s="1"/>
  <c r="DV35" i="4" s="1"/>
  <c r="EH35" i="4" s="1"/>
  <c r="DT35" i="4"/>
  <c r="DU35" i="4"/>
  <c r="CV35" i="4"/>
  <c r="EF35" i="4"/>
  <c r="K34" i="9" s="1"/>
  <c r="DT34" i="5"/>
  <c r="O33" i="9" s="1"/>
  <c r="CW34" i="5"/>
  <c r="N33" i="9" s="1"/>
  <c r="DU34" i="5"/>
  <c r="P33" i="9" s="1"/>
  <c r="CX34" i="5"/>
  <c r="DJ34" i="5" s="1"/>
  <c r="DV34" i="5" s="1"/>
  <c r="EH34" i="5" s="1"/>
  <c r="EF34" i="5"/>
  <c r="EG34" i="5"/>
  <c r="DH34" i="5"/>
  <c r="CV34" i="5"/>
  <c r="M33" i="9" s="1"/>
  <c r="EY15" i="5"/>
  <c r="EZ15" i="5" s="1"/>
  <c r="BN15" i="5" s="1"/>
  <c r="CY15" i="5"/>
  <c r="DK15" i="5" s="1"/>
  <c r="DW15" i="5" s="1"/>
  <c r="EI15" i="5" s="1"/>
  <c r="DI15" i="5"/>
  <c r="DH12" i="5"/>
  <c r="CV12" i="5"/>
  <c r="M11" i="9" s="1"/>
  <c r="CW12" i="5"/>
  <c r="N11" i="9" s="1"/>
  <c r="CX12" i="5"/>
  <c r="DJ12" i="5" s="1"/>
  <c r="DV12" i="5" s="1"/>
  <c r="EH12" i="5" s="1"/>
  <c r="AZ36" i="5"/>
  <c r="BG36" i="5"/>
  <c r="BH36" i="5"/>
  <c r="AJ36" i="5"/>
  <c r="D35" i="9" s="1"/>
  <c r="AK36" i="5"/>
  <c r="BI36" i="5" s="1"/>
  <c r="AX36" i="5"/>
  <c r="AY36" i="5"/>
  <c r="AJ34" i="4"/>
  <c r="AN34" i="4" s="1"/>
  <c r="BG34" i="4"/>
  <c r="AX34" i="4"/>
  <c r="BH34" i="4"/>
  <c r="AZ34" i="4"/>
  <c r="AK34" i="4"/>
  <c r="B33" i="9" s="1"/>
  <c r="AY34" i="4"/>
  <c r="EY22" i="5"/>
  <c r="EZ22" i="5" s="1"/>
  <c r="BN22" i="5" s="1"/>
  <c r="DI22" i="5"/>
  <c r="CY22" i="5"/>
  <c r="DK22" i="5" s="1"/>
  <c r="DW22" i="5" s="1"/>
  <c r="EI22" i="5" s="1"/>
  <c r="EG40" i="5"/>
  <c r="CX40" i="5"/>
  <c r="DJ40" i="5" s="1"/>
  <c r="DV40" i="5" s="1"/>
  <c r="EH40" i="5" s="1"/>
  <c r="DT40" i="5"/>
  <c r="O39" i="9" s="1"/>
  <c r="DH40" i="5"/>
  <c r="CV40" i="5"/>
  <c r="M39" i="9" s="1"/>
  <c r="CW40" i="5"/>
  <c r="N39" i="9" s="1"/>
  <c r="DU40" i="5"/>
  <c r="P39" i="9" s="1"/>
  <c r="EF40" i="5"/>
  <c r="BH7" i="4"/>
  <c r="BK7" i="4" s="1"/>
  <c r="AY7" i="4"/>
  <c r="BG7" i="4"/>
  <c r="AX7" i="4"/>
  <c r="AZ7" i="4"/>
  <c r="BC7" i="4" s="1"/>
  <c r="DH32" i="5"/>
  <c r="DT32" i="5"/>
  <c r="O31" i="9" s="1"/>
  <c r="CV32" i="5"/>
  <c r="M31" i="9" s="1"/>
  <c r="DU32" i="5"/>
  <c r="P31" i="9" s="1"/>
  <c r="EF32" i="5"/>
  <c r="CW32" i="5"/>
  <c r="N31" i="9" s="1"/>
  <c r="CX32" i="5"/>
  <c r="DJ32" i="5" s="1"/>
  <c r="DV32" i="5" s="1"/>
  <c r="EH32" i="5" s="1"/>
  <c r="EG32" i="5"/>
  <c r="AY40" i="5"/>
  <c r="AK40" i="5"/>
  <c r="AO40" i="5" s="1"/>
  <c r="AZ40" i="5"/>
  <c r="BC40" i="5" s="1"/>
  <c r="BH40" i="5"/>
  <c r="BK40" i="5" s="1"/>
  <c r="BI40" i="5"/>
  <c r="BG40" i="5"/>
  <c r="AX40" i="5"/>
  <c r="AJ40" i="5"/>
  <c r="D39" i="9" s="1"/>
  <c r="BG41" i="4"/>
  <c r="BH41" i="4"/>
  <c r="AY41" i="4"/>
  <c r="AK41" i="4"/>
  <c r="B40" i="9" s="1"/>
  <c r="AZ41" i="4"/>
  <c r="AJ41" i="4"/>
  <c r="BA41" i="4" s="1"/>
  <c r="AX41" i="4"/>
  <c r="EY34" i="5"/>
  <c r="EZ34" i="5" s="1"/>
  <c r="BN34" i="5" s="1"/>
  <c r="CY34" i="5"/>
  <c r="DK34" i="5" s="1"/>
  <c r="DW34" i="5" s="1"/>
  <c r="EI34" i="5" s="1"/>
  <c r="DI34" i="5"/>
  <c r="DU39" i="5"/>
  <c r="P38" i="9" s="1"/>
  <c r="CV39" i="5"/>
  <c r="M38" i="9" s="1"/>
  <c r="EF39" i="5"/>
  <c r="CW39" i="5"/>
  <c r="N38" i="9" s="1"/>
  <c r="EG39" i="5"/>
  <c r="CX39" i="5"/>
  <c r="DJ39" i="5" s="1"/>
  <c r="DV39" i="5" s="1"/>
  <c r="EH39" i="5" s="1"/>
  <c r="DH39" i="5"/>
  <c r="DT39" i="5"/>
  <c r="O38" i="9" s="1"/>
  <c r="DH7" i="4"/>
  <c r="I6" i="9" s="1"/>
  <c r="DI9" i="4"/>
  <c r="J8" i="9" s="1"/>
  <c r="DI41" i="5"/>
  <c r="EY41" i="5"/>
  <c r="EZ41" i="5" s="1"/>
  <c r="BN41" i="5" s="1"/>
  <c r="CY41" i="5"/>
  <c r="DK41" i="5" s="1"/>
  <c r="DW41" i="5" s="1"/>
  <c r="EI41" i="5" s="1"/>
  <c r="EY36" i="5"/>
  <c r="EZ36" i="5" s="1"/>
  <c r="BN36" i="5" s="1"/>
  <c r="DI36" i="5"/>
  <c r="CY36" i="5"/>
  <c r="DK36" i="5" s="1"/>
  <c r="DW36" i="5" s="1"/>
  <c r="EI36" i="5" s="1"/>
  <c r="DI48" i="4"/>
  <c r="J47" i="9" s="1"/>
  <c r="EY48" i="4"/>
  <c r="EZ48" i="4" s="1"/>
  <c r="BN48" i="4" s="1"/>
  <c r="CY48" i="4"/>
  <c r="DK48" i="4" s="1"/>
  <c r="DW48" i="4" s="1"/>
  <c r="EI48" i="4" s="1"/>
  <c r="EY25" i="5"/>
  <c r="EZ25" i="5" s="1"/>
  <c r="BN25" i="5" s="1"/>
  <c r="DI25" i="5"/>
  <c r="CY25" i="5"/>
  <c r="DK25" i="5" s="1"/>
  <c r="DW25" i="5" s="1"/>
  <c r="EI25" i="5" s="1"/>
  <c r="EY43" i="4"/>
  <c r="EZ43" i="4" s="1"/>
  <c r="BN43" i="4" s="1"/>
  <c r="DI43" i="4"/>
  <c r="J42" i="9" s="1"/>
  <c r="CY43" i="4"/>
  <c r="DK43" i="4" s="1"/>
  <c r="DW43" i="4" s="1"/>
  <c r="EI43" i="4" s="1"/>
  <c r="BH10" i="4"/>
  <c r="BK10" i="4" s="1"/>
  <c r="AY10" i="4"/>
  <c r="AZ10" i="4"/>
  <c r="BC10" i="4" s="1"/>
  <c r="AX10" i="4"/>
  <c r="BG10" i="4"/>
  <c r="DT41" i="5"/>
  <c r="O40" i="9" s="1"/>
  <c r="EG41" i="5"/>
  <c r="DU41" i="5"/>
  <c r="P40" i="9" s="1"/>
  <c r="CX41" i="5"/>
  <c r="DJ41" i="5" s="1"/>
  <c r="DV41" i="5" s="1"/>
  <c r="EH41" i="5" s="1"/>
  <c r="EF41" i="5"/>
  <c r="CV41" i="5"/>
  <c r="M40" i="9" s="1"/>
  <c r="CW41" i="5"/>
  <c r="N40" i="9" s="1"/>
  <c r="DH41" i="5"/>
  <c r="DI41" i="4"/>
  <c r="J40" i="9" s="1"/>
  <c r="EY41" i="4"/>
  <c r="EZ41" i="4" s="1"/>
  <c r="BN41" i="4" s="1"/>
  <c r="CY41" i="4"/>
  <c r="DK41" i="4" s="1"/>
  <c r="DW41" i="4" s="1"/>
  <c r="EI41" i="4" s="1"/>
  <c r="CY29" i="4"/>
  <c r="DK29" i="4" s="1"/>
  <c r="DW29" i="4" s="1"/>
  <c r="EI29" i="4" s="1"/>
  <c r="DI29" i="4"/>
  <c r="J28" i="9" s="1"/>
  <c r="EY29" i="4"/>
  <c r="EZ29" i="4" s="1"/>
  <c r="BN29" i="4" s="1"/>
  <c r="AX33" i="5"/>
  <c r="AJ33" i="5"/>
  <c r="D32" i="9" s="1"/>
  <c r="AY33" i="5"/>
  <c r="AK33" i="5"/>
  <c r="AO33" i="5" s="1"/>
  <c r="AZ33" i="5"/>
  <c r="BG33" i="5"/>
  <c r="BH33" i="5"/>
  <c r="BK33" i="5" s="1"/>
  <c r="CY48" i="5"/>
  <c r="DK48" i="5" s="1"/>
  <c r="DW48" i="5" s="1"/>
  <c r="EI48" i="5" s="1"/>
  <c r="EY48" i="5"/>
  <c r="EZ48" i="5" s="1"/>
  <c r="BN48" i="5" s="1"/>
  <c r="DI48" i="5"/>
  <c r="CW24" i="4"/>
  <c r="DH24" i="4"/>
  <c r="I23" i="9" s="1"/>
  <c r="CX24" i="4"/>
  <c r="DJ24" i="4" s="1"/>
  <c r="DV24" i="4" s="1"/>
  <c r="EH24" i="4" s="1"/>
  <c r="CV24" i="4"/>
  <c r="DI27" i="5"/>
  <c r="CY27" i="5"/>
  <c r="DK27" i="5" s="1"/>
  <c r="DW27" i="5" s="1"/>
  <c r="EI27" i="5" s="1"/>
  <c r="EY27" i="5"/>
  <c r="EZ27" i="5" s="1"/>
  <c r="BN27" i="5" s="1"/>
  <c r="AX26" i="5"/>
  <c r="BG26" i="5"/>
  <c r="AJ26" i="5"/>
  <c r="D25" i="9" s="1"/>
  <c r="BH26" i="5"/>
  <c r="AY26" i="5"/>
  <c r="AZ26" i="5"/>
  <c r="AK26" i="5"/>
  <c r="AO26" i="5" s="1"/>
  <c r="EY11" i="5"/>
  <c r="EZ11" i="5" s="1"/>
  <c r="BN11" i="5" s="1"/>
  <c r="CY11" i="5"/>
  <c r="DK11" i="5" s="1"/>
  <c r="DW11" i="5" s="1"/>
  <c r="EI11" i="5" s="1"/>
  <c r="DI11" i="5"/>
  <c r="DI21" i="4"/>
  <c r="J20" i="9" s="1"/>
  <c r="EY21" i="4"/>
  <c r="EZ21" i="4" s="1"/>
  <c r="BN21" i="4" s="1"/>
  <c r="CY21" i="4"/>
  <c r="DK21" i="4" s="1"/>
  <c r="DW21" i="4" s="1"/>
  <c r="EI21" i="4" s="1"/>
  <c r="EY14" i="5"/>
  <c r="EZ14" i="5" s="1"/>
  <c r="BN14" i="5" s="1"/>
  <c r="DI14" i="5"/>
  <c r="CY14" i="5"/>
  <c r="DK14" i="5" s="1"/>
  <c r="DW14" i="5" s="1"/>
  <c r="EI14" i="5" s="1"/>
  <c r="DI32" i="4"/>
  <c r="J31" i="9" s="1"/>
  <c r="CY32" i="4"/>
  <c r="DK32" i="4" s="1"/>
  <c r="DW32" i="4" s="1"/>
  <c r="EI32" i="4" s="1"/>
  <c r="EY32" i="4"/>
  <c r="EZ32" i="4" s="1"/>
  <c r="BN32" i="4" s="1"/>
  <c r="BH19" i="4"/>
  <c r="AX19" i="4"/>
  <c r="AJ19" i="4"/>
  <c r="AN19" i="4" s="1"/>
  <c r="AZ19" i="4"/>
  <c r="AY19" i="4"/>
  <c r="AK19" i="4"/>
  <c r="B18" i="9" s="1"/>
  <c r="BG19" i="4"/>
  <c r="DH26" i="5"/>
  <c r="CV26" i="5"/>
  <c r="M25" i="9" s="1"/>
  <c r="CW26" i="5"/>
  <c r="N25" i="9" s="1"/>
  <c r="CX26" i="5"/>
  <c r="DJ26" i="5" s="1"/>
  <c r="DV26" i="5" s="1"/>
  <c r="EH26" i="5" s="1"/>
  <c r="AJ15" i="4"/>
  <c r="AN15" i="4" s="1"/>
  <c r="DH16" i="5"/>
  <c r="CV16" i="5"/>
  <c r="M15" i="9" s="1"/>
  <c r="CW16" i="5"/>
  <c r="N15" i="9" s="1"/>
  <c r="CX16" i="5"/>
  <c r="DJ16" i="5" s="1"/>
  <c r="DV16" i="5" s="1"/>
  <c r="EH16" i="5" s="1"/>
  <c r="DI46" i="5"/>
  <c r="EY46" i="5"/>
  <c r="EZ46" i="5" s="1"/>
  <c r="BN46" i="5" s="1"/>
  <c r="CY46" i="5"/>
  <c r="DK46" i="5" s="1"/>
  <c r="DW46" i="5" s="1"/>
  <c r="EI46" i="5" s="1"/>
  <c r="DI12" i="5"/>
  <c r="EY12" i="5"/>
  <c r="EZ12" i="5" s="1"/>
  <c r="BN12" i="5" s="1"/>
  <c r="CY12" i="5"/>
  <c r="DK12" i="5" s="1"/>
  <c r="DW12" i="5" s="1"/>
  <c r="EI12" i="5" s="1"/>
  <c r="CX9" i="5"/>
  <c r="DJ9" i="5" s="1"/>
  <c r="DV9" i="5" s="1"/>
  <c r="EH9" i="5" s="1"/>
  <c r="DH9" i="5"/>
  <c r="CW9" i="5"/>
  <c r="N8" i="9" s="1"/>
  <c r="CV9" i="5"/>
  <c r="M8" i="9" s="1"/>
  <c r="CW14" i="4"/>
  <c r="CX14" i="4"/>
  <c r="DJ14" i="4" s="1"/>
  <c r="DV14" i="4" s="1"/>
  <c r="EH14" i="4" s="1"/>
  <c r="DH14" i="4"/>
  <c r="I13" i="9" s="1"/>
  <c r="CV14" i="4"/>
  <c r="EY24" i="5"/>
  <c r="EZ24" i="5" s="1"/>
  <c r="BN24" i="5" s="1"/>
  <c r="DI24" i="5"/>
  <c r="CY24" i="5"/>
  <c r="DK24" i="5" s="1"/>
  <c r="DW24" i="5" s="1"/>
  <c r="EI24" i="5" s="1"/>
  <c r="DI19" i="4"/>
  <c r="J18" i="9" s="1"/>
  <c r="EY19" i="4"/>
  <c r="EZ19" i="4" s="1"/>
  <c r="BN19" i="4" s="1"/>
  <c r="CY19" i="4"/>
  <c r="DK19" i="4" s="1"/>
  <c r="DW19" i="4" s="1"/>
  <c r="EI19" i="4" s="1"/>
  <c r="EY44" i="4"/>
  <c r="EZ44" i="4" s="1"/>
  <c r="BN44" i="4" s="1"/>
  <c r="CY44" i="4"/>
  <c r="DK44" i="4" s="1"/>
  <c r="DW44" i="4" s="1"/>
  <c r="EI44" i="4" s="1"/>
  <c r="DI44" i="4"/>
  <c r="J43" i="9" s="1"/>
  <c r="BG15" i="5"/>
  <c r="AJ15" i="5"/>
  <c r="D14" i="9" s="1"/>
  <c r="BH15" i="5"/>
  <c r="AX15" i="5"/>
  <c r="AK15" i="5"/>
  <c r="BI15" i="5" s="1"/>
  <c r="AZ15" i="5"/>
  <c r="AY15" i="5"/>
  <c r="CV16" i="4"/>
  <c r="CW16" i="4"/>
  <c r="CX16" i="4"/>
  <c r="DJ16" i="4" s="1"/>
  <c r="DV16" i="4" s="1"/>
  <c r="EH16" i="4" s="1"/>
  <c r="DH16" i="4"/>
  <c r="I15" i="9" s="1"/>
  <c r="CW6" i="5"/>
  <c r="N5" i="9" s="1"/>
  <c r="CX6" i="5"/>
  <c r="DJ6" i="5" s="1"/>
  <c r="DV6" i="5" s="1"/>
  <c r="EH6" i="5" s="1"/>
  <c r="DH6" i="5"/>
  <c r="CV6" i="5"/>
  <c r="M5" i="9" s="1"/>
  <c r="EY12" i="4"/>
  <c r="EZ12" i="4" s="1"/>
  <c r="BN12" i="4" s="1"/>
  <c r="CY12" i="4"/>
  <c r="DK12" i="4" s="1"/>
  <c r="DW12" i="4" s="1"/>
  <c r="EI12" i="4" s="1"/>
  <c r="DI12" i="4"/>
  <c r="J11" i="9" s="1"/>
  <c r="DI13" i="4"/>
  <c r="J12" i="9" s="1"/>
  <c r="CY13" i="4"/>
  <c r="DK13" i="4" s="1"/>
  <c r="DW13" i="4" s="1"/>
  <c r="EI13" i="4" s="1"/>
  <c r="EY13" i="4"/>
  <c r="EZ13" i="4" s="1"/>
  <c r="BN13" i="4" s="1"/>
  <c r="CY45" i="4"/>
  <c r="DK45" i="4" s="1"/>
  <c r="DW45" i="4" s="1"/>
  <c r="EI45" i="4" s="1"/>
  <c r="DI45" i="4"/>
  <c r="J44" i="9" s="1"/>
  <c r="EY45" i="4"/>
  <c r="EZ45" i="4" s="1"/>
  <c r="BN45" i="4" s="1"/>
  <c r="AX28" i="4"/>
  <c r="AJ28" i="4"/>
  <c r="BA28" i="4" s="1"/>
  <c r="AY28" i="4"/>
  <c r="AK28" i="4"/>
  <c r="B27" i="9" s="1"/>
  <c r="AZ28" i="4"/>
  <c r="BH28" i="4"/>
  <c r="BG28" i="4"/>
  <c r="DH38" i="5"/>
  <c r="EF38" i="5"/>
  <c r="DU38" i="5"/>
  <c r="P37" i="9" s="1"/>
  <c r="CV38" i="5"/>
  <c r="M37" i="9" s="1"/>
  <c r="DT38" i="5"/>
  <c r="O37" i="9" s="1"/>
  <c r="CX38" i="5"/>
  <c r="DJ38" i="5" s="1"/>
  <c r="DV38" i="5" s="1"/>
  <c r="EH38" i="5" s="1"/>
  <c r="CW38" i="5"/>
  <c r="N37" i="9" s="1"/>
  <c r="EG38" i="5"/>
  <c r="EY37" i="4"/>
  <c r="EZ37" i="4" s="1"/>
  <c r="BN37" i="4" s="1"/>
  <c r="CY37" i="4"/>
  <c r="DK37" i="4" s="1"/>
  <c r="DW37" i="4" s="1"/>
  <c r="EI37" i="4" s="1"/>
  <c r="DI37" i="4"/>
  <c r="J36" i="9" s="1"/>
  <c r="CY50" i="5"/>
  <c r="DK50" i="5" s="1"/>
  <c r="DW50" i="5" s="1"/>
  <c r="EI50" i="5" s="1"/>
  <c r="EY50" i="5"/>
  <c r="EZ50" i="5" s="1"/>
  <c r="BN50" i="5" s="1"/>
  <c r="DI50" i="5"/>
  <c r="DU30" i="4"/>
  <c r="CV30" i="4"/>
  <c r="EF30" i="4"/>
  <c r="K29" i="9" s="1"/>
  <c r="CW30" i="4"/>
  <c r="EG30" i="4"/>
  <c r="L29" i="9" s="1"/>
  <c r="CX30" i="4"/>
  <c r="DJ30" i="4" s="1"/>
  <c r="DV30" i="4" s="1"/>
  <c r="EH30" i="4" s="1"/>
  <c r="DH30" i="4"/>
  <c r="I29" i="9" s="1"/>
  <c r="DT30" i="4"/>
  <c r="DH23" i="4"/>
  <c r="I22" i="9" s="1"/>
  <c r="CW23" i="4"/>
  <c r="CX23" i="4"/>
  <c r="DJ23" i="4" s="1"/>
  <c r="DV23" i="4" s="1"/>
  <c r="EH23" i="4" s="1"/>
  <c r="CV23" i="4"/>
  <c r="EY18" i="5"/>
  <c r="EZ18" i="5" s="1"/>
  <c r="BN18" i="5" s="1"/>
  <c r="DI18" i="5"/>
  <c r="CY18" i="5"/>
  <c r="DK18" i="5" s="1"/>
  <c r="DW18" i="5" s="1"/>
  <c r="EI18" i="5" s="1"/>
  <c r="AX35" i="5"/>
  <c r="AZ35" i="5"/>
  <c r="BH35" i="5"/>
  <c r="BG35" i="5"/>
  <c r="DH17" i="4"/>
  <c r="I16" i="9" s="1"/>
  <c r="CW17" i="4"/>
  <c r="CX17" i="4"/>
  <c r="DJ17" i="4" s="1"/>
  <c r="DV17" i="4" s="1"/>
  <c r="EH17" i="4" s="1"/>
  <c r="CV17" i="4"/>
  <c r="EY28" i="4"/>
  <c r="EZ28" i="4" s="1"/>
  <c r="BN28" i="4" s="1"/>
  <c r="DI28" i="4"/>
  <c r="J27" i="9" s="1"/>
  <c r="CY28" i="4"/>
  <c r="DK28" i="4" s="1"/>
  <c r="DW28" i="4" s="1"/>
  <c r="EI28" i="4" s="1"/>
  <c r="CV25" i="4"/>
  <c r="CX25" i="4"/>
  <c r="DJ25" i="4" s="1"/>
  <c r="DV25" i="4" s="1"/>
  <c r="EH25" i="4" s="1"/>
  <c r="CW25" i="4"/>
  <c r="DH25" i="4"/>
  <c r="I24" i="9" s="1"/>
  <c r="AK13" i="4"/>
  <c r="B12" i="9" s="1"/>
  <c r="AX13" i="4"/>
  <c r="AY13" i="4"/>
  <c r="CY26" i="4"/>
  <c r="DK26" i="4" s="1"/>
  <c r="DW26" i="4" s="1"/>
  <c r="EI26" i="4" s="1"/>
  <c r="EY26" i="4"/>
  <c r="EZ26" i="4" s="1"/>
  <c r="BN26" i="4" s="1"/>
  <c r="DI26" i="4"/>
  <c r="J25" i="9" s="1"/>
  <c r="DU35" i="5"/>
  <c r="P34" i="9" s="1"/>
  <c r="EF35" i="5"/>
  <c r="CV35" i="5"/>
  <c r="M34" i="9" s="1"/>
  <c r="EG35" i="5"/>
  <c r="CW35" i="5"/>
  <c r="N34" i="9" s="1"/>
  <c r="CX35" i="5"/>
  <c r="DJ35" i="5" s="1"/>
  <c r="DV35" i="5" s="1"/>
  <c r="EH35" i="5" s="1"/>
  <c r="DT35" i="5"/>
  <c r="O34" i="9" s="1"/>
  <c r="DH35" i="5"/>
  <c r="DT34" i="4"/>
  <c r="DH34" i="4"/>
  <c r="I33" i="9" s="1"/>
  <c r="EF34" i="4"/>
  <c r="K33" i="9" s="1"/>
  <c r="CW34" i="4"/>
  <c r="EG34" i="4"/>
  <c r="L33" i="9" s="1"/>
  <c r="CX34" i="4"/>
  <c r="DJ34" i="4" s="1"/>
  <c r="DV34" i="4" s="1"/>
  <c r="EH34" i="4" s="1"/>
  <c r="DU34" i="4"/>
  <c r="CV34" i="4"/>
  <c r="DI15" i="4"/>
  <c r="J14" i="9" s="1"/>
  <c r="EY15" i="4"/>
  <c r="EZ15" i="4" s="1"/>
  <c r="BN15" i="4" s="1"/>
  <c r="CY15" i="4"/>
  <c r="DK15" i="4" s="1"/>
  <c r="DW15" i="4" s="1"/>
  <c r="EI15" i="4" s="1"/>
  <c r="CX12" i="4"/>
  <c r="DJ12" i="4" s="1"/>
  <c r="DV12" i="4" s="1"/>
  <c r="EH12" i="4" s="1"/>
  <c r="DH12" i="4"/>
  <c r="I11" i="9" s="1"/>
  <c r="CW12" i="4"/>
  <c r="CV12" i="4"/>
  <c r="AY34" i="5"/>
  <c r="AZ34" i="5"/>
  <c r="AX34" i="5"/>
  <c r="EY22" i="4"/>
  <c r="EZ22" i="4" s="1"/>
  <c r="BN22" i="4" s="1"/>
  <c r="CY22" i="4"/>
  <c r="DK22" i="4" s="1"/>
  <c r="DW22" i="4" s="1"/>
  <c r="EI22" i="4" s="1"/>
  <c r="DI22" i="4"/>
  <c r="J21" i="9" s="1"/>
  <c r="DU40" i="4"/>
  <c r="EF40" i="4"/>
  <c r="K39" i="9" s="1"/>
  <c r="CV40" i="4"/>
  <c r="CX40" i="4"/>
  <c r="DJ40" i="4" s="1"/>
  <c r="DV40" i="4" s="1"/>
  <c r="EH40" i="4" s="1"/>
  <c r="EG40" i="4"/>
  <c r="L39" i="9" s="1"/>
  <c r="CW40" i="4"/>
  <c r="DH40" i="4"/>
  <c r="I39" i="9" s="1"/>
  <c r="DT40" i="4"/>
  <c r="AX7" i="5"/>
  <c r="CV11" i="5"/>
  <c r="M10" i="9" s="1"/>
  <c r="CW11" i="5"/>
  <c r="N10" i="9" s="1"/>
  <c r="DH11" i="5"/>
  <c r="CX11" i="5"/>
  <c r="DJ11" i="5" s="1"/>
  <c r="DV11" i="5" s="1"/>
  <c r="EH11" i="5" s="1"/>
  <c r="DH32" i="4"/>
  <c r="I31" i="9" s="1"/>
  <c r="DT32" i="4"/>
  <c r="EF32" i="4"/>
  <c r="K31" i="9" s="1"/>
  <c r="CW32" i="4"/>
  <c r="EG32" i="4"/>
  <c r="L31" i="9" s="1"/>
  <c r="CX32" i="4"/>
  <c r="DJ32" i="4" s="1"/>
  <c r="DV32" i="4" s="1"/>
  <c r="EH32" i="4" s="1"/>
  <c r="CV32" i="4"/>
  <c r="DU32" i="4"/>
  <c r="DI34" i="4"/>
  <c r="J33" i="9" s="1"/>
  <c r="EY34" i="4"/>
  <c r="EZ34" i="4" s="1"/>
  <c r="BN34" i="4" s="1"/>
  <c r="CY34" i="4"/>
  <c r="DK34" i="4" s="1"/>
  <c r="DW34" i="4" s="1"/>
  <c r="EI34" i="4" s="1"/>
  <c r="DH39" i="4"/>
  <c r="I38" i="9" s="1"/>
  <c r="DT39" i="4"/>
  <c r="CV39" i="4"/>
  <c r="EF39" i="4"/>
  <c r="K38" i="9" s="1"/>
  <c r="CW39" i="4"/>
  <c r="EG39" i="4"/>
  <c r="L38" i="9" s="1"/>
  <c r="CX39" i="4"/>
  <c r="DJ39" i="4" s="1"/>
  <c r="DV39" i="4" s="1"/>
  <c r="EH39" i="4" s="1"/>
  <c r="DU39" i="4"/>
  <c r="AZ37" i="4"/>
  <c r="BH37" i="4"/>
  <c r="AX37" i="4"/>
  <c r="AJ37" i="4"/>
  <c r="AN37" i="4" s="1"/>
  <c r="AY37" i="4"/>
  <c r="BG37" i="4"/>
  <c r="AK37" i="4"/>
  <c r="B36" i="9" s="1"/>
  <c r="AK10" i="4"/>
  <c r="B9" i="9" s="1"/>
  <c r="DI11" i="4"/>
  <c r="J10" i="9" s="1"/>
  <c r="CV7" i="4"/>
  <c r="FC9" i="4"/>
  <c r="BO9" i="4" s="1"/>
  <c r="BP9" i="4" s="1"/>
  <c r="BP24" i="4"/>
  <c r="BQ24" i="4"/>
  <c r="BQ18" i="4"/>
  <c r="BP18" i="4"/>
  <c r="BP31" i="4"/>
  <c r="BQ31" i="4"/>
  <c r="BQ30" i="4"/>
  <c r="BP30" i="4"/>
  <c r="BP25" i="4"/>
  <c r="BQ25" i="4"/>
  <c r="BP35" i="4"/>
  <c r="BQ35" i="4"/>
  <c r="BP22" i="4"/>
  <c r="BQ22" i="4"/>
  <c r="BQ33" i="4"/>
  <c r="BP33" i="4"/>
  <c r="BQ29" i="4"/>
  <c r="BP29" i="4"/>
  <c r="BQ32" i="4"/>
  <c r="BP32" i="4"/>
  <c r="BQ27" i="4"/>
  <c r="BP27" i="4"/>
  <c r="BQ34" i="4"/>
  <c r="BP34" i="4"/>
  <c r="FC10" i="4"/>
  <c r="BO10" i="4" s="1"/>
  <c r="BP28" i="4"/>
  <c r="BQ28" i="4"/>
  <c r="FC11" i="4"/>
  <c r="BO11" i="4" s="1"/>
  <c r="FC8" i="4"/>
  <c r="BO8" i="4" s="1"/>
  <c r="BQ26" i="4"/>
  <c r="BP26" i="4"/>
  <c r="FC7" i="4"/>
  <c r="BO7" i="4" s="1"/>
  <c r="FC6" i="4"/>
  <c r="BO6" i="4" s="1"/>
  <c r="BH45" i="4" l="1"/>
  <c r="BK45" i="4" s="1"/>
  <c r="AY45" i="4"/>
  <c r="AX26" i="4"/>
  <c r="AJ26" i="4"/>
  <c r="AY39" i="4"/>
  <c r="AX47" i="4"/>
  <c r="AN30" i="5"/>
  <c r="D29" i="9"/>
  <c r="BI35" i="4"/>
  <c r="BJ35" i="4" s="1"/>
  <c r="B34" i="9"/>
  <c r="BQ23" i="4"/>
  <c r="AN28" i="4"/>
  <c r="BA33" i="5"/>
  <c r="AN33" i="5"/>
  <c r="BA35" i="4"/>
  <c r="BA34" i="4"/>
  <c r="BB34" i="4" s="1"/>
  <c r="AO29" i="4"/>
  <c r="AO31" i="4"/>
  <c r="BI26" i="5"/>
  <c r="BJ26" i="5" s="1"/>
  <c r="AO29" i="5"/>
  <c r="BI31" i="4"/>
  <c r="AN31" i="4"/>
  <c r="AJ21" i="5"/>
  <c r="D20" i="9" s="1"/>
  <c r="AJ37" i="5"/>
  <c r="D36" i="9" s="1"/>
  <c r="AX37" i="5"/>
  <c r="AX21" i="5"/>
  <c r="AK37" i="5"/>
  <c r="BI37" i="5" s="1"/>
  <c r="AK21" i="5"/>
  <c r="BI21" i="5" s="1"/>
  <c r="AZ37" i="5"/>
  <c r="AY21" i="5"/>
  <c r="BG37" i="5"/>
  <c r="AZ21" i="5"/>
  <c r="BC21" i="5" s="1"/>
  <c r="BH37" i="5"/>
  <c r="BK37" i="5" s="1"/>
  <c r="BG21" i="5"/>
  <c r="BI10" i="4"/>
  <c r="BI19" i="4"/>
  <c r="BA25" i="5"/>
  <c r="BA17" i="5"/>
  <c r="AJ40" i="4"/>
  <c r="BA40" i="4" s="1"/>
  <c r="AK36" i="4"/>
  <c r="B35" i="9" s="1"/>
  <c r="BI6" i="4"/>
  <c r="BJ6" i="4" s="1"/>
  <c r="AO28" i="4"/>
  <c r="AO35" i="4"/>
  <c r="BI43" i="4"/>
  <c r="AN27" i="5"/>
  <c r="AO7" i="4"/>
  <c r="AX32" i="4"/>
  <c r="BH26" i="4"/>
  <c r="BG45" i="4"/>
  <c r="AO37" i="4"/>
  <c r="BI13" i="4"/>
  <c r="BA26" i="5"/>
  <c r="AN19" i="5"/>
  <c r="DM10" i="4"/>
  <c r="BI8" i="4"/>
  <c r="AJ9" i="4"/>
  <c r="BA9" i="4" s="1"/>
  <c r="AZ27" i="4"/>
  <c r="BI29" i="4"/>
  <c r="DM7" i="4"/>
  <c r="BI50" i="4"/>
  <c r="BA32" i="5"/>
  <c r="BI24" i="4"/>
  <c r="AN39" i="5"/>
  <c r="AN14" i="5"/>
  <c r="AN29" i="5"/>
  <c r="AN12" i="5"/>
  <c r="AN20" i="5"/>
  <c r="DM9" i="4"/>
  <c r="DO9" i="4" s="1"/>
  <c r="AY46" i="4"/>
  <c r="BA48" i="4"/>
  <c r="BG17" i="4"/>
  <c r="BG30" i="4"/>
  <c r="BA13" i="5"/>
  <c r="BI18" i="4"/>
  <c r="AO44" i="4"/>
  <c r="AN50" i="5"/>
  <c r="AJ12" i="4"/>
  <c r="BA12" i="4" s="1"/>
  <c r="BG25" i="4"/>
  <c r="AK33" i="4"/>
  <c r="B32" i="9" s="1"/>
  <c r="BA36" i="5"/>
  <c r="BB36" i="5" s="1"/>
  <c r="BI20" i="4"/>
  <c r="BA10" i="5"/>
  <c r="BA30" i="5"/>
  <c r="BB30" i="5" s="1"/>
  <c r="AO49" i="4"/>
  <c r="AO22" i="4"/>
  <c r="AK14" i="4"/>
  <c r="B13" i="9" s="1"/>
  <c r="BA34" i="5"/>
  <c r="BB34" i="5" s="1"/>
  <c r="BH13" i="4"/>
  <c r="BK13" i="4" s="1"/>
  <c r="AN16" i="5"/>
  <c r="AO21" i="4"/>
  <c r="AO23" i="4"/>
  <c r="DM6" i="4"/>
  <c r="DO6" i="4" s="1"/>
  <c r="AX15" i="4"/>
  <c r="AN15" i="5"/>
  <c r="BA37" i="5"/>
  <c r="BB37" i="5" s="1"/>
  <c r="AN11" i="5"/>
  <c r="AN22" i="5"/>
  <c r="AN9" i="5"/>
  <c r="DM8" i="4"/>
  <c r="DO8" i="4" s="1"/>
  <c r="DM11" i="4"/>
  <c r="DO11" i="4" s="1"/>
  <c r="AJ16" i="4"/>
  <c r="BA16" i="4" s="1"/>
  <c r="AJ39" i="4"/>
  <c r="BA39" i="4" s="1"/>
  <c r="AJ11" i="4"/>
  <c r="AN11" i="4" s="1"/>
  <c r="BH47" i="4"/>
  <c r="BK47" i="4" s="1"/>
  <c r="AX30" i="4"/>
  <c r="BH25" i="4"/>
  <c r="AZ33" i="4"/>
  <c r="BC33" i="4" s="1"/>
  <c r="AK6" i="5"/>
  <c r="BI6" i="5" s="1"/>
  <c r="AX25" i="4"/>
  <c r="BH33" i="4"/>
  <c r="BK33" i="4" s="1"/>
  <c r="AZ46" i="4"/>
  <c r="BC46" i="4" s="1"/>
  <c r="AJ25" i="4"/>
  <c r="AN25" i="4" s="1"/>
  <c r="BH17" i="4"/>
  <c r="BK17" i="4" s="1"/>
  <c r="AO35" i="5"/>
  <c r="AK25" i="4"/>
  <c r="B24" i="9" s="1"/>
  <c r="BG33" i="4"/>
  <c r="BI22" i="4"/>
  <c r="BJ22" i="4" s="1"/>
  <c r="AK18" i="5"/>
  <c r="AJ17" i="4"/>
  <c r="AJ48" i="4"/>
  <c r="AN48" i="4" s="1"/>
  <c r="AJ35" i="5"/>
  <c r="D34" i="9" s="1"/>
  <c r="AY12" i="4"/>
  <c r="AY25" i="4"/>
  <c r="AJ33" i="4"/>
  <c r="BA33" i="4" s="1"/>
  <c r="BH43" i="5"/>
  <c r="BH48" i="4"/>
  <c r="BK48" i="4" s="1"/>
  <c r="AY48" i="4"/>
  <c r="AY35" i="5"/>
  <c r="BH30" i="4"/>
  <c r="BK30" i="4" s="1"/>
  <c r="AZ25" i="4"/>
  <c r="BC25" i="4" s="1"/>
  <c r="AY33" i="4"/>
  <c r="AX36" i="4"/>
  <c r="AJ30" i="4"/>
  <c r="AN30" i="4" s="1"/>
  <c r="BP20" i="4"/>
  <c r="CG20" i="4" s="1"/>
  <c r="AY31" i="5"/>
  <c r="AK46" i="4"/>
  <c r="B45" i="9" s="1"/>
  <c r="AJ43" i="5"/>
  <c r="D42" i="9" s="1"/>
  <c r="AK40" i="4"/>
  <c r="B39" i="9" s="1"/>
  <c r="AY30" i="4"/>
  <c r="AX29" i="4"/>
  <c r="AX49" i="5"/>
  <c r="AJ45" i="4"/>
  <c r="AN45" i="4" s="1"/>
  <c r="BG31" i="5"/>
  <c r="AJ6" i="5"/>
  <c r="D5" i="9" s="1"/>
  <c r="AJ24" i="5"/>
  <c r="D23" i="9" s="1"/>
  <c r="AY43" i="5"/>
  <c r="BH18" i="5"/>
  <c r="BK18" i="5" s="1"/>
  <c r="AJ18" i="5"/>
  <c r="D17" i="9" s="1"/>
  <c r="AK45" i="4"/>
  <c r="B44" i="9" s="1"/>
  <c r="BQ21" i="4"/>
  <c r="BU21" i="4" s="1"/>
  <c r="AK27" i="4"/>
  <c r="B26" i="9" s="1"/>
  <c r="AK30" i="4"/>
  <c r="B29" i="9" s="1"/>
  <c r="AJ29" i="4"/>
  <c r="BA29" i="4" s="1"/>
  <c r="BB29" i="4" s="1"/>
  <c r="AJ49" i="5"/>
  <c r="D48" i="9" s="1"/>
  <c r="AZ45" i="4"/>
  <c r="BC45" i="4" s="1"/>
  <c r="BH31" i="5"/>
  <c r="BG6" i="5"/>
  <c r="AK43" i="5"/>
  <c r="BI43" i="5" s="1"/>
  <c r="AX18" i="5"/>
  <c r="AK31" i="5"/>
  <c r="BI31" i="5" s="1"/>
  <c r="AX43" i="5"/>
  <c r="BG29" i="4"/>
  <c r="AO49" i="5"/>
  <c r="AX45" i="4"/>
  <c r="BG18" i="5"/>
  <c r="AZ30" i="4"/>
  <c r="BC30" i="4" s="1"/>
  <c r="AY29" i="4"/>
  <c r="AK49" i="5"/>
  <c r="BI49" i="5" s="1"/>
  <c r="BJ49" i="5" s="1"/>
  <c r="AJ31" i="5"/>
  <c r="D30" i="9" s="1"/>
  <c r="BG43" i="5"/>
  <c r="AY18" i="5"/>
  <c r="AZ31" i="5"/>
  <c r="BC31" i="5" s="1"/>
  <c r="BG48" i="4"/>
  <c r="BG46" i="4"/>
  <c r="AN17" i="5"/>
  <c r="BP17" i="4"/>
  <c r="CG17" i="4" s="1"/>
  <c r="AO6" i="4"/>
  <c r="BP16" i="4"/>
  <c r="BT16" i="4" s="1"/>
  <c r="BQ19" i="4"/>
  <c r="BU19" i="4" s="1"/>
  <c r="AY27" i="4"/>
  <c r="AK34" i="5"/>
  <c r="BI34" i="5" s="1"/>
  <c r="AJ13" i="4"/>
  <c r="AN13" i="4" s="1"/>
  <c r="AX48" i="4"/>
  <c r="BA19" i="5"/>
  <c r="BB19" i="5" s="1"/>
  <c r="BH6" i="5"/>
  <c r="BK6" i="5" s="1"/>
  <c r="BG27" i="4"/>
  <c r="AX17" i="4"/>
  <c r="BH34" i="5"/>
  <c r="BK34" i="5" s="1"/>
  <c r="AZ13" i="4"/>
  <c r="BC13" i="4" s="1"/>
  <c r="BH46" i="4"/>
  <c r="BG34" i="5"/>
  <c r="BG13" i="4"/>
  <c r="AK48" i="4"/>
  <c r="B47" i="9" s="1"/>
  <c r="AO19" i="4"/>
  <c r="BH14" i="4"/>
  <c r="BK14" i="4" s="1"/>
  <c r="AX6" i="5"/>
  <c r="AY8" i="5"/>
  <c r="AX27" i="4"/>
  <c r="AX46" i="4"/>
  <c r="AY17" i="4"/>
  <c r="AZ14" i="4"/>
  <c r="BC14" i="4" s="1"/>
  <c r="AK8" i="5"/>
  <c r="AO8" i="5" s="1"/>
  <c r="AN34" i="5"/>
  <c r="AZ48" i="4"/>
  <c r="BB48" i="4" s="1"/>
  <c r="AY6" i="5"/>
  <c r="AJ27" i="4"/>
  <c r="AN27" i="4" s="1"/>
  <c r="AJ46" i="4"/>
  <c r="BA46" i="4" s="1"/>
  <c r="BB46" i="4" s="1"/>
  <c r="AZ17" i="4"/>
  <c r="BG38" i="5"/>
  <c r="BH27" i="4"/>
  <c r="BK27" i="4" s="1"/>
  <c r="AK17" i="4"/>
  <c r="B16" i="9" s="1"/>
  <c r="AX23" i="5"/>
  <c r="BI23" i="4"/>
  <c r="BJ23" i="4" s="1"/>
  <c r="AK9" i="4"/>
  <c r="B8" i="9" s="1"/>
  <c r="BG7" i="5"/>
  <c r="AZ15" i="4"/>
  <c r="BC15" i="4" s="1"/>
  <c r="AZ7" i="5"/>
  <c r="BC7" i="5" s="1"/>
  <c r="AZ23" i="5"/>
  <c r="BC23" i="5" s="1"/>
  <c r="BG15" i="4"/>
  <c r="AY26" i="4"/>
  <c r="BA7" i="4"/>
  <c r="BB7" i="4" s="1"/>
  <c r="AJ7" i="5"/>
  <c r="D6" i="9" s="1"/>
  <c r="AK38" i="5"/>
  <c r="BI38" i="5" s="1"/>
  <c r="AY15" i="4"/>
  <c r="BH23" i="5"/>
  <c r="BK23" i="5" s="1"/>
  <c r="BH7" i="5"/>
  <c r="BK7" i="5" s="1"/>
  <c r="AY7" i="5"/>
  <c r="AX42" i="5"/>
  <c r="AZ38" i="5"/>
  <c r="BC38" i="5" s="1"/>
  <c r="AK15" i="4"/>
  <c r="B14" i="9" s="1"/>
  <c r="AY23" i="5"/>
  <c r="AJ23" i="5"/>
  <c r="D22" i="9" s="1"/>
  <c r="AX11" i="4"/>
  <c r="BH15" i="4"/>
  <c r="BK15" i="4" s="1"/>
  <c r="BG23" i="5"/>
  <c r="AY40" i="4"/>
  <c r="AY36" i="4"/>
  <c r="BH42" i="5"/>
  <c r="BK42" i="5" s="1"/>
  <c r="BA38" i="5"/>
  <c r="AY11" i="4"/>
  <c r="BI24" i="5"/>
  <c r="AZ24" i="5"/>
  <c r="BC24" i="5" s="1"/>
  <c r="AK47" i="4"/>
  <c r="B46" i="9" s="1"/>
  <c r="AO40" i="4"/>
  <c r="BG36" i="4"/>
  <c r="AK42" i="5"/>
  <c r="AY38" i="5"/>
  <c r="AZ47" i="4"/>
  <c r="BC47" i="4" s="1"/>
  <c r="AK28" i="5"/>
  <c r="AO28" i="5" s="1"/>
  <c r="BH44" i="5"/>
  <c r="BK44" i="5" s="1"/>
  <c r="AZ26" i="4"/>
  <c r="BC26" i="4" s="1"/>
  <c r="AJ32" i="4"/>
  <c r="BA32" i="4" s="1"/>
  <c r="BG39" i="4"/>
  <c r="AK11" i="4"/>
  <c r="B10" i="9" s="1"/>
  <c r="AK39" i="4"/>
  <c r="B38" i="9" s="1"/>
  <c r="AZ40" i="4"/>
  <c r="AJ42" i="5"/>
  <c r="D41" i="9" s="1"/>
  <c r="AY47" i="4"/>
  <c r="BG40" i="4"/>
  <c r="AZ36" i="4"/>
  <c r="BC36" i="4" s="1"/>
  <c r="AZ42" i="5"/>
  <c r="BH38" i="5"/>
  <c r="BK38" i="5" s="1"/>
  <c r="BA47" i="4"/>
  <c r="BH28" i="5"/>
  <c r="BK28" i="5" s="1"/>
  <c r="BH9" i="4"/>
  <c r="BK9" i="4" s="1"/>
  <c r="AO25" i="5"/>
  <c r="AO18" i="4"/>
  <c r="BG26" i="4"/>
  <c r="BH39" i="4"/>
  <c r="BK39" i="4" s="1"/>
  <c r="AJ47" i="4"/>
  <c r="AN47" i="4" s="1"/>
  <c r="AJ36" i="4"/>
  <c r="AY16" i="4"/>
  <c r="BH40" i="4"/>
  <c r="BK40" i="4" s="1"/>
  <c r="BI40" i="4"/>
  <c r="BH36" i="4"/>
  <c r="BK36" i="4" s="1"/>
  <c r="BA42" i="5"/>
  <c r="BG11" i="4"/>
  <c r="AJ38" i="5"/>
  <c r="D37" i="9" s="1"/>
  <c r="BA15" i="5"/>
  <c r="BB15" i="5" s="1"/>
  <c r="BG47" i="4"/>
  <c r="AJ28" i="5"/>
  <c r="D27" i="9" s="1"/>
  <c r="BG9" i="4"/>
  <c r="AX39" i="4"/>
  <c r="AZ11" i="4"/>
  <c r="BC11" i="4" s="1"/>
  <c r="AZ39" i="4"/>
  <c r="BB39" i="4" s="1"/>
  <c r="AY42" i="5"/>
  <c r="AK26" i="4"/>
  <c r="B25" i="9" s="1"/>
  <c r="AK41" i="5"/>
  <c r="AX40" i="4"/>
  <c r="BH11" i="4"/>
  <c r="BK11" i="4" s="1"/>
  <c r="AY28" i="5"/>
  <c r="AX24" i="5"/>
  <c r="AX44" i="5"/>
  <c r="AK32" i="4"/>
  <c r="AN8" i="4"/>
  <c r="AX41" i="5"/>
  <c r="AX28" i="5"/>
  <c r="AK44" i="5"/>
  <c r="BI44" i="5" s="1"/>
  <c r="AZ12" i="4"/>
  <c r="BC12" i="4" s="1"/>
  <c r="BG14" i="4"/>
  <c r="AZ8" i="5"/>
  <c r="BC8" i="5" s="1"/>
  <c r="AZ44" i="5"/>
  <c r="BC44" i="5" s="1"/>
  <c r="AN10" i="4"/>
  <c r="AZ28" i="5"/>
  <c r="BC28" i="5" s="1"/>
  <c r="AX9" i="4"/>
  <c r="AX12" i="4"/>
  <c r="AJ14" i="4"/>
  <c r="BA14" i="4" s="1"/>
  <c r="BH32" i="4"/>
  <c r="BK32" i="4" s="1"/>
  <c r="BH8" i="5"/>
  <c r="BK8" i="5" s="1"/>
  <c r="BG32" i="4"/>
  <c r="BG12" i="4"/>
  <c r="BG41" i="5"/>
  <c r="AY9" i="4"/>
  <c r="AJ44" i="5"/>
  <c r="D43" i="9" s="1"/>
  <c r="AK12" i="4"/>
  <c r="B11" i="9" s="1"/>
  <c r="AY14" i="4"/>
  <c r="AY32" i="4"/>
  <c r="AJ8" i="5"/>
  <c r="D7" i="9" s="1"/>
  <c r="AY41" i="5"/>
  <c r="AJ41" i="5"/>
  <c r="D40" i="9" s="1"/>
  <c r="AY44" i="5"/>
  <c r="AZ41" i="5"/>
  <c r="BC41" i="5" s="1"/>
  <c r="AZ32" i="4"/>
  <c r="AZ9" i="4"/>
  <c r="BC9" i="4" s="1"/>
  <c r="AK16" i="4"/>
  <c r="B15" i="9" s="1"/>
  <c r="AZ16" i="4"/>
  <c r="BB16" i="4" s="1"/>
  <c r="AY24" i="5"/>
  <c r="BH16" i="4"/>
  <c r="BK16" i="4" s="1"/>
  <c r="BG16" i="4"/>
  <c r="AX16" i="4"/>
  <c r="BG24" i="5"/>
  <c r="BH24" i="5"/>
  <c r="AO13" i="4"/>
  <c r="BA15" i="4"/>
  <c r="AO14" i="4"/>
  <c r="AO31" i="5"/>
  <c r="AN36" i="5"/>
  <c r="BI16" i="5"/>
  <c r="BJ16" i="5" s="1"/>
  <c r="AN21" i="4"/>
  <c r="BA27" i="5"/>
  <c r="BB27" i="5" s="1"/>
  <c r="AO20" i="4"/>
  <c r="BA31" i="5"/>
  <c r="BA20" i="5"/>
  <c r="BB20" i="5" s="1"/>
  <c r="AO32" i="5"/>
  <c r="BA45" i="4"/>
  <c r="AO38" i="5"/>
  <c r="BI23" i="5"/>
  <c r="BI33" i="5"/>
  <c r="BJ33" i="5" s="1"/>
  <c r="AO47" i="4"/>
  <c r="AN43" i="4"/>
  <c r="AN49" i="5"/>
  <c r="AO39" i="5"/>
  <c r="AN22" i="4"/>
  <c r="AN43" i="5"/>
  <c r="AO46" i="4"/>
  <c r="BI37" i="4"/>
  <c r="BJ37" i="4" s="1"/>
  <c r="AN41" i="4"/>
  <c r="AO36" i="5"/>
  <c r="AO43" i="4"/>
  <c r="AN32" i="5"/>
  <c r="BI45" i="4"/>
  <c r="BJ45" i="4" s="1"/>
  <c r="AO27" i="4"/>
  <c r="AN39" i="4"/>
  <c r="AN25" i="5"/>
  <c r="BA19" i="4"/>
  <c r="BB19" i="4" s="1"/>
  <c r="BA37" i="4"/>
  <c r="BB37" i="4" s="1"/>
  <c r="BI49" i="4"/>
  <c r="BJ49" i="4" s="1"/>
  <c r="AO41" i="5"/>
  <c r="AN40" i="4"/>
  <c r="AO36" i="4"/>
  <c r="BI48" i="4"/>
  <c r="BA35" i="5"/>
  <c r="BB35" i="5" s="1"/>
  <c r="BI28" i="4"/>
  <c r="BJ28" i="4" s="1"/>
  <c r="BA40" i="5"/>
  <c r="BB40" i="5" s="1"/>
  <c r="BI47" i="5"/>
  <c r="BJ47" i="5" s="1"/>
  <c r="BI21" i="4"/>
  <c r="BJ21" i="4" s="1"/>
  <c r="AN23" i="4"/>
  <c r="AO30" i="5"/>
  <c r="AO20" i="5"/>
  <c r="BI45" i="5"/>
  <c r="BJ45" i="5" s="1"/>
  <c r="BA45" i="5"/>
  <c r="BB45" i="5" s="1"/>
  <c r="BA26" i="4"/>
  <c r="BA36" i="4"/>
  <c r="BI34" i="4"/>
  <c r="BJ34" i="4" s="1"/>
  <c r="BA44" i="4"/>
  <c r="BB44" i="4" s="1"/>
  <c r="BA29" i="5"/>
  <c r="BB29" i="5" s="1"/>
  <c r="AO34" i="5"/>
  <c r="BA30" i="4"/>
  <c r="AO27" i="5"/>
  <c r="AN24" i="4"/>
  <c r="AO19" i="5"/>
  <c r="BI30" i="5"/>
  <c r="BJ30" i="5" s="1"/>
  <c r="AN21" i="5"/>
  <c r="AO43" i="5"/>
  <c r="AO39" i="4"/>
  <c r="AN45" i="5"/>
  <c r="BI17" i="5"/>
  <c r="BJ17" i="5" s="1"/>
  <c r="AO18" i="5"/>
  <c r="AN41" i="5"/>
  <c r="BI41" i="5"/>
  <c r="BJ41" i="5" s="1"/>
  <c r="AO37" i="5"/>
  <c r="AO41" i="4"/>
  <c r="AN40" i="5"/>
  <c r="AN42" i="4"/>
  <c r="AN38" i="4"/>
  <c r="AO44" i="5"/>
  <c r="AN29" i="4"/>
  <c r="BA14" i="5"/>
  <c r="BB14" i="5" s="1"/>
  <c r="BI14" i="5"/>
  <c r="BJ14" i="5" s="1"/>
  <c r="BI44" i="4"/>
  <c r="BJ44" i="4" s="1"/>
  <c r="BI26" i="4"/>
  <c r="BA21" i="5"/>
  <c r="AN32" i="4"/>
  <c r="BI39" i="4"/>
  <c r="BA50" i="5"/>
  <c r="BB50" i="5" s="1"/>
  <c r="BI18" i="5"/>
  <c r="AN46" i="4"/>
  <c r="AO17" i="4"/>
  <c r="BI42" i="5"/>
  <c r="BA20" i="4"/>
  <c r="BB20" i="4" s="1"/>
  <c r="AO14" i="5"/>
  <c r="BI50" i="5"/>
  <c r="BJ50" i="5" s="1"/>
  <c r="AO17" i="5"/>
  <c r="BI36" i="4"/>
  <c r="AO15" i="5"/>
  <c r="BI28" i="5"/>
  <c r="BA16" i="5"/>
  <c r="BB16" i="5" s="1"/>
  <c r="BA18" i="4"/>
  <c r="BB18" i="4" s="1"/>
  <c r="BI41" i="4"/>
  <c r="BJ41" i="4" s="1"/>
  <c r="BI48" i="5"/>
  <c r="BJ48" i="5" s="1"/>
  <c r="AO50" i="4"/>
  <c r="BA22" i="5"/>
  <c r="BB22" i="5" s="1"/>
  <c r="AO24" i="4"/>
  <c r="AN26" i="4"/>
  <c r="AO33" i="4"/>
  <c r="AO21" i="5"/>
  <c r="AO42" i="5"/>
  <c r="AN44" i="5"/>
  <c r="AN26" i="5"/>
  <c r="AO48" i="5"/>
  <c r="AO47" i="5"/>
  <c r="BA39" i="5"/>
  <c r="BB39" i="5" s="1"/>
  <c r="AO34" i="4"/>
  <c r="AO22" i="5"/>
  <c r="AN20" i="4"/>
  <c r="AN36" i="4"/>
  <c r="AN37" i="5"/>
  <c r="BI30" i="4"/>
  <c r="AN16" i="4"/>
  <c r="BI33" i="4"/>
  <c r="BJ33" i="4" s="1"/>
  <c r="AN13" i="5"/>
  <c r="AO13" i="5"/>
  <c r="BP12" i="4"/>
  <c r="CG12" i="4" s="1"/>
  <c r="BQ14" i="4"/>
  <c r="CO14" i="4" s="1"/>
  <c r="BP13" i="4"/>
  <c r="BT13" i="4" s="1"/>
  <c r="BP15" i="4"/>
  <c r="CG15" i="4" s="1"/>
  <c r="BI7" i="4"/>
  <c r="BJ7" i="4" s="1"/>
  <c r="AO8" i="4"/>
  <c r="BA12" i="5"/>
  <c r="BB12" i="5" s="1"/>
  <c r="AN12" i="4"/>
  <c r="BI12" i="5"/>
  <c r="BJ12" i="5" s="1"/>
  <c r="DB6" i="4"/>
  <c r="DD6" i="4" s="1"/>
  <c r="BB8" i="4"/>
  <c r="BA6" i="4"/>
  <c r="BB6" i="4" s="1"/>
  <c r="BJ10" i="4"/>
  <c r="DN11" i="4"/>
  <c r="DC10" i="4"/>
  <c r="CZ8" i="4"/>
  <c r="ER8" i="4" s="1"/>
  <c r="DC8" i="4"/>
  <c r="DL8" i="4"/>
  <c r="ES8" i="4" s="1"/>
  <c r="DB10" i="4"/>
  <c r="DD10" i="4" s="1"/>
  <c r="DN6" i="4"/>
  <c r="DO7" i="4"/>
  <c r="BJ11" i="5"/>
  <c r="BJ29" i="4"/>
  <c r="DL11" i="4"/>
  <c r="ES11" i="4" s="1"/>
  <c r="BJ8" i="4"/>
  <c r="AO9" i="5"/>
  <c r="DB8" i="4"/>
  <c r="DD8" i="4" s="1"/>
  <c r="DC11" i="4"/>
  <c r="AO10" i="4"/>
  <c r="BJ10" i="5"/>
  <c r="CZ11" i="4"/>
  <c r="ER11" i="4" s="1"/>
  <c r="AN10" i="5"/>
  <c r="DB11" i="4"/>
  <c r="DD11" i="4" s="1"/>
  <c r="DC6" i="4"/>
  <c r="DN7" i="4"/>
  <c r="DP7" i="4" s="1"/>
  <c r="DN8" i="4"/>
  <c r="CZ6" i="4"/>
  <c r="ER6" i="4" s="1"/>
  <c r="DL6" i="4"/>
  <c r="ES6" i="4" s="1"/>
  <c r="BA11" i="5"/>
  <c r="BB11" i="5" s="1"/>
  <c r="BA9" i="5"/>
  <c r="BB9" i="5" s="1"/>
  <c r="DM35" i="5"/>
  <c r="DO35" i="5" s="1"/>
  <c r="DN35" i="5"/>
  <c r="DL35" i="5"/>
  <c r="ES35" i="5" s="1"/>
  <c r="DP35" i="5"/>
  <c r="BB33" i="5"/>
  <c r="BC33" i="5"/>
  <c r="CF14" i="4"/>
  <c r="CM14" i="4"/>
  <c r="CG14" i="4"/>
  <c r="BT14" i="4"/>
  <c r="CE14" i="4"/>
  <c r="CD14" i="4"/>
  <c r="CN14" i="4"/>
  <c r="BS49" i="4"/>
  <c r="CM49" i="4"/>
  <c r="BU49" i="4"/>
  <c r="BV49" i="4"/>
  <c r="CO49" i="4"/>
  <c r="BW49" i="4"/>
  <c r="CF49" i="4"/>
  <c r="CD49" i="4"/>
  <c r="CE49" i="4"/>
  <c r="CN49" i="4"/>
  <c r="CG49" i="4"/>
  <c r="BT49" i="4"/>
  <c r="BR49" i="4"/>
  <c r="EB50" i="4"/>
  <c r="DX50" i="4"/>
  <c r="ET50" i="4" s="1"/>
  <c r="DY50" i="4"/>
  <c r="EA50" i="4" s="1"/>
  <c r="DZ50" i="4"/>
  <c r="BK49" i="5"/>
  <c r="BT33" i="4"/>
  <c r="CG33" i="4"/>
  <c r="BR33" i="4"/>
  <c r="BV33" i="4"/>
  <c r="CM33" i="4"/>
  <c r="CO33" i="4"/>
  <c r="CF33" i="4"/>
  <c r="CN33" i="4"/>
  <c r="CD33" i="4"/>
  <c r="BW33" i="4"/>
  <c r="CE33" i="4"/>
  <c r="BU33" i="4"/>
  <c r="BS33" i="4"/>
  <c r="EN42" i="4"/>
  <c r="EJ42" i="4"/>
  <c r="EU42" i="4" s="1"/>
  <c r="EK42" i="4"/>
  <c r="EM42" i="4" s="1"/>
  <c r="EL42" i="4"/>
  <c r="BC39" i="5"/>
  <c r="DN20" i="5"/>
  <c r="DM20" i="5"/>
  <c r="DO20" i="5" s="1"/>
  <c r="DL20" i="5"/>
  <c r="ES20" i="5" s="1"/>
  <c r="BR39" i="5"/>
  <c r="BS39" i="5"/>
  <c r="CE39" i="5"/>
  <c r="BT39" i="5"/>
  <c r="CO39" i="5"/>
  <c r="BV39" i="5"/>
  <c r="CM39" i="5"/>
  <c r="CD39" i="5"/>
  <c r="BW39" i="5"/>
  <c r="CG39" i="5"/>
  <c r="CN39" i="5"/>
  <c r="CF39" i="5"/>
  <c r="BU39" i="5"/>
  <c r="BR44" i="5"/>
  <c r="BW44" i="5"/>
  <c r="CM44" i="5"/>
  <c r="BT44" i="5"/>
  <c r="CO44" i="5"/>
  <c r="CF44" i="5"/>
  <c r="CD44" i="5"/>
  <c r="BS44" i="5"/>
  <c r="CN44" i="5"/>
  <c r="CG44" i="5"/>
  <c r="BV44" i="5"/>
  <c r="BU44" i="5"/>
  <c r="CE44" i="5"/>
  <c r="EB36" i="5"/>
  <c r="DX36" i="5"/>
  <c r="ET36" i="5" s="1"/>
  <c r="DZ36" i="5"/>
  <c r="DY36" i="5"/>
  <c r="EA36" i="5" s="1"/>
  <c r="EB33" i="4"/>
  <c r="DZ33" i="4"/>
  <c r="DY33" i="4"/>
  <c r="EA33" i="4" s="1"/>
  <c r="DX33" i="4"/>
  <c r="ET33" i="4" s="1"/>
  <c r="EN32" i="4"/>
  <c r="EJ32" i="4"/>
  <c r="EU32" i="4" s="1"/>
  <c r="EK32" i="4"/>
  <c r="EM32" i="4" s="1"/>
  <c r="EL32" i="4"/>
  <c r="DB16" i="5"/>
  <c r="CZ16" i="5"/>
  <c r="ER16" i="5" s="1"/>
  <c r="DA16" i="5"/>
  <c r="DC16" i="5" s="1"/>
  <c r="BJ19" i="4"/>
  <c r="BK19" i="4"/>
  <c r="CE25" i="5"/>
  <c r="CN25" i="5"/>
  <c r="BU25" i="5"/>
  <c r="CD25" i="5"/>
  <c r="CM25" i="5"/>
  <c r="CG25" i="5"/>
  <c r="BT25" i="5"/>
  <c r="CF25" i="5"/>
  <c r="CI25" i="5" s="1"/>
  <c r="CO25" i="5"/>
  <c r="BK38" i="4"/>
  <c r="BJ38" i="4"/>
  <c r="EB37" i="4"/>
  <c r="DY37" i="4"/>
  <c r="EA37" i="4" s="1"/>
  <c r="DZ37" i="4"/>
  <c r="DX37" i="4"/>
  <c r="ET37" i="4" s="1"/>
  <c r="CM25" i="4"/>
  <c r="CO25" i="4"/>
  <c r="BU25" i="4"/>
  <c r="CE25" i="4"/>
  <c r="CG25" i="4"/>
  <c r="CD25" i="4"/>
  <c r="CF25" i="4"/>
  <c r="CN25" i="4"/>
  <c r="CQ25" i="4" s="1"/>
  <c r="BT25" i="4"/>
  <c r="DM27" i="5"/>
  <c r="DO27" i="5" s="1"/>
  <c r="DN27" i="5"/>
  <c r="DL27" i="5"/>
  <c r="ES27" i="5" s="1"/>
  <c r="EB31" i="4"/>
  <c r="DZ31" i="4"/>
  <c r="DY31" i="4"/>
  <c r="EA31" i="4" s="1"/>
  <c r="DX31" i="4"/>
  <c r="ET31" i="4" s="1"/>
  <c r="BK24" i="4"/>
  <c r="BJ24" i="4"/>
  <c r="CN33" i="5"/>
  <c r="BU33" i="5"/>
  <c r="CD33" i="5"/>
  <c r="CE33" i="5"/>
  <c r="CO33" i="5"/>
  <c r="BS33" i="5"/>
  <c r="BR33" i="5"/>
  <c r="BW33" i="5"/>
  <c r="BT33" i="5"/>
  <c r="CM33" i="5"/>
  <c r="CG33" i="5"/>
  <c r="BV33" i="5"/>
  <c r="CF33" i="5"/>
  <c r="EN31" i="5"/>
  <c r="EK31" i="5"/>
  <c r="EM31" i="5" s="1"/>
  <c r="EL31" i="5"/>
  <c r="EJ31" i="5"/>
  <c r="EU31" i="5" s="1"/>
  <c r="DD49" i="5"/>
  <c r="CZ49" i="5"/>
  <c r="ER49" i="5" s="1"/>
  <c r="DA49" i="5"/>
  <c r="DC49" i="5" s="1"/>
  <c r="DB49" i="5"/>
  <c r="DP47" i="5"/>
  <c r="DL47" i="5"/>
  <c r="ES47" i="5" s="1"/>
  <c r="DN47" i="5"/>
  <c r="DM47" i="5"/>
  <c r="DO47" i="5" s="1"/>
  <c r="DM48" i="5"/>
  <c r="DO48" i="5" s="1"/>
  <c r="DN48" i="5"/>
  <c r="DL48" i="5"/>
  <c r="ES48" i="5" s="1"/>
  <c r="DP48" i="5"/>
  <c r="DP37" i="5"/>
  <c r="DL37" i="5"/>
  <c r="ES37" i="5" s="1"/>
  <c r="DN37" i="5"/>
  <c r="DM37" i="5"/>
  <c r="DO37" i="5" s="1"/>
  <c r="BU40" i="5"/>
  <c r="BT40" i="5"/>
  <c r="BW40" i="5"/>
  <c r="CN40" i="5"/>
  <c r="CD40" i="5"/>
  <c r="CO40" i="5"/>
  <c r="BR40" i="5"/>
  <c r="CM40" i="5"/>
  <c r="BV40" i="5"/>
  <c r="CF40" i="5"/>
  <c r="CG40" i="5"/>
  <c r="BS40" i="5"/>
  <c r="CE40" i="5"/>
  <c r="DP33" i="4"/>
  <c r="DN33" i="4"/>
  <c r="DM33" i="4"/>
  <c r="DO33" i="4" s="1"/>
  <c r="DL33" i="4"/>
  <c r="ES33" i="4" s="1"/>
  <c r="DD39" i="4"/>
  <c r="DA39" i="4"/>
  <c r="DC39" i="4" s="1"/>
  <c r="DB39" i="4"/>
  <c r="CZ39" i="4"/>
  <c r="ER39" i="4" s="1"/>
  <c r="CE15" i="4"/>
  <c r="CD15" i="4"/>
  <c r="CF15" i="4"/>
  <c r="CM15" i="4"/>
  <c r="BU15" i="4"/>
  <c r="CN15" i="4"/>
  <c r="CO15" i="4"/>
  <c r="CM37" i="4"/>
  <c r="BU37" i="4"/>
  <c r="BS37" i="4"/>
  <c r="CF37" i="4"/>
  <c r="CO37" i="4"/>
  <c r="BT37" i="4"/>
  <c r="BV37" i="4"/>
  <c r="CD37" i="4"/>
  <c r="BR37" i="4"/>
  <c r="CG37" i="4"/>
  <c r="CE37" i="4"/>
  <c r="BW37" i="4"/>
  <c r="CN37" i="4"/>
  <c r="EN36" i="4"/>
  <c r="EK36" i="4"/>
  <c r="EM36" i="4" s="1"/>
  <c r="EJ36" i="4"/>
  <c r="EU36" i="4" s="1"/>
  <c r="EL36" i="4"/>
  <c r="CE7" i="5"/>
  <c r="CF7" i="5"/>
  <c r="CI7" i="5" s="1"/>
  <c r="CM7" i="5"/>
  <c r="CD7" i="5"/>
  <c r="CN7" i="5"/>
  <c r="CQ7" i="5" s="1"/>
  <c r="BU7" i="5"/>
  <c r="CO7" i="5"/>
  <c r="CG7" i="5"/>
  <c r="BT7" i="5"/>
  <c r="BC49" i="5"/>
  <c r="DP45" i="5"/>
  <c r="DL45" i="5"/>
  <c r="ES45" i="5" s="1"/>
  <c r="DM45" i="5"/>
  <c r="DO45" i="5" s="1"/>
  <c r="DN45" i="5"/>
  <c r="CD30" i="4"/>
  <c r="CN30" i="4"/>
  <c r="CM30" i="4"/>
  <c r="CO30" i="4"/>
  <c r="CG30" i="4"/>
  <c r="BR30" i="4"/>
  <c r="BS30" i="4"/>
  <c r="CF30" i="4"/>
  <c r="BT30" i="4"/>
  <c r="BW30" i="4"/>
  <c r="BV30" i="4"/>
  <c r="BU30" i="4"/>
  <c r="CE30" i="4"/>
  <c r="BK27" i="5"/>
  <c r="BJ27" i="5"/>
  <c r="BC19" i="5"/>
  <c r="CZ20" i="5"/>
  <c r="ER20" i="5" s="1"/>
  <c r="DB20" i="5"/>
  <c r="DA20" i="5"/>
  <c r="DC20" i="5" s="1"/>
  <c r="DX47" i="5"/>
  <c r="ET47" i="5" s="1"/>
  <c r="EB47" i="5"/>
  <c r="DY47" i="5"/>
  <c r="EA47" i="5" s="1"/>
  <c r="DZ47" i="5"/>
  <c r="EN36" i="5"/>
  <c r="EL36" i="5"/>
  <c r="EK36" i="5"/>
  <c r="EM36" i="5" s="1"/>
  <c r="EJ36" i="5"/>
  <c r="EU36" i="5" s="1"/>
  <c r="DX29" i="5"/>
  <c r="ET29" i="5" s="1"/>
  <c r="EB29" i="5"/>
  <c r="DZ29" i="5"/>
  <c r="DY29" i="5"/>
  <c r="EA29" i="5" s="1"/>
  <c r="EN38" i="5"/>
  <c r="EL38" i="5"/>
  <c r="EJ38" i="5"/>
  <c r="EU38" i="5" s="1"/>
  <c r="EK38" i="5"/>
  <c r="EM38" i="5" s="1"/>
  <c r="EB41" i="5"/>
  <c r="DX41" i="5"/>
  <c r="ET41" i="5" s="1"/>
  <c r="DZ41" i="5"/>
  <c r="DY41" i="5"/>
  <c r="EA41" i="5" s="1"/>
  <c r="BS36" i="5"/>
  <c r="CM36" i="5"/>
  <c r="BW36" i="5"/>
  <c r="BV36" i="5"/>
  <c r="BU36" i="5"/>
  <c r="CF36" i="5"/>
  <c r="CG36" i="5"/>
  <c r="CE36" i="5"/>
  <c r="BT36" i="5"/>
  <c r="CO36" i="5"/>
  <c r="CN36" i="5"/>
  <c r="CD36" i="5"/>
  <c r="BR36" i="5"/>
  <c r="DL17" i="5"/>
  <c r="ES17" i="5" s="1"/>
  <c r="DM17" i="5"/>
  <c r="DO17" i="5" s="1"/>
  <c r="DN17" i="5"/>
  <c r="BK35" i="4"/>
  <c r="EB41" i="4"/>
  <c r="DY41" i="4"/>
  <c r="EA41" i="4" s="1"/>
  <c r="DX41" i="4"/>
  <c r="ET41" i="4" s="1"/>
  <c r="DZ41" i="4"/>
  <c r="CO36" i="4"/>
  <c r="CN36" i="4"/>
  <c r="BS36" i="4"/>
  <c r="CM36" i="4"/>
  <c r="CG36" i="4"/>
  <c r="BU36" i="4"/>
  <c r="BR36" i="4"/>
  <c r="BW36" i="4"/>
  <c r="BT36" i="4"/>
  <c r="BV36" i="4"/>
  <c r="CE36" i="4"/>
  <c r="CD36" i="4"/>
  <c r="CF36" i="4"/>
  <c r="CG23" i="4"/>
  <c r="BT23" i="4"/>
  <c r="CN23" i="4"/>
  <c r="CF23" i="4"/>
  <c r="CD23" i="4"/>
  <c r="CM23" i="4"/>
  <c r="CO23" i="4"/>
  <c r="CE23" i="4"/>
  <c r="BU23" i="4"/>
  <c r="DP42" i="4"/>
  <c r="DM42" i="4"/>
  <c r="DO42" i="4" s="1"/>
  <c r="DN42" i="4"/>
  <c r="DL42" i="4"/>
  <c r="ES42" i="4" s="1"/>
  <c r="DN22" i="5"/>
  <c r="DL22" i="5"/>
  <c r="ES22" i="5" s="1"/>
  <c r="DM22" i="5"/>
  <c r="DO22" i="5" s="1"/>
  <c r="CO20" i="5"/>
  <c r="BU20" i="5"/>
  <c r="CG20" i="5"/>
  <c r="CD20" i="5"/>
  <c r="CE20" i="5"/>
  <c r="BT20" i="5"/>
  <c r="CF20" i="5"/>
  <c r="CN20" i="5"/>
  <c r="CM20" i="5"/>
  <c r="CG46" i="4"/>
  <c r="BU46" i="4"/>
  <c r="BR46" i="4"/>
  <c r="BV46" i="4"/>
  <c r="CM46" i="4"/>
  <c r="CE46" i="4"/>
  <c r="BT46" i="4"/>
  <c r="CF46" i="4"/>
  <c r="BS46" i="4"/>
  <c r="CN46" i="4"/>
  <c r="CQ46" i="4" s="1"/>
  <c r="CO46" i="4"/>
  <c r="BW46" i="4"/>
  <c r="CD46" i="4"/>
  <c r="BK20" i="5"/>
  <c r="BJ20" i="5"/>
  <c r="EB37" i="5"/>
  <c r="DZ37" i="5"/>
  <c r="DY37" i="5"/>
  <c r="EA37" i="5" s="1"/>
  <c r="DX37" i="5"/>
  <c r="ET37" i="5" s="1"/>
  <c r="DP29" i="5"/>
  <c r="DN29" i="5"/>
  <c r="DL29" i="5"/>
  <c r="ES29" i="5" s="1"/>
  <c r="DM29" i="5"/>
  <c r="DO29" i="5" s="1"/>
  <c r="EN33" i="4"/>
  <c r="EL33" i="4"/>
  <c r="EK33" i="4"/>
  <c r="EM33" i="4" s="1"/>
  <c r="EJ33" i="4"/>
  <c r="EU33" i="4" s="1"/>
  <c r="EN46" i="4"/>
  <c r="EJ46" i="4"/>
  <c r="EU46" i="4" s="1"/>
  <c r="EL46" i="4"/>
  <c r="EK46" i="4"/>
  <c r="EM46" i="4" s="1"/>
  <c r="DX40" i="4"/>
  <c r="ET40" i="4" s="1"/>
  <c r="DZ40" i="4"/>
  <c r="EB40" i="4"/>
  <c r="DY40" i="4"/>
  <c r="EA40" i="4" s="1"/>
  <c r="DB26" i="5"/>
  <c r="CZ26" i="5"/>
  <c r="ER26" i="5" s="1"/>
  <c r="DA26" i="5"/>
  <c r="DC26" i="5" s="1"/>
  <c r="BU41" i="4"/>
  <c r="BS41" i="4"/>
  <c r="CE41" i="4"/>
  <c r="BW41" i="4"/>
  <c r="CG41" i="4"/>
  <c r="CM41" i="4"/>
  <c r="CN41" i="4"/>
  <c r="CQ41" i="4" s="1"/>
  <c r="BR41" i="4"/>
  <c r="BT41" i="4"/>
  <c r="CF41" i="4"/>
  <c r="CO41" i="4"/>
  <c r="CD41" i="4"/>
  <c r="BV41" i="4"/>
  <c r="BT34" i="5"/>
  <c r="CF34" i="5"/>
  <c r="BS34" i="5"/>
  <c r="BW34" i="5"/>
  <c r="CD34" i="5"/>
  <c r="CO34" i="5"/>
  <c r="BR34" i="5"/>
  <c r="CM34" i="5"/>
  <c r="BU34" i="5"/>
  <c r="CE34" i="5"/>
  <c r="BV34" i="5"/>
  <c r="CN34" i="5"/>
  <c r="CG34" i="5"/>
  <c r="DP40" i="5"/>
  <c r="DM40" i="5"/>
  <c r="DO40" i="5" s="1"/>
  <c r="DN40" i="5"/>
  <c r="DL40" i="5"/>
  <c r="ES40" i="5" s="1"/>
  <c r="BK34" i="4"/>
  <c r="DD34" i="5"/>
  <c r="CZ34" i="5"/>
  <c r="ER34" i="5" s="1"/>
  <c r="DA34" i="5"/>
  <c r="DC34" i="5" s="1"/>
  <c r="DB34" i="5"/>
  <c r="EL35" i="4"/>
  <c r="EN35" i="4"/>
  <c r="EJ35" i="4"/>
  <c r="EU35" i="4" s="1"/>
  <c r="EK35" i="4"/>
  <c r="EM35" i="4" s="1"/>
  <c r="DM25" i="5"/>
  <c r="DO25" i="5" s="1"/>
  <c r="DL25" i="5"/>
  <c r="ES25" i="5" s="1"/>
  <c r="DN25" i="5"/>
  <c r="BW28" i="5"/>
  <c r="CG28" i="5"/>
  <c r="CF28" i="5"/>
  <c r="BV28" i="5"/>
  <c r="BT28" i="5"/>
  <c r="BR28" i="5"/>
  <c r="BU28" i="5"/>
  <c r="CM28" i="5"/>
  <c r="CE28" i="5"/>
  <c r="BS28" i="5"/>
  <c r="CD28" i="5"/>
  <c r="CN28" i="5"/>
  <c r="CO28" i="5"/>
  <c r="EB30" i="5"/>
  <c r="DX30" i="5"/>
  <c r="ET30" i="5" s="1"/>
  <c r="DZ30" i="5"/>
  <c r="DY30" i="5"/>
  <c r="EA30" i="5" s="1"/>
  <c r="BW50" i="4"/>
  <c r="CN50" i="4"/>
  <c r="BV50" i="4"/>
  <c r="BR50" i="4"/>
  <c r="CF50" i="4"/>
  <c r="BU50" i="4"/>
  <c r="CE50" i="4"/>
  <c r="BT50" i="4"/>
  <c r="CD50" i="4"/>
  <c r="BS50" i="4"/>
  <c r="CG50" i="4"/>
  <c r="CM50" i="4"/>
  <c r="CO50" i="4"/>
  <c r="DB37" i="4"/>
  <c r="DD37" i="4"/>
  <c r="DA37" i="4"/>
  <c r="DC37" i="4" s="1"/>
  <c r="CZ37" i="4"/>
  <c r="ER37" i="4" s="1"/>
  <c r="DN26" i="4"/>
  <c r="DM26" i="4"/>
  <c r="DO26" i="4" s="1"/>
  <c r="DL26" i="4"/>
  <c r="ES26" i="4" s="1"/>
  <c r="BS32" i="5"/>
  <c r="BT32" i="5"/>
  <c r="BW32" i="5"/>
  <c r="CF32" i="5"/>
  <c r="CD32" i="5"/>
  <c r="CO32" i="5"/>
  <c r="CN32" i="5"/>
  <c r="CQ32" i="5" s="1"/>
  <c r="BR32" i="5"/>
  <c r="CG32" i="5"/>
  <c r="CM32" i="5"/>
  <c r="BV32" i="5"/>
  <c r="BU32" i="5"/>
  <c r="CE32" i="5"/>
  <c r="DN10" i="5"/>
  <c r="DM10" i="5"/>
  <c r="DO10" i="5" s="1"/>
  <c r="DL10" i="5"/>
  <c r="ES10" i="5" s="1"/>
  <c r="DD41" i="4"/>
  <c r="CZ41" i="4"/>
  <c r="ER41" i="4" s="1"/>
  <c r="DA41" i="4"/>
  <c r="DC41" i="4" s="1"/>
  <c r="DB41" i="4"/>
  <c r="BC18" i="4"/>
  <c r="BK18" i="4"/>
  <c r="BJ18" i="4"/>
  <c r="DD45" i="5"/>
  <c r="DA45" i="5"/>
  <c r="DC45" i="5" s="1"/>
  <c r="DB45" i="5"/>
  <c r="CZ45" i="5"/>
  <c r="ER45" i="5" s="1"/>
  <c r="BK21" i="4"/>
  <c r="DB27" i="5"/>
  <c r="DA27" i="5"/>
  <c r="DC27" i="5" s="1"/>
  <c r="CZ27" i="5"/>
  <c r="ER27" i="5" s="1"/>
  <c r="EB43" i="5"/>
  <c r="DZ43" i="5"/>
  <c r="DX43" i="5"/>
  <c r="ET43" i="5" s="1"/>
  <c r="DY43" i="5"/>
  <c r="EA43" i="5" s="1"/>
  <c r="BC27" i="5"/>
  <c r="BC24" i="4"/>
  <c r="BB24" i="4"/>
  <c r="EJ48" i="4"/>
  <c r="EU48" i="4" s="1"/>
  <c r="EN48" i="4"/>
  <c r="EK48" i="4"/>
  <c r="EM48" i="4" s="1"/>
  <c r="EL48" i="4"/>
  <c r="BK20" i="4"/>
  <c r="BJ20" i="4"/>
  <c r="BC23" i="4"/>
  <c r="BB23" i="4"/>
  <c r="EN44" i="4"/>
  <c r="EL44" i="4"/>
  <c r="EJ44" i="4"/>
  <c r="EU44" i="4" s="1"/>
  <c r="EK44" i="4"/>
  <c r="EM44" i="4" s="1"/>
  <c r="BB10" i="5"/>
  <c r="BC10" i="5"/>
  <c r="DM24" i="5"/>
  <c r="DO24" i="5" s="1"/>
  <c r="DN24" i="5"/>
  <c r="DL24" i="5"/>
  <c r="ES24" i="5" s="1"/>
  <c r="BC49" i="4"/>
  <c r="BB49" i="4"/>
  <c r="CF23" i="5"/>
  <c r="CE23" i="5"/>
  <c r="BU23" i="5"/>
  <c r="CN23" i="5"/>
  <c r="CO23" i="5"/>
  <c r="CM23" i="5"/>
  <c r="CG23" i="5"/>
  <c r="BT23" i="5"/>
  <c r="CD23" i="5"/>
  <c r="BK31" i="5"/>
  <c r="CZ27" i="4"/>
  <c r="ER27" i="4" s="1"/>
  <c r="DA27" i="4"/>
  <c r="DC27" i="4" s="1"/>
  <c r="DB27" i="4"/>
  <c r="CZ13" i="5"/>
  <c r="ER13" i="5" s="1"/>
  <c r="DB13" i="5"/>
  <c r="DA13" i="5"/>
  <c r="DC13" i="5" s="1"/>
  <c r="DP43" i="4"/>
  <c r="DN43" i="4"/>
  <c r="DM43" i="4"/>
  <c r="DO43" i="4" s="1"/>
  <c r="DL43" i="4"/>
  <c r="ES43" i="4" s="1"/>
  <c r="EB28" i="5"/>
  <c r="DZ28" i="5"/>
  <c r="DY28" i="5"/>
  <c r="EA28" i="5" s="1"/>
  <c r="DX28" i="5"/>
  <c r="ET28" i="5" s="1"/>
  <c r="CE30" i="5"/>
  <c r="CG30" i="5"/>
  <c r="BR30" i="5"/>
  <c r="CF30" i="5"/>
  <c r="BT30" i="5"/>
  <c r="BW30" i="5"/>
  <c r="CD30" i="5"/>
  <c r="BV30" i="5"/>
  <c r="CO30" i="5"/>
  <c r="BU30" i="5"/>
  <c r="CN30" i="5"/>
  <c r="BS30" i="5"/>
  <c r="CM30" i="5"/>
  <c r="DL49" i="5"/>
  <c r="ES49" i="5" s="1"/>
  <c r="DP49" i="5"/>
  <c r="DN49" i="5"/>
  <c r="DM49" i="5"/>
  <c r="DO49" i="5" s="1"/>
  <c r="DD47" i="5"/>
  <c r="CZ47" i="5"/>
  <c r="ER47" i="5" s="1"/>
  <c r="DA47" i="5"/>
  <c r="DC47" i="5" s="1"/>
  <c r="DB47" i="5"/>
  <c r="BU20" i="4"/>
  <c r="CE20" i="4"/>
  <c r="CN20" i="4"/>
  <c r="CQ20" i="4" s="1"/>
  <c r="BT20" i="4"/>
  <c r="CD20" i="4"/>
  <c r="CO20" i="4"/>
  <c r="CM20" i="4"/>
  <c r="CF20" i="4"/>
  <c r="CD31" i="4"/>
  <c r="CN31" i="4"/>
  <c r="CM31" i="4"/>
  <c r="CO31" i="4"/>
  <c r="BW31" i="4"/>
  <c r="BU31" i="4"/>
  <c r="CG31" i="4"/>
  <c r="BV31" i="4"/>
  <c r="CF31" i="4"/>
  <c r="BT31" i="4"/>
  <c r="BS31" i="4"/>
  <c r="BR31" i="4"/>
  <c r="CE31" i="4"/>
  <c r="DA48" i="5"/>
  <c r="DC48" i="5" s="1"/>
  <c r="DB48" i="5"/>
  <c r="CZ48" i="5"/>
  <c r="ER48" i="5" s="1"/>
  <c r="DD48" i="5"/>
  <c r="EJ37" i="5"/>
  <c r="EU37" i="5" s="1"/>
  <c r="EK37" i="5"/>
  <c r="EM37" i="5" s="1"/>
  <c r="EN37" i="5"/>
  <c r="EL37" i="5"/>
  <c r="BC50" i="5"/>
  <c r="CZ33" i="4"/>
  <c r="ER33" i="4" s="1"/>
  <c r="DB33" i="4"/>
  <c r="DA33" i="4"/>
  <c r="DC33" i="4" s="1"/>
  <c r="DD33" i="4"/>
  <c r="DD46" i="5"/>
  <c r="DB46" i="5"/>
  <c r="DA46" i="5"/>
  <c r="DC46" i="5" s="1"/>
  <c r="CZ46" i="5"/>
  <c r="ER46" i="5" s="1"/>
  <c r="CZ15" i="5"/>
  <c r="ER15" i="5" s="1"/>
  <c r="DB15" i="5"/>
  <c r="DA15" i="5"/>
  <c r="DC15" i="5" s="1"/>
  <c r="EB33" i="5"/>
  <c r="DY33" i="5"/>
  <c r="EA33" i="5" s="1"/>
  <c r="DX33" i="5"/>
  <c r="ET33" i="5" s="1"/>
  <c r="DZ33" i="5"/>
  <c r="DA46" i="4"/>
  <c r="DC46" i="4" s="1"/>
  <c r="CZ46" i="4"/>
  <c r="ER46" i="4" s="1"/>
  <c r="DD46" i="4"/>
  <c r="DB46" i="4"/>
  <c r="CZ9" i="4"/>
  <c r="ER9" i="4" s="1"/>
  <c r="DB7" i="4"/>
  <c r="DO10" i="4"/>
  <c r="BQ9" i="4"/>
  <c r="CO9" i="4" s="1"/>
  <c r="BI7" i="5"/>
  <c r="BJ29" i="5"/>
  <c r="EB32" i="4"/>
  <c r="DX32" i="4"/>
  <c r="ET32" i="4" s="1"/>
  <c r="DZ32" i="4"/>
  <c r="DY32" i="4"/>
  <c r="EA32" i="4" s="1"/>
  <c r="DB25" i="4"/>
  <c r="DA25" i="4"/>
  <c r="DC25" i="4" s="1"/>
  <c r="CZ25" i="4"/>
  <c r="ER25" i="4" s="1"/>
  <c r="BC28" i="4"/>
  <c r="BB28" i="4"/>
  <c r="DN14" i="4"/>
  <c r="DM14" i="4"/>
  <c r="DO14" i="4" s="1"/>
  <c r="DL14" i="4"/>
  <c r="ES14" i="4" s="1"/>
  <c r="CD32" i="4"/>
  <c r="BR32" i="4"/>
  <c r="CO32" i="4"/>
  <c r="BT32" i="4"/>
  <c r="CG32" i="4"/>
  <c r="BS32" i="4"/>
  <c r="BW32" i="4"/>
  <c r="CE32" i="4"/>
  <c r="BV32" i="4"/>
  <c r="CN32" i="4"/>
  <c r="BU32" i="4"/>
  <c r="CF32" i="4"/>
  <c r="CM32" i="4"/>
  <c r="BB26" i="5"/>
  <c r="BC26" i="5"/>
  <c r="BR29" i="4"/>
  <c r="CG29" i="4"/>
  <c r="BV29" i="4"/>
  <c r="BW29" i="4"/>
  <c r="BT29" i="4"/>
  <c r="CM29" i="4"/>
  <c r="CF29" i="4"/>
  <c r="BU29" i="4"/>
  <c r="CN29" i="4"/>
  <c r="CE29" i="4"/>
  <c r="CO29" i="4"/>
  <c r="CD29" i="4"/>
  <c r="BS29" i="4"/>
  <c r="BC37" i="5"/>
  <c r="EN40" i="5"/>
  <c r="EL40" i="5"/>
  <c r="EJ40" i="5"/>
  <c r="EU40" i="5" s="1"/>
  <c r="EK40" i="5"/>
  <c r="EM40" i="5" s="1"/>
  <c r="BK36" i="5"/>
  <c r="BJ36" i="5"/>
  <c r="DM12" i="5"/>
  <c r="DO12" i="5" s="1"/>
  <c r="DN12" i="5"/>
  <c r="DL12" i="5"/>
  <c r="ES12" i="5" s="1"/>
  <c r="BB35" i="4"/>
  <c r="BC35" i="4"/>
  <c r="BB38" i="4"/>
  <c r="BC38" i="4"/>
  <c r="EN30" i="5"/>
  <c r="EL30" i="5"/>
  <c r="EK30" i="5"/>
  <c r="EM30" i="5" s="1"/>
  <c r="EJ30" i="5"/>
  <c r="EU30" i="5" s="1"/>
  <c r="DN14" i="5"/>
  <c r="DM14" i="5"/>
  <c r="DO14" i="5" s="1"/>
  <c r="DL14" i="5"/>
  <c r="ES14" i="5" s="1"/>
  <c r="EN41" i="4"/>
  <c r="EK41" i="4"/>
  <c r="EM41" i="4" s="1"/>
  <c r="EL41" i="4"/>
  <c r="EJ41" i="4"/>
  <c r="EU41" i="4" s="1"/>
  <c r="BJ32" i="5"/>
  <c r="BK32" i="5"/>
  <c r="BK6" i="4"/>
  <c r="DB22" i="5"/>
  <c r="CZ22" i="5"/>
  <c r="ER22" i="5" s="1"/>
  <c r="DA22" i="5"/>
  <c r="DC22" i="5" s="1"/>
  <c r="CN13" i="5"/>
  <c r="CQ13" i="5" s="1"/>
  <c r="BU13" i="5"/>
  <c r="CG13" i="5"/>
  <c r="CE13" i="5"/>
  <c r="BT13" i="5"/>
  <c r="CD13" i="5"/>
  <c r="CO13" i="5"/>
  <c r="CM13" i="5"/>
  <c r="CF13" i="5"/>
  <c r="BK44" i="4"/>
  <c r="BK26" i="4"/>
  <c r="EJ42" i="5"/>
  <c r="EU42" i="5" s="1"/>
  <c r="EN42" i="5"/>
  <c r="EL42" i="5"/>
  <c r="EK42" i="5"/>
  <c r="EM42" i="5" s="1"/>
  <c r="BB22" i="4"/>
  <c r="BC22" i="4"/>
  <c r="DN22" i="4"/>
  <c r="DL22" i="4"/>
  <c r="ES22" i="4" s="1"/>
  <c r="DM22" i="4"/>
  <c r="DO22" i="4" s="1"/>
  <c r="CM6" i="4"/>
  <c r="CF6" i="4"/>
  <c r="CE6" i="4"/>
  <c r="CD6" i="4"/>
  <c r="CN6" i="4"/>
  <c r="DN46" i="5"/>
  <c r="DL46" i="5"/>
  <c r="ES46" i="5" s="1"/>
  <c r="DP46" i="5"/>
  <c r="DM46" i="5"/>
  <c r="DO46" i="5" s="1"/>
  <c r="DX34" i="4"/>
  <c r="ET34" i="4" s="1"/>
  <c r="DY34" i="4"/>
  <c r="EA34" i="4" s="1"/>
  <c r="EB34" i="4"/>
  <c r="DZ34" i="4"/>
  <c r="CE48" i="5"/>
  <c r="CD48" i="5"/>
  <c r="CN48" i="5"/>
  <c r="BT48" i="5"/>
  <c r="BS48" i="5"/>
  <c r="CG48" i="5"/>
  <c r="CF48" i="5"/>
  <c r="BR48" i="5"/>
  <c r="BW48" i="5"/>
  <c r="CM48" i="5"/>
  <c r="BV48" i="5"/>
  <c r="BU48" i="5"/>
  <c r="CO48" i="5"/>
  <c r="EB35" i="4"/>
  <c r="DY35" i="4"/>
  <c r="EA35" i="4" s="1"/>
  <c r="DZ35" i="4"/>
  <c r="DX35" i="4"/>
  <c r="ET35" i="4" s="1"/>
  <c r="DA17" i="5"/>
  <c r="DC17" i="5" s="1"/>
  <c r="DB17" i="5"/>
  <c r="CZ17" i="5"/>
  <c r="ER17" i="5" s="1"/>
  <c r="EJ50" i="4"/>
  <c r="EU50" i="4" s="1"/>
  <c r="EL50" i="4"/>
  <c r="EK50" i="4"/>
  <c r="EM50" i="4" s="1"/>
  <c r="EN50" i="4"/>
  <c r="BK31" i="4"/>
  <c r="BJ31" i="4"/>
  <c r="EB28" i="4"/>
  <c r="DY28" i="4"/>
  <c r="EA28" i="4" s="1"/>
  <c r="DZ28" i="4"/>
  <c r="DX28" i="4"/>
  <c r="ET28" i="4" s="1"/>
  <c r="EB47" i="4"/>
  <c r="DX47" i="4"/>
  <c r="ET47" i="4" s="1"/>
  <c r="DZ47" i="4"/>
  <c r="DY47" i="4"/>
  <c r="EA47" i="4" s="1"/>
  <c r="DZ48" i="4"/>
  <c r="DY48" i="4"/>
  <c r="EA48" i="4" s="1"/>
  <c r="EB48" i="4"/>
  <c r="DX48" i="4"/>
  <c r="ET48" i="4" s="1"/>
  <c r="BC30" i="5"/>
  <c r="DN27" i="4"/>
  <c r="DL27" i="4"/>
  <c r="ES27" i="4" s="1"/>
  <c r="DM27" i="4"/>
  <c r="DO27" i="4" s="1"/>
  <c r="BC27" i="4"/>
  <c r="DP46" i="4"/>
  <c r="DL46" i="4"/>
  <c r="ES46" i="4" s="1"/>
  <c r="DN46" i="4"/>
  <c r="DM46" i="4"/>
  <c r="DO46" i="4" s="1"/>
  <c r="EN35" i="5"/>
  <c r="EK35" i="5"/>
  <c r="EM35" i="5" s="1"/>
  <c r="EL35" i="5"/>
  <c r="EJ35" i="5"/>
  <c r="EU35" i="5" s="1"/>
  <c r="DM38" i="5"/>
  <c r="DO38" i="5" s="1"/>
  <c r="DP38" i="5"/>
  <c r="DN38" i="5"/>
  <c r="DL38" i="5"/>
  <c r="ES38" i="5" s="1"/>
  <c r="CF12" i="4"/>
  <c r="CD12" i="4"/>
  <c r="CN12" i="4"/>
  <c r="BU12" i="4"/>
  <c r="CM12" i="4"/>
  <c r="CE12" i="4"/>
  <c r="CO12" i="4"/>
  <c r="DN41" i="5"/>
  <c r="DM41" i="5"/>
  <c r="DO41" i="5" s="1"/>
  <c r="DP41" i="5"/>
  <c r="DL41" i="5"/>
  <c r="ES41" i="5" s="1"/>
  <c r="CE42" i="4"/>
  <c r="BW42" i="4"/>
  <c r="CD42" i="4"/>
  <c r="BV42" i="4"/>
  <c r="BU42" i="4"/>
  <c r="CO42" i="4"/>
  <c r="CG42" i="4"/>
  <c r="BT42" i="4"/>
  <c r="CF42" i="4"/>
  <c r="BS42" i="4"/>
  <c r="CN42" i="4"/>
  <c r="BR42" i="4"/>
  <c r="CM42" i="4"/>
  <c r="BB46" i="5"/>
  <c r="BC46" i="5"/>
  <c r="BK25" i="5"/>
  <c r="BJ25" i="5"/>
  <c r="BC21" i="4"/>
  <c r="BB21" i="4"/>
  <c r="BC6" i="4"/>
  <c r="DD47" i="4"/>
  <c r="DA47" i="4"/>
  <c r="DC47" i="4" s="1"/>
  <c r="DB47" i="4"/>
  <c r="CZ47" i="4"/>
  <c r="ER47" i="4" s="1"/>
  <c r="CD10" i="4"/>
  <c r="CE10" i="4"/>
  <c r="CN10" i="4"/>
  <c r="CQ10" i="4" s="1"/>
  <c r="CM10" i="4"/>
  <c r="CF10" i="4"/>
  <c r="CI10" i="4" s="1"/>
  <c r="DA50" i="5"/>
  <c r="DC50" i="5" s="1"/>
  <c r="CZ50" i="5"/>
  <c r="ER50" i="5" s="1"/>
  <c r="DD50" i="5"/>
  <c r="DB50" i="5"/>
  <c r="DZ31" i="5"/>
  <c r="DY31" i="5"/>
  <c r="EA31" i="5" s="1"/>
  <c r="DX31" i="5"/>
  <c r="ET31" i="5" s="1"/>
  <c r="EB31" i="5"/>
  <c r="DL28" i="5"/>
  <c r="ES28" i="5" s="1"/>
  <c r="DN28" i="5"/>
  <c r="DP28" i="5"/>
  <c r="DM28" i="5"/>
  <c r="DO28" i="5" s="1"/>
  <c r="EB44" i="5"/>
  <c r="DX44" i="5"/>
  <c r="ET44" i="5" s="1"/>
  <c r="DZ44" i="5"/>
  <c r="DY44" i="5"/>
  <c r="EA44" i="5" s="1"/>
  <c r="BK50" i="5"/>
  <c r="EL39" i="4"/>
  <c r="EK39" i="4"/>
  <c r="EM39" i="4" s="1"/>
  <c r="EJ39" i="4"/>
  <c r="EU39" i="4" s="1"/>
  <c r="EN39" i="4"/>
  <c r="EN34" i="4"/>
  <c r="EL34" i="4"/>
  <c r="EJ34" i="4"/>
  <c r="EU34" i="4" s="1"/>
  <c r="EK34" i="4"/>
  <c r="EM34" i="4" s="1"/>
  <c r="CO26" i="5"/>
  <c r="CN26" i="5"/>
  <c r="CG26" i="5"/>
  <c r="CM26" i="5"/>
  <c r="BU26" i="5"/>
  <c r="CE26" i="5"/>
  <c r="BT26" i="5"/>
  <c r="CD26" i="5"/>
  <c r="CF26" i="5"/>
  <c r="EL38" i="4"/>
  <c r="EJ38" i="4"/>
  <c r="EU38" i="4" s="1"/>
  <c r="EK38" i="4"/>
  <c r="EM38" i="4" s="1"/>
  <c r="EN38" i="4"/>
  <c r="BV40" i="4"/>
  <c r="BR40" i="4"/>
  <c r="CG40" i="4"/>
  <c r="CD40" i="4"/>
  <c r="CO40" i="4"/>
  <c r="BW40" i="4"/>
  <c r="CM40" i="4"/>
  <c r="BU40" i="4"/>
  <c r="CE40" i="4"/>
  <c r="CN40" i="4"/>
  <c r="CF40" i="4"/>
  <c r="BT40" i="4"/>
  <c r="BS40" i="4"/>
  <c r="DP31" i="4"/>
  <c r="DN31" i="4"/>
  <c r="DM31" i="4"/>
  <c r="DO31" i="4" s="1"/>
  <c r="DL31" i="4"/>
  <c r="ES31" i="4" s="1"/>
  <c r="DP43" i="5"/>
  <c r="DL43" i="5"/>
  <c r="ES43" i="5" s="1"/>
  <c r="DN43" i="5"/>
  <c r="DM43" i="5"/>
  <c r="DO43" i="5" s="1"/>
  <c r="CF38" i="4"/>
  <c r="CD38" i="4"/>
  <c r="CO38" i="4"/>
  <c r="BU38" i="4"/>
  <c r="CE38" i="4"/>
  <c r="BT38" i="4"/>
  <c r="CM38" i="4"/>
  <c r="BR38" i="4"/>
  <c r="CN38" i="4"/>
  <c r="CQ38" i="4" s="1"/>
  <c r="BW38" i="4"/>
  <c r="BS38" i="4"/>
  <c r="BV38" i="4"/>
  <c r="CG38" i="4"/>
  <c r="DD32" i="4"/>
  <c r="DB32" i="4"/>
  <c r="CZ32" i="4"/>
  <c r="ER32" i="4" s="1"/>
  <c r="DA32" i="4"/>
  <c r="DC32" i="4" s="1"/>
  <c r="BC34" i="5"/>
  <c r="CZ17" i="4"/>
  <c r="ER17" i="4" s="1"/>
  <c r="DA17" i="4"/>
  <c r="DC17" i="4" s="1"/>
  <c r="DB17" i="4"/>
  <c r="DD38" i="5"/>
  <c r="DB38" i="5"/>
  <c r="DA38" i="5"/>
  <c r="DC38" i="5" s="1"/>
  <c r="CZ38" i="5"/>
  <c r="ER38" i="5" s="1"/>
  <c r="DN6" i="5"/>
  <c r="DM6" i="5"/>
  <c r="DO6" i="5" s="1"/>
  <c r="DL6" i="5"/>
  <c r="ES6" i="5" s="1"/>
  <c r="DN9" i="5"/>
  <c r="DL9" i="5"/>
  <c r="ES9" i="5" s="1"/>
  <c r="DM9" i="5"/>
  <c r="DO9" i="5" s="1"/>
  <c r="CF11" i="5"/>
  <c r="CD11" i="5"/>
  <c r="CN11" i="5"/>
  <c r="CM11" i="5"/>
  <c r="CE11" i="5"/>
  <c r="CG11" i="5"/>
  <c r="BU11" i="5"/>
  <c r="CO11" i="5"/>
  <c r="BT11" i="5"/>
  <c r="BK26" i="5"/>
  <c r="CE27" i="5"/>
  <c r="CM27" i="5"/>
  <c r="CG27" i="5"/>
  <c r="CF27" i="5"/>
  <c r="BT27" i="5"/>
  <c r="CD27" i="5"/>
  <c r="CO27" i="5"/>
  <c r="BU27" i="5"/>
  <c r="CN27" i="5"/>
  <c r="DP24" i="4"/>
  <c r="DN24" i="4"/>
  <c r="DM24" i="4"/>
  <c r="DO24" i="4" s="1"/>
  <c r="DL24" i="4"/>
  <c r="ES24" i="4" s="1"/>
  <c r="DP39" i="5"/>
  <c r="DL39" i="5"/>
  <c r="ES39" i="5" s="1"/>
  <c r="DN39" i="5"/>
  <c r="DM39" i="5"/>
  <c r="DO39" i="5" s="1"/>
  <c r="CZ40" i="5"/>
  <c r="ER40" i="5" s="1"/>
  <c r="DA40" i="5"/>
  <c r="DC40" i="5" s="1"/>
  <c r="DB40" i="5"/>
  <c r="DD40" i="5"/>
  <c r="CE15" i="5"/>
  <c r="BT15" i="5"/>
  <c r="CO15" i="5"/>
  <c r="CF15" i="5"/>
  <c r="CD15" i="5"/>
  <c r="BU15" i="5"/>
  <c r="CN15" i="5"/>
  <c r="CM15" i="5"/>
  <c r="CG15" i="5"/>
  <c r="EB34" i="5"/>
  <c r="DY34" i="5"/>
  <c r="EA34" i="5" s="1"/>
  <c r="DZ34" i="5"/>
  <c r="DX34" i="5"/>
  <c r="ET34" i="5" s="1"/>
  <c r="CG18" i="4"/>
  <c r="CO18" i="4"/>
  <c r="CM18" i="4"/>
  <c r="BU18" i="4"/>
  <c r="CD18" i="4"/>
  <c r="CN18" i="4"/>
  <c r="CE18" i="4"/>
  <c r="BT18" i="4"/>
  <c r="CF18" i="4"/>
  <c r="DL23" i="5"/>
  <c r="ES23" i="5" s="1"/>
  <c r="DM23" i="5"/>
  <c r="DO23" i="5" s="1"/>
  <c r="DN23" i="5"/>
  <c r="DP23" i="5" s="1"/>
  <c r="DA10" i="5"/>
  <c r="DC10" i="5" s="1"/>
  <c r="CZ10" i="5"/>
  <c r="ER10" i="5" s="1"/>
  <c r="DB10" i="5"/>
  <c r="BC16" i="5"/>
  <c r="BC47" i="5"/>
  <c r="BB47" i="5"/>
  <c r="EB42" i="4"/>
  <c r="DZ42" i="4"/>
  <c r="DY42" i="4"/>
  <c r="EA42" i="4" s="1"/>
  <c r="DX42" i="4"/>
  <c r="ET42" i="4" s="1"/>
  <c r="DD31" i="4"/>
  <c r="DA31" i="4"/>
  <c r="DC31" i="4" s="1"/>
  <c r="DB31" i="4"/>
  <c r="CZ31" i="4"/>
  <c r="ER31" i="4" s="1"/>
  <c r="EN28" i="4"/>
  <c r="EJ28" i="4"/>
  <c r="EU28" i="4" s="1"/>
  <c r="EK28" i="4"/>
  <c r="EM28" i="4" s="1"/>
  <c r="EL28" i="4"/>
  <c r="CE39" i="4"/>
  <c r="BS39" i="4"/>
  <c r="CG39" i="4"/>
  <c r="CN39" i="4"/>
  <c r="CM39" i="4"/>
  <c r="BW39" i="4"/>
  <c r="BR39" i="4"/>
  <c r="CF39" i="4"/>
  <c r="CI39" i="4" s="1"/>
  <c r="CO39" i="4"/>
  <c r="CD39" i="4"/>
  <c r="BU39" i="4"/>
  <c r="BV39" i="4"/>
  <c r="BT39" i="4"/>
  <c r="CE31" i="5"/>
  <c r="BS31" i="5"/>
  <c r="BW31" i="5"/>
  <c r="BT31" i="5"/>
  <c r="CN31" i="5"/>
  <c r="CG31" i="5"/>
  <c r="BR31" i="5"/>
  <c r="BU31" i="5"/>
  <c r="CM31" i="5"/>
  <c r="BV31" i="5"/>
  <c r="CF31" i="5"/>
  <c r="CO31" i="5"/>
  <c r="CD31" i="5"/>
  <c r="BC14" i="5"/>
  <c r="BK14" i="5"/>
  <c r="CM43" i="5"/>
  <c r="CO43" i="5"/>
  <c r="CD43" i="5"/>
  <c r="BS43" i="5"/>
  <c r="CF43" i="5"/>
  <c r="BW43" i="5"/>
  <c r="BU43" i="5"/>
  <c r="CE43" i="5"/>
  <c r="CG43" i="5"/>
  <c r="BV43" i="5"/>
  <c r="BT43" i="5"/>
  <c r="CN43" i="5"/>
  <c r="BR43" i="5"/>
  <c r="DP29" i="4"/>
  <c r="DL29" i="4"/>
  <c r="ES29" i="4" s="1"/>
  <c r="DN29" i="4"/>
  <c r="DM29" i="4"/>
  <c r="DO29" i="4" s="1"/>
  <c r="DM50" i="5"/>
  <c r="DO50" i="5" s="1"/>
  <c r="DP50" i="5"/>
  <c r="DN50" i="5"/>
  <c r="DL50" i="5"/>
  <c r="ES50" i="5" s="1"/>
  <c r="EN45" i="4"/>
  <c r="EK45" i="4"/>
  <c r="EM45" i="4" s="1"/>
  <c r="EL45" i="4"/>
  <c r="EJ45" i="4"/>
  <c r="EU45" i="4" s="1"/>
  <c r="DP42" i="5"/>
  <c r="DM42" i="5"/>
  <c r="DO42" i="5" s="1"/>
  <c r="DN42" i="5"/>
  <c r="DL42" i="5"/>
  <c r="ES42" i="5" s="1"/>
  <c r="DM13" i="5"/>
  <c r="DO13" i="5" s="1"/>
  <c r="DL13" i="5"/>
  <c r="ES13" i="5" s="1"/>
  <c r="DN13" i="5"/>
  <c r="BC6" i="5"/>
  <c r="DD28" i="5"/>
  <c r="CZ28" i="5"/>
  <c r="ER28" i="5" s="1"/>
  <c r="DB28" i="5"/>
  <c r="DA28" i="5"/>
  <c r="DC28" i="5" s="1"/>
  <c r="DX49" i="5"/>
  <c r="ET49" i="5" s="1"/>
  <c r="EB49" i="5"/>
  <c r="DY49" i="5"/>
  <c r="EA49" i="5" s="1"/>
  <c r="DZ49" i="5"/>
  <c r="EL47" i="5"/>
  <c r="EJ47" i="5"/>
  <c r="EU47" i="5" s="1"/>
  <c r="EK47" i="5"/>
  <c r="EM47" i="5" s="1"/>
  <c r="EN47" i="5"/>
  <c r="DN8" i="5"/>
  <c r="DL8" i="5"/>
  <c r="ES8" i="5" s="1"/>
  <c r="DM8" i="5"/>
  <c r="DO8" i="5" s="1"/>
  <c r="DD37" i="5"/>
  <c r="DB37" i="5"/>
  <c r="DA37" i="5"/>
  <c r="DC37" i="5" s="1"/>
  <c r="CZ37" i="5"/>
  <c r="ER37" i="5" s="1"/>
  <c r="CM19" i="5"/>
  <c r="CF19" i="5"/>
  <c r="BU19" i="5"/>
  <c r="CO19" i="5"/>
  <c r="CN19" i="5"/>
  <c r="CD19" i="5"/>
  <c r="CE19" i="5"/>
  <c r="BT19" i="5"/>
  <c r="CG19" i="5"/>
  <c r="EJ44" i="5"/>
  <c r="EU44" i="5" s="1"/>
  <c r="EN44" i="5"/>
  <c r="EK44" i="5"/>
  <c r="EM44" i="5" s="1"/>
  <c r="EL44" i="5"/>
  <c r="EJ29" i="5"/>
  <c r="EU29" i="5" s="1"/>
  <c r="EN29" i="5"/>
  <c r="EK29" i="5"/>
  <c r="EM29" i="5" s="1"/>
  <c r="EL29" i="5"/>
  <c r="DB15" i="4"/>
  <c r="CZ15" i="4"/>
  <c r="ER15" i="4" s="1"/>
  <c r="DA15" i="4"/>
  <c r="DC15" i="4" s="1"/>
  <c r="BC17" i="5"/>
  <c r="BB17" i="5"/>
  <c r="BK46" i="4"/>
  <c r="DL7" i="4"/>
  <c r="ES7" i="4" s="1"/>
  <c r="CZ7" i="4"/>
  <c r="ER7" i="4" s="1"/>
  <c r="DL10" i="4"/>
  <c r="ES10" i="4" s="1"/>
  <c r="DP39" i="4"/>
  <c r="DL39" i="4"/>
  <c r="ES39" i="4" s="1"/>
  <c r="DN39" i="4"/>
  <c r="DM39" i="4"/>
  <c r="DO39" i="4" s="1"/>
  <c r="BK41" i="5"/>
  <c r="DD34" i="4"/>
  <c r="DA34" i="4"/>
  <c r="DC34" i="4" s="1"/>
  <c r="CZ34" i="4"/>
  <c r="ER34" i="4" s="1"/>
  <c r="DB34" i="4"/>
  <c r="DM23" i="4"/>
  <c r="DO23" i="4" s="1"/>
  <c r="DL23" i="4"/>
  <c r="ES23" i="4" s="1"/>
  <c r="DN23" i="4"/>
  <c r="DN26" i="5"/>
  <c r="DM26" i="5"/>
  <c r="DO26" i="5" s="1"/>
  <c r="DL26" i="5"/>
  <c r="ES26" i="5" s="1"/>
  <c r="CZ41" i="5"/>
  <c r="ER41" i="5" s="1"/>
  <c r="DB41" i="5"/>
  <c r="DA41" i="5"/>
  <c r="DC41" i="5" s="1"/>
  <c r="DD41" i="5"/>
  <c r="BC36" i="5"/>
  <c r="DN37" i="4"/>
  <c r="DM37" i="4"/>
  <c r="DO37" i="4" s="1"/>
  <c r="DL37" i="4"/>
  <c r="ES37" i="4" s="1"/>
  <c r="DP37" i="4"/>
  <c r="CN17" i="4"/>
  <c r="CO17" i="4"/>
  <c r="CF17" i="4"/>
  <c r="CM17" i="4"/>
  <c r="CE17" i="4"/>
  <c r="BU17" i="4"/>
  <c r="CD17" i="4"/>
  <c r="CN49" i="5"/>
  <c r="CQ49" i="5" s="1"/>
  <c r="BU49" i="5"/>
  <c r="CE49" i="5"/>
  <c r="CO49" i="5"/>
  <c r="BR49" i="5"/>
  <c r="CM49" i="5"/>
  <c r="BW49" i="5"/>
  <c r="CD49" i="5"/>
  <c r="BT49" i="5"/>
  <c r="BS49" i="5"/>
  <c r="BV49" i="5"/>
  <c r="CG49" i="5"/>
  <c r="CF49" i="5"/>
  <c r="CF8" i="5"/>
  <c r="CI8" i="5" s="1"/>
  <c r="CN8" i="5"/>
  <c r="CM8" i="5"/>
  <c r="CE8" i="5"/>
  <c r="CD8" i="5"/>
  <c r="BU8" i="5"/>
  <c r="CG8" i="5"/>
  <c r="BT8" i="5"/>
  <c r="CO8" i="5"/>
  <c r="DP48" i="4"/>
  <c r="DN48" i="4"/>
  <c r="DM48" i="4"/>
  <c r="DO48" i="4" s="1"/>
  <c r="DL48" i="4"/>
  <c r="ES48" i="4" s="1"/>
  <c r="EN50" i="5"/>
  <c r="EL50" i="5"/>
  <c r="EJ50" i="5"/>
  <c r="EU50" i="5" s="1"/>
  <c r="EK50" i="5"/>
  <c r="EM50" i="5" s="1"/>
  <c r="DL45" i="4"/>
  <c r="ES45" i="4" s="1"/>
  <c r="DM45" i="4"/>
  <c r="DO45" i="4" s="1"/>
  <c r="DP45" i="4"/>
  <c r="DN45" i="4"/>
  <c r="EB39" i="4"/>
  <c r="DZ39" i="4"/>
  <c r="DX39" i="4"/>
  <c r="ET39" i="4" s="1"/>
  <c r="DY39" i="4"/>
  <c r="EA39" i="4" s="1"/>
  <c r="CZ14" i="4"/>
  <c r="ER14" i="4" s="1"/>
  <c r="DB14" i="4"/>
  <c r="DA14" i="4"/>
  <c r="DC14" i="4" s="1"/>
  <c r="CM21" i="4"/>
  <c r="CE21" i="4"/>
  <c r="BT21" i="4"/>
  <c r="CF21" i="4"/>
  <c r="CD21" i="4"/>
  <c r="CN21" i="4"/>
  <c r="CG21" i="4"/>
  <c r="CF6" i="5"/>
  <c r="CN6" i="5"/>
  <c r="CE6" i="5"/>
  <c r="CM6" i="5"/>
  <c r="CD6" i="5"/>
  <c r="BT6" i="5"/>
  <c r="BU6" i="5"/>
  <c r="CO6" i="5"/>
  <c r="CG6" i="5"/>
  <c r="CM9" i="4"/>
  <c r="CE9" i="4"/>
  <c r="CN9" i="4"/>
  <c r="CQ9" i="4" s="1"/>
  <c r="CD9" i="4"/>
  <c r="CF9" i="4"/>
  <c r="CI9" i="4" s="1"/>
  <c r="BK23" i="4"/>
  <c r="BU29" i="5"/>
  <c r="BS29" i="5"/>
  <c r="BR29" i="5"/>
  <c r="BW29" i="5"/>
  <c r="BV29" i="5"/>
  <c r="CE29" i="5"/>
  <c r="CM29" i="5"/>
  <c r="CN29" i="5"/>
  <c r="CG29" i="5"/>
  <c r="BT29" i="5"/>
  <c r="CO29" i="5"/>
  <c r="CF29" i="5"/>
  <c r="CD29" i="5"/>
  <c r="BC29" i="5"/>
  <c r="DY42" i="5"/>
  <c r="EA42" i="5" s="1"/>
  <c r="EB42" i="5"/>
  <c r="DX42" i="5"/>
  <c r="ET42" i="5" s="1"/>
  <c r="DZ42" i="5"/>
  <c r="DM19" i="5"/>
  <c r="DO19" i="5" s="1"/>
  <c r="DN19" i="5"/>
  <c r="DL19" i="5"/>
  <c r="ES19" i="5" s="1"/>
  <c r="DD44" i="5"/>
  <c r="CZ44" i="5"/>
  <c r="ER44" i="5" s="1"/>
  <c r="DB44" i="5"/>
  <c r="DA44" i="5"/>
  <c r="DC44" i="5" s="1"/>
  <c r="DN15" i="4"/>
  <c r="DL15" i="4"/>
  <c r="ES15" i="4" s="1"/>
  <c r="DM15" i="4"/>
  <c r="DO15" i="4" s="1"/>
  <c r="DZ46" i="5"/>
  <c r="DY46" i="5"/>
  <c r="EA46" i="5" s="1"/>
  <c r="EB46" i="5"/>
  <c r="DX46" i="5"/>
  <c r="ET46" i="5" s="1"/>
  <c r="EJ33" i="5"/>
  <c r="EU33" i="5" s="1"/>
  <c r="EN33" i="5"/>
  <c r="EK33" i="5"/>
  <c r="EM33" i="5" s="1"/>
  <c r="EL33" i="5"/>
  <c r="DB12" i="4"/>
  <c r="CZ12" i="4"/>
  <c r="ER12" i="4" s="1"/>
  <c r="DA12" i="4"/>
  <c r="DC12" i="4" s="1"/>
  <c r="EN30" i="4"/>
  <c r="EK30" i="4"/>
  <c r="EM30" i="4" s="1"/>
  <c r="EL30" i="4"/>
  <c r="EJ30" i="4"/>
  <c r="EU30" i="4" s="1"/>
  <c r="BS45" i="4"/>
  <c r="BU45" i="4"/>
  <c r="BW45" i="4"/>
  <c r="BT45" i="4"/>
  <c r="CN45" i="4"/>
  <c r="CG45" i="4"/>
  <c r="BV45" i="4"/>
  <c r="CD45" i="4"/>
  <c r="BR45" i="4"/>
  <c r="CE45" i="4"/>
  <c r="CM45" i="4"/>
  <c r="CO45" i="4"/>
  <c r="CF45" i="4"/>
  <c r="DM16" i="4"/>
  <c r="DO16" i="4" s="1"/>
  <c r="DN16" i="4"/>
  <c r="DL16" i="4"/>
  <c r="ES16" i="4" s="1"/>
  <c r="CZ24" i="4"/>
  <c r="ER24" i="4" s="1"/>
  <c r="DA24" i="4"/>
  <c r="DC24" i="4" s="1"/>
  <c r="DB24" i="4"/>
  <c r="EN32" i="5"/>
  <c r="EL32" i="5"/>
  <c r="EJ32" i="5"/>
  <c r="EU32" i="5" s="1"/>
  <c r="EK32" i="5"/>
  <c r="EM32" i="5" s="1"/>
  <c r="BB43" i="4"/>
  <c r="BC43" i="4"/>
  <c r="BC50" i="4"/>
  <c r="BB50" i="4"/>
  <c r="DA50" i="4"/>
  <c r="DC50" i="4" s="1"/>
  <c r="CZ50" i="4"/>
  <c r="ER50" i="4" s="1"/>
  <c r="DB50" i="4"/>
  <c r="DD50" i="4"/>
  <c r="EK49" i="4"/>
  <c r="EM49" i="4" s="1"/>
  <c r="EL49" i="4"/>
  <c r="EJ49" i="4"/>
  <c r="EU49" i="4" s="1"/>
  <c r="EN49" i="4"/>
  <c r="DD48" i="4"/>
  <c r="CZ48" i="4"/>
  <c r="ER48" i="4" s="1"/>
  <c r="DA48" i="4"/>
  <c r="DC48" i="4" s="1"/>
  <c r="DB48" i="4"/>
  <c r="EB45" i="4"/>
  <c r="DZ45" i="4"/>
  <c r="DX45" i="4"/>
  <c r="ET45" i="4" s="1"/>
  <c r="DY45" i="4"/>
  <c r="EA45" i="4" s="1"/>
  <c r="DL18" i="5"/>
  <c r="ES18" i="5" s="1"/>
  <c r="DM18" i="5"/>
  <c r="DO18" i="5" s="1"/>
  <c r="DN18" i="5"/>
  <c r="EB48" i="5"/>
  <c r="DY48" i="5"/>
  <c r="EA48" i="5" s="1"/>
  <c r="DZ48" i="5"/>
  <c r="DX48" i="5"/>
  <c r="ET48" i="5" s="1"/>
  <c r="DN40" i="4"/>
  <c r="DP40" i="4"/>
  <c r="DL40" i="4"/>
  <c r="ES40" i="4" s="1"/>
  <c r="DM40" i="4"/>
  <c r="DO40" i="4" s="1"/>
  <c r="EB40" i="5"/>
  <c r="DZ40" i="5"/>
  <c r="DX40" i="5"/>
  <c r="ET40" i="5" s="1"/>
  <c r="DY40" i="5"/>
  <c r="EA40" i="5" s="1"/>
  <c r="DP34" i="5"/>
  <c r="DM34" i="5"/>
  <c r="DO34" i="5" s="1"/>
  <c r="DN34" i="5"/>
  <c r="DL34" i="5"/>
  <c r="ES34" i="5" s="1"/>
  <c r="BB48" i="5"/>
  <c r="BC48" i="5"/>
  <c r="DP30" i="5"/>
  <c r="DL30" i="5"/>
  <c r="ES30" i="5" s="1"/>
  <c r="DM30" i="5"/>
  <c r="DO30" i="5" s="1"/>
  <c r="DN30" i="5"/>
  <c r="EN37" i="4"/>
  <c r="EJ37" i="4"/>
  <c r="EU37" i="4" s="1"/>
  <c r="EK37" i="4"/>
  <c r="EM37" i="4" s="1"/>
  <c r="EL37" i="4"/>
  <c r="BJ43" i="4"/>
  <c r="BK43" i="4"/>
  <c r="CN47" i="4"/>
  <c r="CQ47" i="4" s="1"/>
  <c r="BW47" i="4"/>
  <c r="BU47" i="4"/>
  <c r="BV47" i="4"/>
  <c r="CG47" i="4"/>
  <c r="BT47" i="4"/>
  <c r="CO47" i="4"/>
  <c r="CM47" i="4"/>
  <c r="BS47" i="4"/>
  <c r="CF47" i="4"/>
  <c r="CE47" i="4"/>
  <c r="CD47" i="4"/>
  <c r="BR47" i="4"/>
  <c r="DD49" i="4"/>
  <c r="DA49" i="4"/>
  <c r="DC49" i="4" s="1"/>
  <c r="CZ49" i="4"/>
  <c r="ER49" i="4" s="1"/>
  <c r="DB49" i="4"/>
  <c r="DB18" i="4"/>
  <c r="DA18" i="4"/>
  <c r="DC18" i="4" s="1"/>
  <c r="CZ18" i="4"/>
  <c r="ER18" i="4" s="1"/>
  <c r="BK19" i="5"/>
  <c r="BJ19" i="5"/>
  <c r="DD44" i="4"/>
  <c r="CZ44" i="4"/>
  <c r="ER44" i="4" s="1"/>
  <c r="DB44" i="4"/>
  <c r="DA44" i="4"/>
  <c r="DC44" i="4" s="1"/>
  <c r="BK21" i="5"/>
  <c r="BJ21" i="5"/>
  <c r="EJ28" i="5"/>
  <c r="EU28" i="5" s="1"/>
  <c r="EN28" i="5"/>
  <c r="EK28" i="5"/>
  <c r="EM28" i="5" s="1"/>
  <c r="EL28" i="5"/>
  <c r="DB22" i="4"/>
  <c r="CZ22" i="4"/>
  <c r="ER22" i="4" s="1"/>
  <c r="DA22" i="4"/>
  <c r="DC22" i="4" s="1"/>
  <c r="DP33" i="5"/>
  <c r="DM33" i="5"/>
  <c r="DO33" i="5" s="1"/>
  <c r="DN33" i="5"/>
  <c r="DL33" i="5"/>
  <c r="ES33" i="5" s="1"/>
  <c r="BK37" i="4"/>
  <c r="BT34" i="4"/>
  <c r="BS34" i="4"/>
  <c r="CN34" i="4"/>
  <c r="CF34" i="4"/>
  <c r="CD34" i="4"/>
  <c r="BW34" i="4"/>
  <c r="CG34" i="4"/>
  <c r="CO34" i="4"/>
  <c r="BR34" i="4"/>
  <c r="CE34" i="4"/>
  <c r="BV34" i="4"/>
  <c r="BU34" i="4"/>
  <c r="CM34" i="4"/>
  <c r="EN40" i="4"/>
  <c r="EJ40" i="4"/>
  <c r="EU40" i="4" s="1"/>
  <c r="EL40" i="4"/>
  <c r="EK40" i="4"/>
  <c r="EM40" i="4" s="1"/>
  <c r="DL12" i="4"/>
  <c r="ES12" i="4" s="1"/>
  <c r="DN12" i="4"/>
  <c r="DM12" i="4"/>
  <c r="DO12" i="4" s="1"/>
  <c r="CN28" i="4"/>
  <c r="CQ28" i="4" s="1"/>
  <c r="BS28" i="4"/>
  <c r="CO28" i="4"/>
  <c r="CM28" i="4"/>
  <c r="BU28" i="4"/>
  <c r="BR28" i="4"/>
  <c r="BV28" i="4"/>
  <c r="CF28" i="4"/>
  <c r="CE28" i="4"/>
  <c r="BT28" i="4"/>
  <c r="BW28" i="4"/>
  <c r="CG28" i="4"/>
  <c r="CD28" i="4"/>
  <c r="DN17" i="4"/>
  <c r="DM17" i="4"/>
  <c r="DO17" i="4" s="1"/>
  <c r="DL17" i="4"/>
  <c r="ES17" i="4" s="1"/>
  <c r="DB23" i="4"/>
  <c r="DA23" i="4"/>
  <c r="DC23" i="4" s="1"/>
  <c r="CZ23" i="4"/>
  <c r="ER23" i="4" s="1"/>
  <c r="DN30" i="4"/>
  <c r="DP30" i="4"/>
  <c r="DM30" i="4"/>
  <c r="DO30" i="4" s="1"/>
  <c r="DL30" i="4"/>
  <c r="ES30" i="4" s="1"/>
  <c r="CD50" i="5"/>
  <c r="CE50" i="5"/>
  <c r="BR50" i="5"/>
  <c r="BU50" i="5"/>
  <c r="CG50" i="5"/>
  <c r="BT50" i="5"/>
  <c r="BS50" i="5"/>
  <c r="BW50" i="5"/>
  <c r="CN50" i="5"/>
  <c r="BV50" i="5"/>
  <c r="CF50" i="5"/>
  <c r="CM50" i="5"/>
  <c r="CO50" i="5"/>
  <c r="DY38" i="5"/>
  <c r="EA38" i="5" s="1"/>
  <c r="EB38" i="5"/>
  <c r="DZ38" i="5"/>
  <c r="DX38" i="5"/>
  <c r="ET38" i="5" s="1"/>
  <c r="CZ6" i="5"/>
  <c r="ER6" i="5" s="1"/>
  <c r="DA6" i="5"/>
  <c r="DC6" i="5" s="1"/>
  <c r="DB6" i="5"/>
  <c r="BC19" i="4"/>
  <c r="DX39" i="5"/>
  <c r="ET39" i="5" s="1"/>
  <c r="DY39" i="5"/>
  <c r="EA39" i="5" s="1"/>
  <c r="DZ39" i="5"/>
  <c r="EB39" i="5"/>
  <c r="BC41" i="4"/>
  <c r="BB41" i="4"/>
  <c r="DL32" i="5"/>
  <c r="ES32" i="5" s="1"/>
  <c r="DP32" i="5"/>
  <c r="DM32" i="5"/>
  <c r="DO32" i="5" s="1"/>
  <c r="DN32" i="5"/>
  <c r="CE22" i="5"/>
  <c r="CN22" i="5"/>
  <c r="BU22" i="5"/>
  <c r="CM22" i="5"/>
  <c r="CD22" i="5"/>
  <c r="CG22" i="5"/>
  <c r="CF22" i="5"/>
  <c r="BT22" i="5"/>
  <c r="CO22" i="5"/>
  <c r="DA30" i="5"/>
  <c r="DC30" i="5" s="1"/>
  <c r="CZ30" i="5"/>
  <c r="ER30" i="5" s="1"/>
  <c r="DD30" i="5"/>
  <c r="DB30" i="5"/>
  <c r="DP38" i="4"/>
  <c r="DM38" i="4"/>
  <c r="DO38" i="4" s="1"/>
  <c r="DL38" i="4"/>
  <c r="ES38" i="4" s="1"/>
  <c r="DN38" i="4"/>
  <c r="DA26" i="4"/>
  <c r="DC26" i="4" s="1"/>
  <c r="CZ26" i="4"/>
  <c r="ER26" i="4" s="1"/>
  <c r="DB26" i="4"/>
  <c r="DP36" i="4"/>
  <c r="DN36" i="4"/>
  <c r="DM36" i="4"/>
  <c r="DO36" i="4" s="1"/>
  <c r="DL36" i="4"/>
  <c r="ES36" i="4" s="1"/>
  <c r="BV45" i="5"/>
  <c r="CO45" i="5"/>
  <c r="CE45" i="5"/>
  <c r="BR45" i="5"/>
  <c r="CD45" i="5"/>
  <c r="BS45" i="5"/>
  <c r="CG45" i="5"/>
  <c r="CM45" i="5"/>
  <c r="CN45" i="5"/>
  <c r="BW45" i="5"/>
  <c r="CF45" i="5"/>
  <c r="BT45" i="5"/>
  <c r="BU45" i="5"/>
  <c r="BC25" i="5"/>
  <c r="BB25" i="5"/>
  <c r="DM7" i="5"/>
  <c r="DO7" i="5" s="1"/>
  <c r="DL7" i="5"/>
  <c r="ES7" i="5" s="1"/>
  <c r="DN7" i="5"/>
  <c r="DN50" i="4"/>
  <c r="DL50" i="4"/>
  <c r="ES50" i="4" s="1"/>
  <c r="DP50" i="4"/>
  <c r="DM50" i="4"/>
  <c r="DO50" i="4" s="1"/>
  <c r="EB45" i="5"/>
  <c r="DY45" i="5"/>
  <c r="EA45" i="5" s="1"/>
  <c r="DZ45" i="5"/>
  <c r="DX45" i="5"/>
  <c r="ET45" i="5" s="1"/>
  <c r="DB13" i="4"/>
  <c r="CZ13" i="4"/>
  <c r="ER13" i="4" s="1"/>
  <c r="DA13" i="4"/>
  <c r="DC13" i="4" s="1"/>
  <c r="EN31" i="4"/>
  <c r="EK31" i="4"/>
  <c r="EM31" i="4" s="1"/>
  <c r="EL31" i="4"/>
  <c r="EJ31" i="4"/>
  <c r="EU31" i="4" s="1"/>
  <c r="DA43" i="5"/>
  <c r="DC43" i="5" s="1"/>
  <c r="CZ43" i="5"/>
  <c r="ER43" i="5" s="1"/>
  <c r="DD43" i="5"/>
  <c r="DB43" i="5"/>
  <c r="DP28" i="4"/>
  <c r="DN28" i="4"/>
  <c r="DM28" i="4"/>
  <c r="DO28" i="4" s="1"/>
  <c r="DL28" i="4"/>
  <c r="ES28" i="4" s="1"/>
  <c r="DL18" i="4"/>
  <c r="ES18" i="4" s="1"/>
  <c r="DM18" i="4"/>
  <c r="DO18" i="4" s="1"/>
  <c r="DN18" i="4"/>
  <c r="BK12" i="4"/>
  <c r="DP47" i="4"/>
  <c r="DL47" i="4"/>
  <c r="ES47" i="4" s="1"/>
  <c r="DN47" i="4"/>
  <c r="DM47" i="4"/>
  <c r="DO47" i="4" s="1"/>
  <c r="BC44" i="4"/>
  <c r="EB29" i="4"/>
  <c r="DX29" i="4"/>
  <c r="ET29" i="4" s="1"/>
  <c r="DZ29" i="4"/>
  <c r="DY29" i="4"/>
  <c r="EA29" i="4" s="1"/>
  <c r="BU27" i="4"/>
  <c r="CD27" i="4"/>
  <c r="CO27" i="4"/>
  <c r="CE27" i="4"/>
  <c r="CN27" i="4"/>
  <c r="BT27" i="4"/>
  <c r="CM27" i="4"/>
  <c r="CG27" i="4"/>
  <c r="CF27" i="4"/>
  <c r="DB24" i="5"/>
  <c r="DA24" i="5"/>
  <c r="DC24" i="5" s="1"/>
  <c r="CZ24" i="5"/>
  <c r="ER24" i="5" s="1"/>
  <c r="DN21" i="5"/>
  <c r="DM21" i="5"/>
  <c r="DO21" i="5" s="1"/>
  <c r="DL21" i="5"/>
  <c r="ES21" i="5" s="1"/>
  <c r="DB45" i="4"/>
  <c r="DA45" i="4"/>
  <c r="DC45" i="4" s="1"/>
  <c r="CZ45" i="4"/>
  <c r="ER45" i="4" s="1"/>
  <c r="DD45" i="4"/>
  <c r="CM16" i="4"/>
  <c r="BU16" i="4"/>
  <c r="CE16" i="4"/>
  <c r="CD16" i="4"/>
  <c r="CN16" i="4"/>
  <c r="CF16" i="4"/>
  <c r="CO16" i="4"/>
  <c r="EL49" i="5"/>
  <c r="EK49" i="5"/>
  <c r="EM49" i="5" s="1"/>
  <c r="EJ49" i="5"/>
  <c r="EU49" i="5" s="1"/>
  <c r="EN49" i="5"/>
  <c r="CM9" i="5"/>
  <c r="CF9" i="5"/>
  <c r="CI9" i="5" s="1"/>
  <c r="CE9" i="5"/>
  <c r="CD9" i="5"/>
  <c r="CN9" i="5"/>
  <c r="CQ9" i="5" s="1"/>
  <c r="BT9" i="5"/>
  <c r="BU9" i="5"/>
  <c r="CG9" i="5"/>
  <c r="CO9" i="5"/>
  <c r="EN48" i="5"/>
  <c r="EK48" i="5"/>
  <c r="EM48" i="5" s="1"/>
  <c r="EJ48" i="5"/>
  <c r="EU48" i="5" s="1"/>
  <c r="EL48" i="5"/>
  <c r="BK45" i="5"/>
  <c r="DL36" i="5"/>
  <c r="ES36" i="5" s="1"/>
  <c r="DM36" i="5"/>
  <c r="DO36" i="5" s="1"/>
  <c r="DN36" i="5"/>
  <c r="DP36" i="5"/>
  <c r="DD29" i="5"/>
  <c r="CZ29" i="5"/>
  <c r="ER29" i="5" s="1"/>
  <c r="DA29" i="5"/>
  <c r="DC29" i="5" s="1"/>
  <c r="DB29" i="5"/>
  <c r="BC18" i="5"/>
  <c r="EN46" i="5"/>
  <c r="EL46" i="5"/>
  <c r="EK46" i="5"/>
  <c r="EM46" i="5" s="1"/>
  <c r="EJ46" i="5"/>
  <c r="EU46" i="5" s="1"/>
  <c r="BB10" i="4"/>
  <c r="DL9" i="4"/>
  <c r="ES9" i="4" s="1"/>
  <c r="DA7" i="4"/>
  <c r="DC7" i="4" s="1"/>
  <c r="DN10" i="4"/>
  <c r="DP10" i="4" s="1"/>
  <c r="BJ40" i="5"/>
  <c r="AO11" i="5"/>
  <c r="BC37" i="4"/>
  <c r="BU26" i="4"/>
  <c r="CD26" i="4"/>
  <c r="CO26" i="4"/>
  <c r="CE26" i="4"/>
  <c r="CG26" i="4"/>
  <c r="CN26" i="4"/>
  <c r="BT26" i="4"/>
  <c r="CM26" i="4"/>
  <c r="CF26" i="4"/>
  <c r="BK15" i="5"/>
  <c r="BJ15" i="5"/>
  <c r="DD39" i="5"/>
  <c r="DB39" i="5"/>
  <c r="CZ39" i="5"/>
  <c r="ER39" i="5" s="1"/>
  <c r="DA39" i="5"/>
  <c r="DC39" i="5" s="1"/>
  <c r="CZ32" i="5"/>
  <c r="ER32" i="5" s="1"/>
  <c r="DA32" i="5"/>
  <c r="DC32" i="5" s="1"/>
  <c r="DD32" i="5"/>
  <c r="DB32" i="5"/>
  <c r="BC42" i="4"/>
  <c r="BB42" i="4"/>
  <c r="CO37" i="5"/>
  <c r="BV37" i="5"/>
  <c r="BS37" i="5"/>
  <c r="BW37" i="5"/>
  <c r="BR37" i="5"/>
  <c r="CD37" i="5"/>
  <c r="CN37" i="5"/>
  <c r="BT37" i="5"/>
  <c r="CG37" i="5"/>
  <c r="CE37" i="5"/>
  <c r="BU37" i="5"/>
  <c r="CF37" i="5"/>
  <c r="CM37" i="5"/>
  <c r="EB36" i="4"/>
  <c r="DX36" i="4"/>
  <c r="ET36" i="4" s="1"/>
  <c r="DY36" i="4"/>
  <c r="EA36" i="4" s="1"/>
  <c r="DZ36" i="4"/>
  <c r="DL19" i="4"/>
  <c r="ES19" i="4" s="1"/>
  <c r="DN19" i="4"/>
  <c r="DM19" i="4"/>
  <c r="DO19" i="4" s="1"/>
  <c r="BK16" i="5"/>
  <c r="BC31" i="4"/>
  <c r="BB31" i="4"/>
  <c r="EB49" i="4"/>
  <c r="DZ49" i="4"/>
  <c r="DX49" i="4"/>
  <c r="ET49" i="4" s="1"/>
  <c r="DY49" i="4"/>
  <c r="EA49" i="4" s="1"/>
  <c r="DP44" i="4"/>
  <c r="DL44" i="4"/>
  <c r="ES44" i="4" s="1"/>
  <c r="DM44" i="4"/>
  <c r="DO44" i="4" s="1"/>
  <c r="DN44" i="4"/>
  <c r="CZ29" i="4"/>
  <c r="ER29" i="4" s="1"/>
  <c r="DA29" i="4"/>
  <c r="DC29" i="4" s="1"/>
  <c r="DB29" i="4"/>
  <c r="DD29" i="4"/>
  <c r="CM8" i="4"/>
  <c r="CD8" i="4"/>
  <c r="CN8" i="4"/>
  <c r="CQ8" i="4" s="1"/>
  <c r="CE8" i="4"/>
  <c r="CF8" i="4"/>
  <c r="CI8" i="4" s="1"/>
  <c r="DD43" i="4"/>
  <c r="CZ43" i="4"/>
  <c r="ER43" i="4" s="1"/>
  <c r="DA43" i="4"/>
  <c r="DC43" i="4" s="1"/>
  <c r="DB43" i="4"/>
  <c r="DB19" i="5"/>
  <c r="DA19" i="5"/>
  <c r="DC19" i="5" s="1"/>
  <c r="CZ19" i="5"/>
  <c r="ER19" i="5" s="1"/>
  <c r="DL44" i="5"/>
  <c r="ES44" i="5" s="1"/>
  <c r="DN44" i="5"/>
  <c r="DP44" i="5"/>
  <c r="DM44" i="5"/>
  <c r="DO44" i="5" s="1"/>
  <c r="CE21" i="5"/>
  <c r="CN21" i="5"/>
  <c r="BU21" i="5"/>
  <c r="CF21" i="5"/>
  <c r="CI21" i="5" s="1"/>
  <c r="BT21" i="5"/>
  <c r="CG21" i="5"/>
  <c r="CM21" i="5"/>
  <c r="CD21" i="5"/>
  <c r="CO21" i="5"/>
  <c r="DL11" i="5"/>
  <c r="ES11" i="5" s="1"/>
  <c r="DM11" i="5"/>
  <c r="DO11" i="5" s="1"/>
  <c r="DD30" i="4"/>
  <c r="DA30" i="4"/>
  <c r="DC30" i="4" s="1"/>
  <c r="DB30" i="4"/>
  <c r="CZ30" i="4"/>
  <c r="ER30" i="4" s="1"/>
  <c r="CE44" i="4"/>
  <c r="CM44" i="4"/>
  <c r="CN44" i="4"/>
  <c r="CQ44" i="4" s="1"/>
  <c r="CO44" i="4"/>
  <c r="CG44" i="4"/>
  <c r="BT44" i="4"/>
  <c r="BV44" i="4"/>
  <c r="CD44" i="4"/>
  <c r="BS44" i="4"/>
  <c r="BU44" i="4"/>
  <c r="CF44" i="4"/>
  <c r="BR44" i="4"/>
  <c r="BW44" i="4"/>
  <c r="BV41" i="5"/>
  <c r="BT41" i="5"/>
  <c r="CO41" i="5"/>
  <c r="CD41" i="5"/>
  <c r="BR41" i="5"/>
  <c r="CM41" i="5"/>
  <c r="CG41" i="5"/>
  <c r="BS41" i="5"/>
  <c r="CF41" i="5"/>
  <c r="CN41" i="5"/>
  <c r="BW41" i="5"/>
  <c r="CE41" i="5"/>
  <c r="BU41" i="5"/>
  <c r="EL39" i="5"/>
  <c r="EJ39" i="5"/>
  <c r="EU39" i="5" s="1"/>
  <c r="EN39" i="5"/>
  <c r="EK39" i="5"/>
  <c r="EM39" i="5" s="1"/>
  <c r="CZ12" i="5"/>
  <c r="ER12" i="5" s="1"/>
  <c r="DA12" i="5"/>
  <c r="DC12" i="5" s="1"/>
  <c r="DB12" i="5"/>
  <c r="EN34" i="5"/>
  <c r="EL34" i="5"/>
  <c r="EJ34" i="5"/>
  <c r="EU34" i="5" s="1"/>
  <c r="EK34" i="5"/>
  <c r="EM34" i="5" s="1"/>
  <c r="BC13" i="5"/>
  <c r="BB13" i="5"/>
  <c r="BK48" i="5"/>
  <c r="CZ23" i="5"/>
  <c r="ER23" i="5" s="1"/>
  <c r="DA23" i="5"/>
  <c r="DC23" i="5" s="1"/>
  <c r="DB23" i="5"/>
  <c r="DB38" i="4"/>
  <c r="CZ38" i="4"/>
  <c r="ER38" i="4" s="1"/>
  <c r="DA38" i="4"/>
  <c r="DC38" i="4" s="1"/>
  <c r="DD38" i="4"/>
  <c r="DB14" i="5"/>
  <c r="CZ14" i="5"/>
  <c r="ER14" i="5" s="1"/>
  <c r="DA14" i="5"/>
  <c r="DC14" i="5" s="1"/>
  <c r="DL13" i="4"/>
  <c r="ES13" i="4" s="1"/>
  <c r="DM13" i="4"/>
  <c r="DO13" i="4" s="1"/>
  <c r="DN13" i="4"/>
  <c r="DZ44" i="4"/>
  <c r="DY44" i="4"/>
  <c r="EA44" i="4" s="1"/>
  <c r="DX44" i="4"/>
  <c r="ET44" i="4" s="1"/>
  <c r="EB44" i="4"/>
  <c r="CM7" i="4"/>
  <c r="CD7" i="4"/>
  <c r="CF7" i="4"/>
  <c r="CI7" i="4" s="1"/>
  <c r="CN7" i="4"/>
  <c r="CQ7" i="4" s="1"/>
  <c r="CE7" i="4"/>
  <c r="CN22" i="4"/>
  <c r="CM22" i="4"/>
  <c r="BT22" i="4"/>
  <c r="CD22" i="4"/>
  <c r="BU22" i="4"/>
  <c r="CG22" i="4"/>
  <c r="CE22" i="4"/>
  <c r="CF22" i="4"/>
  <c r="CO22" i="4"/>
  <c r="DL34" i="4"/>
  <c r="ES34" i="4" s="1"/>
  <c r="DN34" i="4"/>
  <c r="DM34" i="4"/>
  <c r="DO34" i="4" s="1"/>
  <c r="DP34" i="4"/>
  <c r="BK35" i="5"/>
  <c r="BJ35" i="5"/>
  <c r="CG12" i="5"/>
  <c r="CF12" i="5"/>
  <c r="BU12" i="5"/>
  <c r="CN12" i="5"/>
  <c r="CE12" i="5"/>
  <c r="BT12" i="5"/>
  <c r="CD12" i="5"/>
  <c r="CO12" i="5"/>
  <c r="CM12" i="5"/>
  <c r="CZ19" i="4"/>
  <c r="ER19" i="4" s="1"/>
  <c r="DA19" i="4"/>
  <c r="DC19" i="4" s="1"/>
  <c r="DB19" i="4"/>
  <c r="DN41" i="4"/>
  <c r="DP41" i="4"/>
  <c r="DM41" i="4"/>
  <c r="DO41" i="4" s="1"/>
  <c r="DL41" i="4"/>
  <c r="ES41" i="4" s="1"/>
  <c r="DD28" i="4"/>
  <c r="CZ28" i="4"/>
  <c r="ER28" i="4" s="1"/>
  <c r="DB28" i="4"/>
  <c r="DA28" i="4"/>
  <c r="DC28" i="4" s="1"/>
  <c r="CO24" i="4"/>
  <c r="BU24" i="4"/>
  <c r="CE24" i="4"/>
  <c r="CG24" i="4"/>
  <c r="CF24" i="4"/>
  <c r="CN24" i="4"/>
  <c r="CD24" i="4"/>
  <c r="BT24" i="4"/>
  <c r="CM24" i="4"/>
  <c r="DD42" i="5"/>
  <c r="DA42" i="5"/>
  <c r="DC42" i="5" s="1"/>
  <c r="DB42" i="5"/>
  <c r="CZ42" i="5"/>
  <c r="ER42" i="5" s="1"/>
  <c r="BC12" i="5"/>
  <c r="CZ20" i="4"/>
  <c r="ER20" i="4" s="1"/>
  <c r="DA20" i="4"/>
  <c r="DC20" i="4" s="1"/>
  <c r="DB20" i="4"/>
  <c r="EB46" i="4"/>
  <c r="DZ46" i="4"/>
  <c r="DY46" i="4"/>
  <c r="EA46" i="4" s="1"/>
  <c r="DX46" i="4"/>
  <c r="ET46" i="4" s="1"/>
  <c r="DA35" i="5"/>
  <c r="DC35" i="5" s="1"/>
  <c r="DD35" i="5"/>
  <c r="DB35" i="5"/>
  <c r="CZ35" i="5"/>
  <c r="ER35" i="5" s="1"/>
  <c r="BC35" i="5"/>
  <c r="BK28" i="4"/>
  <c r="CF24" i="5"/>
  <c r="CI24" i="5" s="1"/>
  <c r="CN24" i="5"/>
  <c r="CM24" i="5"/>
  <c r="BU24" i="5"/>
  <c r="CG24" i="5"/>
  <c r="BT24" i="5"/>
  <c r="CE24" i="5"/>
  <c r="CD24" i="5"/>
  <c r="CO24" i="5"/>
  <c r="CD14" i="5"/>
  <c r="BT14" i="5"/>
  <c r="BU14" i="5"/>
  <c r="CE14" i="5"/>
  <c r="CN14" i="5"/>
  <c r="CO14" i="5"/>
  <c r="CM14" i="5"/>
  <c r="CG14" i="5"/>
  <c r="CF14" i="5"/>
  <c r="BR43" i="4"/>
  <c r="CO43" i="4"/>
  <c r="CF43" i="4"/>
  <c r="BU43" i="4"/>
  <c r="CM43" i="4"/>
  <c r="BS43" i="4"/>
  <c r="BW43" i="4"/>
  <c r="CE43" i="4"/>
  <c r="CN43" i="4"/>
  <c r="BV43" i="4"/>
  <c r="CG43" i="4"/>
  <c r="CD43" i="4"/>
  <c r="BT43" i="4"/>
  <c r="DD35" i="4"/>
  <c r="CZ35" i="4"/>
  <c r="ER35" i="4" s="1"/>
  <c r="DB35" i="4"/>
  <c r="DA35" i="4"/>
  <c r="DC35" i="4" s="1"/>
  <c r="DA7" i="5"/>
  <c r="DC7" i="5" s="1"/>
  <c r="CZ7" i="5"/>
  <c r="ER7" i="5" s="1"/>
  <c r="DB7" i="5"/>
  <c r="DL21" i="4"/>
  <c r="ES21" i="4" s="1"/>
  <c r="DM21" i="4"/>
  <c r="DO21" i="4" s="1"/>
  <c r="DN21" i="4"/>
  <c r="EJ45" i="5"/>
  <c r="EU45" i="5" s="1"/>
  <c r="EL45" i="5"/>
  <c r="EK45" i="5"/>
  <c r="EM45" i="5" s="1"/>
  <c r="EN45" i="5"/>
  <c r="CO16" i="5"/>
  <c r="CN16" i="5"/>
  <c r="BT16" i="5"/>
  <c r="CG16" i="5"/>
  <c r="BU16" i="5"/>
  <c r="CF16" i="5"/>
  <c r="CE16" i="5"/>
  <c r="CD16" i="5"/>
  <c r="CM16" i="5"/>
  <c r="CF35" i="5"/>
  <c r="CD35" i="5"/>
  <c r="BT35" i="5"/>
  <c r="BU35" i="5"/>
  <c r="CO35" i="5"/>
  <c r="BW35" i="5"/>
  <c r="BS35" i="5"/>
  <c r="CG35" i="5"/>
  <c r="CE35" i="5"/>
  <c r="BR35" i="5"/>
  <c r="CN35" i="5"/>
  <c r="BV35" i="5"/>
  <c r="CM35" i="5"/>
  <c r="BT47" i="5"/>
  <c r="CN47" i="5"/>
  <c r="CQ47" i="5" s="1"/>
  <c r="BS47" i="5"/>
  <c r="CE47" i="5"/>
  <c r="BR47" i="5"/>
  <c r="BW47" i="5"/>
  <c r="CG47" i="5"/>
  <c r="CO47" i="5"/>
  <c r="CF47" i="5"/>
  <c r="BV47" i="5"/>
  <c r="BU47" i="5"/>
  <c r="CM47" i="5"/>
  <c r="CD47" i="5"/>
  <c r="DD31" i="5"/>
  <c r="DB31" i="5"/>
  <c r="DA31" i="5"/>
  <c r="DC31" i="5" s="1"/>
  <c r="CZ31" i="5"/>
  <c r="ER31" i="5" s="1"/>
  <c r="EN43" i="4"/>
  <c r="EL43" i="4"/>
  <c r="EK43" i="4"/>
  <c r="EM43" i="4" s="1"/>
  <c r="EJ43" i="4"/>
  <c r="EU43" i="4" s="1"/>
  <c r="CZ18" i="5"/>
  <c r="ER18" i="5" s="1"/>
  <c r="DB18" i="5"/>
  <c r="DA18" i="5"/>
  <c r="DC18" i="5" s="1"/>
  <c r="BK12" i="5"/>
  <c r="DP32" i="4"/>
  <c r="DL32" i="4"/>
  <c r="ES32" i="4" s="1"/>
  <c r="DM32" i="4"/>
  <c r="DO32" i="4" s="1"/>
  <c r="DN32" i="4"/>
  <c r="DB11" i="5"/>
  <c r="CZ11" i="5"/>
  <c r="ER11" i="5" s="1"/>
  <c r="DA11" i="5"/>
  <c r="DC11" i="5" s="1"/>
  <c r="DD40" i="4"/>
  <c r="DB40" i="4"/>
  <c r="DA40" i="4"/>
  <c r="DC40" i="4" s="1"/>
  <c r="CZ40" i="4"/>
  <c r="ER40" i="4" s="1"/>
  <c r="DY35" i="5"/>
  <c r="EA35" i="5" s="1"/>
  <c r="EB35" i="5"/>
  <c r="DX35" i="5"/>
  <c r="ET35" i="5" s="1"/>
  <c r="DZ35" i="5"/>
  <c r="BC42" i="5"/>
  <c r="DL25" i="4"/>
  <c r="ES25" i="4" s="1"/>
  <c r="DN25" i="4"/>
  <c r="DM25" i="4"/>
  <c r="DO25" i="4" s="1"/>
  <c r="CF18" i="5"/>
  <c r="CG18" i="5"/>
  <c r="BU18" i="5"/>
  <c r="CE18" i="5"/>
  <c r="BT18" i="5"/>
  <c r="CM18" i="5"/>
  <c r="CN18" i="5"/>
  <c r="CO18" i="5"/>
  <c r="CD18" i="5"/>
  <c r="DX30" i="4"/>
  <c r="ET30" i="4" s="1"/>
  <c r="DY30" i="4"/>
  <c r="EA30" i="4" s="1"/>
  <c r="DZ30" i="4"/>
  <c r="EB30" i="4"/>
  <c r="BU13" i="4"/>
  <c r="CO13" i="4"/>
  <c r="CF13" i="4"/>
  <c r="CE13" i="4"/>
  <c r="CD13" i="4"/>
  <c r="CM13" i="4"/>
  <c r="CN13" i="4"/>
  <c r="CZ16" i="4"/>
  <c r="ER16" i="4" s="1"/>
  <c r="DA16" i="4"/>
  <c r="DC16" i="4" s="1"/>
  <c r="DB16" i="4"/>
  <c r="BC15" i="5"/>
  <c r="CG19" i="4"/>
  <c r="CE19" i="4"/>
  <c r="BT19" i="4"/>
  <c r="CD19" i="4"/>
  <c r="CM19" i="4"/>
  <c r="CF19" i="4"/>
  <c r="CN19" i="4"/>
  <c r="DB9" i="5"/>
  <c r="DA9" i="5"/>
  <c r="DC9" i="5" s="1"/>
  <c r="CZ9" i="5"/>
  <c r="ER9" i="5" s="1"/>
  <c r="CE46" i="5"/>
  <c r="BU46" i="5"/>
  <c r="CD46" i="5"/>
  <c r="CG46" i="5"/>
  <c r="CO46" i="5"/>
  <c r="BS46" i="5"/>
  <c r="CN46" i="5"/>
  <c r="BR46" i="5"/>
  <c r="BW46" i="5"/>
  <c r="BT46" i="5"/>
  <c r="CM46" i="5"/>
  <c r="BV46" i="5"/>
  <c r="CF46" i="5"/>
  <c r="DL16" i="5"/>
  <c r="ES16" i="5" s="1"/>
  <c r="DM16" i="5"/>
  <c r="DO16" i="5" s="1"/>
  <c r="DN16" i="5"/>
  <c r="EN41" i="5"/>
  <c r="EK41" i="5"/>
  <c r="EM41" i="5" s="1"/>
  <c r="EL41" i="5"/>
  <c r="EJ41" i="5"/>
  <c r="EU41" i="5" s="1"/>
  <c r="BW48" i="4"/>
  <c r="CD48" i="4"/>
  <c r="BV48" i="4"/>
  <c r="CM48" i="4"/>
  <c r="CO48" i="4"/>
  <c r="BU48" i="4"/>
  <c r="BS48" i="4"/>
  <c r="BR48" i="4"/>
  <c r="BT48" i="4"/>
  <c r="CN48" i="4"/>
  <c r="CF48" i="4"/>
  <c r="CG48" i="4"/>
  <c r="CE48" i="4"/>
  <c r="BK41" i="4"/>
  <c r="DZ32" i="5"/>
  <c r="EB32" i="5"/>
  <c r="DY32" i="5"/>
  <c r="EA32" i="5" s="1"/>
  <c r="DX32" i="5"/>
  <c r="ET32" i="5" s="1"/>
  <c r="BC34" i="4"/>
  <c r="DP35" i="4"/>
  <c r="DN35" i="4"/>
  <c r="DM35" i="4"/>
  <c r="DO35" i="4" s="1"/>
  <c r="DL35" i="4"/>
  <c r="ES35" i="4" s="1"/>
  <c r="BK13" i="5"/>
  <c r="BJ13" i="5"/>
  <c r="DB25" i="5"/>
  <c r="DA25" i="5"/>
  <c r="DC25" i="5" s="1"/>
  <c r="CZ25" i="5"/>
  <c r="ER25" i="5" s="1"/>
  <c r="DY38" i="4"/>
  <c r="EA38" i="4" s="1"/>
  <c r="DX38" i="4"/>
  <c r="ET38" i="4" s="1"/>
  <c r="DZ38" i="4"/>
  <c r="EB38" i="4"/>
  <c r="CO42" i="5"/>
  <c r="CE42" i="5"/>
  <c r="BU42" i="5"/>
  <c r="BR42" i="5"/>
  <c r="BW42" i="5"/>
  <c r="CM42" i="5"/>
  <c r="CN42" i="5"/>
  <c r="CG42" i="5"/>
  <c r="BT42" i="5"/>
  <c r="BV42" i="5"/>
  <c r="CF42" i="5"/>
  <c r="CD42" i="5"/>
  <c r="BS42" i="5"/>
  <c r="DD36" i="4"/>
  <c r="DA36" i="4"/>
  <c r="DC36" i="4" s="1"/>
  <c r="DB36" i="4"/>
  <c r="CZ36" i="4"/>
  <c r="ER36" i="4" s="1"/>
  <c r="BK46" i="5"/>
  <c r="BJ46" i="5"/>
  <c r="BK47" i="5"/>
  <c r="CN10" i="5"/>
  <c r="CQ10" i="5" s="1"/>
  <c r="CM10" i="5"/>
  <c r="CF10" i="5"/>
  <c r="CI10" i="5" s="1"/>
  <c r="CE10" i="5"/>
  <c r="CD10" i="5"/>
  <c r="BU10" i="5"/>
  <c r="CG10" i="5"/>
  <c r="BT10" i="5"/>
  <c r="CO10" i="5"/>
  <c r="BK50" i="4"/>
  <c r="BJ50" i="4"/>
  <c r="CE11" i="4"/>
  <c r="CM11" i="4"/>
  <c r="CF11" i="4"/>
  <c r="CI11" i="4" s="1"/>
  <c r="CD11" i="4"/>
  <c r="CN11" i="4"/>
  <c r="CQ11" i="4" s="1"/>
  <c r="DA21" i="4"/>
  <c r="DC21" i="4" s="1"/>
  <c r="DB21" i="4"/>
  <c r="CZ21" i="4"/>
  <c r="ER21" i="4" s="1"/>
  <c r="DD42" i="4"/>
  <c r="DA42" i="4"/>
  <c r="DC42" i="4" s="1"/>
  <c r="DB42" i="4"/>
  <c r="CZ42" i="4"/>
  <c r="ER42" i="4" s="1"/>
  <c r="BC22" i="5"/>
  <c r="BJ22" i="5"/>
  <c r="BK22" i="5"/>
  <c r="EN43" i="5"/>
  <c r="EL43" i="5"/>
  <c r="EJ43" i="5"/>
  <c r="EU43" i="5" s="1"/>
  <c r="EK43" i="5"/>
  <c r="EM43" i="5" s="1"/>
  <c r="DP49" i="4"/>
  <c r="DL49" i="4"/>
  <c r="ES49" i="4" s="1"/>
  <c r="DM49" i="4"/>
  <c r="DO49" i="4" s="1"/>
  <c r="DN49" i="4"/>
  <c r="EK47" i="4"/>
  <c r="EM47" i="4" s="1"/>
  <c r="EN47" i="4"/>
  <c r="EJ47" i="4"/>
  <c r="EU47" i="4" s="1"/>
  <c r="EL47" i="4"/>
  <c r="CO17" i="5"/>
  <c r="CE17" i="5"/>
  <c r="BU17" i="5"/>
  <c r="CD17" i="5"/>
  <c r="CN17" i="5"/>
  <c r="CG17" i="5"/>
  <c r="CM17" i="5"/>
  <c r="CF17" i="5"/>
  <c r="BT17" i="5"/>
  <c r="EN29" i="4"/>
  <c r="EK29" i="4"/>
  <c r="EM29" i="4" s="1"/>
  <c r="EJ29" i="4"/>
  <c r="EU29" i="4" s="1"/>
  <c r="EL29" i="4"/>
  <c r="BK25" i="4"/>
  <c r="DB21" i="5"/>
  <c r="DA21" i="5"/>
  <c r="DC21" i="5" s="1"/>
  <c r="CZ21" i="5"/>
  <c r="ER21" i="5" s="1"/>
  <c r="EB50" i="5"/>
  <c r="DZ50" i="5"/>
  <c r="DY50" i="5"/>
  <c r="EA50" i="5" s="1"/>
  <c r="DX50" i="5"/>
  <c r="ET50" i="5" s="1"/>
  <c r="BK49" i="4"/>
  <c r="DL31" i="5"/>
  <c r="ES31" i="5" s="1"/>
  <c r="DP31" i="5"/>
  <c r="DN31" i="5"/>
  <c r="DM31" i="5"/>
  <c r="DO31" i="5" s="1"/>
  <c r="BK22" i="4"/>
  <c r="DZ43" i="4"/>
  <c r="DY43" i="4"/>
  <c r="EA43" i="4" s="1"/>
  <c r="DX43" i="4"/>
  <c r="ET43" i="4" s="1"/>
  <c r="EB43" i="4"/>
  <c r="BT35" i="4"/>
  <c r="CG35" i="4"/>
  <c r="BR35" i="4"/>
  <c r="CN35" i="4"/>
  <c r="CQ35" i="4" s="1"/>
  <c r="CD35" i="4"/>
  <c r="BS35" i="4"/>
  <c r="BV35" i="4"/>
  <c r="CM35" i="4"/>
  <c r="CO35" i="4"/>
  <c r="BW35" i="4"/>
  <c r="CF35" i="4"/>
  <c r="CE35" i="4"/>
  <c r="BU35" i="4"/>
  <c r="BW38" i="5"/>
  <c r="CO38" i="5"/>
  <c r="CG38" i="5"/>
  <c r="BS38" i="5"/>
  <c r="BU38" i="5"/>
  <c r="CN38" i="5"/>
  <c r="BR38" i="5"/>
  <c r="CE38" i="5"/>
  <c r="CM38" i="5"/>
  <c r="BV38" i="5"/>
  <c r="CF38" i="5"/>
  <c r="BT38" i="5"/>
  <c r="CD38" i="5"/>
  <c r="DA8" i="5"/>
  <c r="DC8" i="5" s="1"/>
  <c r="DB8" i="5"/>
  <c r="CZ8" i="5"/>
  <c r="ER8" i="5" s="1"/>
  <c r="BK43" i="5"/>
  <c r="BK9" i="5"/>
  <c r="BJ9" i="5"/>
  <c r="BC45" i="5"/>
  <c r="DD36" i="5"/>
  <c r="CZ36" i="5"/>
  <c r="ER36" i="5" s="1"/>
  <c r="DB36" i="5"/>
  <c r="DA36" i="5"/>
  <c r="DC36" i="5" s="1"/>
  <c r="BK17" i="5"/>
  <c r="DM20" i="4"/>
  <c r="DO20" i="4" s="1"/>
  <c r="DN20" i="4"/>
  <c r="DL20" i="4"/>
  <c r="ES20" i="4" s="1"/>
  <c r="DN15" i="5"/>
  <c r="DL15" i="5"/>
  <c r="ES15" i="5" s="1"/>
  <c r="DM15" i="5"/>
  <c r="DO15" i="5" s="1"/>
  <c r="DD33" i="5"/>
  <c r="CZ33" i="5"/>
  <c r="ER33" i="5" s="1"/>
  <c r="DA33" i="5"/>
  <c r="DC33" i="5" s="1"/>
  <c r="DB33" i="5"/>
  <c r="DC9" i="4"/>
  <c r="DB9" i="4"/>
  <c r="DD9" i="4" s="1"/>
  <c r="CZ10" i="4"/>
  <c r="ER10" i="4" s="1"/>
  <c r="DN9" i="4"/>
  <c r="DP9" i="4" s="1"/>
  <c r="DN11" i="5"/>
  <c r="BJ42" i="4"/>
  <c r="BB32" i="5"/>
  <c r="BJ39" i="5"/>
  <c r="AO10" i="5"/>
  <c r="BT9" i="4"/>
  <c r="CG9" i="4"/>
  <c r="BP7" i="4"/>
  <c r="BQ7" i="4"/>
  <c r="BP6" i="4"/>
  <c r="BQ6" i="4"/>
  <c r="BQ11" i="4"/>
  <c r="BP11" i="4"/>
  <c r="BP8" i="4"/>
  <c r="BQ8" i="4"/>
  <c r="BP10" i="4"/>
  <c r="BQ10" i="4"/>
  <c r="AN9" i="4" l="1"/>
  <c r="BJ37" i="5"/>
  <c r="BJ13" i="4"/>
  <c r="AO32" i="4"/>
  <c r="B31" i="9"/>
  <c r="BI11" i="4"/>
  <c r="AN28" i="5"/>
  <c r="BA11" i="4"/>
  <c r="BB11" i="4" s="1"/>
  <c r="CP10" i="5"/>
  <c r="BB32" i="4"/>
  <c r="DD22" i="5"/>
  <c r="BA27" i="4"/>
  <c r="BB27" i="4" s="1"/>
  <c r="DP24" i="5"/>
  <c r="DD25" i="5"/>
  <c r="DD26" i="5"/>
  <c r="DP22" i="5"/>
  <c r="BA28" i="5"/>
  <c r="BB28" i="5" s="1"/>
  <c r="DD26" i="4"/>
  <c r="DP23" i="4"/>
  <c r="DD22" i="4"/>
  <c r="DP22" i="4"/>
  <c r="DD27" i="4"/>
  <c r="DD27" i="5"/>
  <c r="AO26" i="4"/>
  <c r="AN35" i="5"/>
  <c r="DD24" i="5"/>
  <c r="AN33" i="4"/>
  <c r="DD23" i="4"/>
  <c r="DD24" i="4"/>
  <c r="DD23" i="5"/>
  <c r="DP25" i="5"/>
  <c r="AO30" i="4"/>
  <c r="DP27" i="4"/>
  <c r="DP25" i="4"/>
  <c r="DP26" i="5"/>
  <c r="DD25" i="4"/>
  <c r="DP26" i="4"/>
  <c r="DP27" i="5"/>
  <c r="BB21" i="5"/>
  <c r="DP11" i="4"/>
  <c r="BJ26" i="4"/>
  <c r="DP8" i="4"/>
  <c r="DP6" i="4"/>
  <c r="BB40" i="4"/>
  <c r="BJ43" i="5"/>
  <c r="BI32" i="4"/>
  <c r="BJ32" i="4" s="1"/>
  <c r="BA49" i="5"/>
  <c r="BB49" i="5" s="1"/>
  <c r="AO25" i="4"/>
  <c r="BI47" i="4"/>
  <c r="BJ47" i="4" s="1"/>
  <c r="BI17" i="4"/>
  <c r="BJ17" i="4" s="1"/>
  <c r="AN8" i="5"/>
  <c r="BA18" i="5"/>
  <c r="BB18" i="5" s="1"/>
  <c r="AO16" i="4"/>
  <c r="AO45" i="4"/>
  <c r="BA41" i="5"/>
  <c r="BB41" i="5" s="1"/>
  <c r="AO11" i="4"/>
  <c r="AO15" i="4"/>
  <c r="AN7" i="5"/>
  <c r="AO9" i="4"/>
  <c r="BI27" i="4"/>
  <c r="BJ27" i="4" s="1"/>
  <c r="BA44" i="5"/>
  <c r="BB44" i="5" s="1"/>
  <c r="AN38" i="5"/>
  <c r="BA23" i="5"/>
  <c r="BB23" i="5" s="1"/>
  <c r="AN6" i="5"/>
  <c r="BI46" i="4"/>
  <c r="BJ46" i="4" s="1"/>
  <c r="BI14" i="4"/>
  <c r="BJ14" i="4" s="1"/>
  <c r="AO12" i="4"/>
  <c r="AN42" i="5"/>
  <c r="AO48" i="4"/>
  <c r="AN31" i="5"/>
  <c r="BA24" i="5"/>
  <c r="BB24" i="5" s="1"/>
  <c r="BA43" i="5"/>
  <c r="BB43" i="5" s="1"/>
  <c r="BI25" i="4"/>
  <c r="BJ25" i="4" s="1"/>
  <c r="AO6" i="5"/>
  <c r="R20" i="5" s="1"/>
  <c r="BJ6" i="5"/>
  <c r="BJ48" i="4"/>
  <c r="BI15" i="4"/>
  <c r="BJ15" i="4" s="1"/>
  <c r="BB30" i="4"/>
  <c r="CO21" i="4"/>
  <c r="BB33" i="4"/>
  <c r="BA25" i="4"/>
  <c r="BB25" i="4" s="1"/>
  <c r="BJ31" i="5"/>
  <c r="BA6" i="5"/>
  <c r="BB6" i="5" s="1"/>
  <c r="BJ40" i="4"/>
  <c r="BA17" i="4"/>
  <c r="BB17" i="4" s="1"/>
  <c r="AN17" i="4"/>
  <c r="DD18" i="4"/>
  <c r="BJ30" i="4"/>
  <c r="AN18" i="5"/>
  <c r="BB31" i="5"/>
  <c r="BB15" i="4"/>
  <c r="CG16" i="4"/>
  <c r="CH16" i="4" s="1"/>
  <c r="AN24" i="5"/>
  <c r="BB45" i="4"/>
  <c r="BB14" i="4"/>
  <c r="BJ18" i="5"/>
  <c r="BJ44" i="5"/>
  <c r="BB38" i="5"/>
  <c r="BJ38" i="5"/>
  <c r="AN23" i="5"/>
  <c r="BI8" i="5"/>
  <c r="BJ8" i="5" s="1"/>
  <c r="DP19" i="5"/>
  <c r="DP20" i="5"/>
  <c r="DD16" i="4"/>
  <c r="BT17" i="4"/>
  <c r="CG13" i="4"/>
  <c r="CH13" i="4" s="1"/>
  <c r="CO19" i="4"/>
  <c r="CP19" i="4" s="1"/>
  <c r="BA13" i="4"/>
  <c r="BB13" i="4" s="1"/>
  <c r="DP17" i="4"/>
  <c r="BA7" i="5"/>
  <c r="BB7" i="5" s="1"/>
  <c r="BI9" i="4"/>
  <c r="BJ9" i="4" s="1"/>
  <c r="BJ42" i="5"/>
  <c r="BJ34" i="5"/>
  <c r="BB36" i="4"/>
  <c r="BG51" i="5"/>
  <c r="DD21" i="5"/>
  <c r="BC48" i="4"/>
  <c r="DP16" i="4"/>
  <c r="BI16" i="4"/>
  <c r="BJ16" i="4" s="1"/>
  <c r="AY51" i="4"/>
  <c r="BB26" i="4"/>
  <c r="DP21" i="5"/>
  <c r="DP18" i="4"/>
  <c r="DP18" i="5"/>
  <c r="BC17" i="4"/>
  <c r="DD19" i="5"/>
  <c r="DD17" i="5"/>
  <c r="BJ36" i="4"/>
  <c r="BE11" i="5"/>
  <c r="R9" i="5" s="1"/>
  <c r="BC16" i="4"/>
  <c r="BJ28" i="5"/>
  <c r="BJ39" i="4"/>
  <c r="BB47" i="4"/>
  <c r="BJ7" i="5"/>
  <c r="BB42" i="5"/>
  <c r="BE11" i="4"/>
  <c r="R9" i="4" s="1"/>
  <c r="BJ11" i="4"/>
  <c r="BJ23" i="5"/>
  <c r="DD20" i="5"/>
  <c r="DD16" i="5"/>
  <c r="AN14" i="4"/>
  <c r="BM11" i="5"/>
  <c r="R22" i="5" s="1"/>
  <c r="DD21" i="4"/>
  <c r="DD20" i="4"/>
  <c r="BC40" i="4"/>
  <c r="BB12" i="4"/>
  <c r="BG51" i="4"/>
  <c r="DD18" i="5"/>
  <c r="DP21" i="4"/>
  <c r="DD19" i="4"/>
  <c r="BC39" i="4"/>
  <c r="AZ51" i="5"/>
  <c r="DD17" i="4"/>
  <c r="DP17" i="5"/>
  <c r="BJ24" i="5"/>
  <c r="AY51" i="5"/>
  <c r="DP20" i="4"/>
  <c r="DP16" i="5"/>
  <c r="DP19" i="4"/>
  <c r="BA8" i="5"/>
  <c r="BB8" i="5" s="1"/>
  <c r="BI12" i="4"/>
  <c r="BJ12" i="4" s="1"/>
  <c r="BC32" i="4"/>
  <c r="BM11" i="4"/>
  <c r="R22" i="4" s="1"/>
  <c r="AZ51" i="4"/>
  <c r="BB9" i="4"/>
  <c r="BH51" i="4"/>
  <c r="BH51" i="5"/>
  <c r="BK24" i="5"/>
  <c r="BK51" i="5" s="1"/>
  <c r="DP14" i="5"/>
  <c r="BT12" i="4"/>
  <c r="BU14" i="4"/>
  <c r="BT15" i="4"/>
  <c r="DP13" i="4"/>
  <c r="DP12" i="4"/>
  <c r="DD13" i="5"/>
  <c r="DP14" i="4"/>
  <c r="DD13" i="4"/>
  <c r="DD14" i="5"/>
  <c r="DD15" i="5"/>
  <c r="DP15" i="5"/>
  <c r="DP15" i="4"/>
  <c r="DD15" i="4"/>
  <c r="DP13" i="5"/>
  <c r="DD14" i="4"/>
  <c r="DD12" i="4"/>
  <c r="DD12" i="5"/>
  <c r="DP12" i="5"/>
  <c r="CP28" i="4"/>
  <c r="T21" i="4"/>
  <c r="CP47" i="4"/>
  <c r="DF6" i="4"/>
  <c r="T16" i="4" s="1"/>
  <c r="DD7" i="4"/>
  <c r="CH24" i="5"/>
  <c r="CP9" i="4"/>
  <c r="CH25" i="5"/>
  <c r="CH9" i="4"/>
  <c r="CP35" i="4"/>
  <c r="DR6" i="4"/>
  <c r="T29" i="4" s="1"/>
  <c r="CH7" i="5"/>
  <c r="T7" i="4"/>
  <c r="T20" i="4"/>
  <c r="DD9" i="5"/>
  <c r="CP32" i="5"/>
  <c r="CH10" i="5"/>
  <c r="CH9" i="5"/>
  <c r="CP41" i="4"/>
  <c r="CP46" i="5"/>
  <c r="CQ46" i="5"/>
  <c r="CI14" i="5"/>
  <c r="CH14" i="5"/>
  <c r="CP24" i="5"/>
  <c r="CQ24" i="5"/>
  <c r="CQ43" i="5"/>
  <c r="CP43" i="5"/>
  <c r="CQ48" i="5"/>
  <c r="CP48" i="5"/>
  <c r="CH31" i="4"/>
  <c r="CI31" i="4"/>
  <c r="CI48" i="4"/>
  <c r="CH48" i="4"/>
  <c r="CQ43" i="4"/>
  <c r="CP43" i="4"/>
  <c r="CQ41" i="5"/>
  <c r="CP41" i="5"/>
  <c r="CI44" i="4"/>
  <c r="CH44" i="4"/>
  <c r="CQ19" i="5"/>
  <c r="CP19" i="5"/>
  <c r="T21" i="5"/>
  <c r="T20" i="5"/>
  <c r="CH18" i="5"/>
  <c r="CI18" i="5"/>
  <c r="CH50" i="5"/>
  <c r="CI50" i="5"/>
  <c r="CS11" i="5"/>
  <c r="S22" i="5" s="1"/>
  <c r="CK11" i="5"/>
  <c r="S9" i="5" s="1"/>
  <c r="CH43" i="4"/>
  <c r="CI43" i="4"/>
  <c r="CH12" i="5"/>
  <c r="CI12" i="5"/>
  <c r="CH37" i="5"/>
  <c r="CI37" i="5"/>
  <c r="CH29" i="5"/>
  <c r="CI29" i="5"/>
  <c r="CH40" i="4"/>
  <c r="CI40" i="4"/>
  <c r="CH12" i="4"/>
  <c r="CI12" i="4"/>
  <c r="CH23" i="5"/>
  <c r="CI23" i="5"/>
  <c r="CH19" i="4"/>
  <c r="CI19" i="4"/>
  <c r="S19" i="5"/>
  <c r="S20" i="5"/>
  <c r="S21" i="5"/>
  <c r="CI26" i="5"/>
  <c r="CH26" i="5"/>
  <c r="CI42" i="4"/>
  <c r="CH42" i="4"/>
  <c r="CH48" i="5"/>
  <c r="CI48" i="5"/>
  <c r="CP30" i="5"/>
  <c r="CQ30" i="5"/>
  <c r="CQ20" i="5"/>
  <c r="CP20" i="5"/>
  <c r="CQ36" i="5"/>
  <c r="CP36" i="5"/>
  <c r="CP40" i="5"/>
  <c r="CQ40" i="5"/>
  <c r="CI33" i="5"/>
  <c r="CH33" i="5"/>
  <c r="T19" i="5"/>
  <c r="CM51" i="5"/>
  <c r="CM51" i="4"/>
  <c r="DF6" i="5"/>
  <c r="T16" i="5" s="1"/>
  <c r="CE51" i="4"/>
  <c r="CP13" i="5"/>
  <c r="T8" i="4"/>
  <c r="DP11" i="5"/>
  <c r="DD6" i="5"/>
  <c r="DP8" i="5"/>
  <c r="CP38" i="4"/>
  <c r="BK51" i="4"/>
  <c r="CP20" i="4"/>
  <c r="DP10" i="5"/>
  <c r="CH47" i="5"/>
  <c r="CI47" i="5"/>
  <c r="CQ22" i="4"/>
  <c r="CP22" i="4"/>
  <c r="CI41" i="5"/>
  <c r="CH41" i="5"/>
  <c r="CI27" i="5"/>
  <c r="CH27" i="5"/>
  <c r="CI16" i="4"/>
  <c r="T8" i="5"/>
  <c r="T7" i="5"/>
  <c r="T6" i="5"/>
  <c r="CH43" i="5"/>
  <c r="CI43" i="5"/>
  <c r="CH50" i="4"/>
  <c r="CI50" i="4"/>
  <c r="CH41" i="4"/>
  <c r="CI41" i="4"/>
  <c r="CP38" i="5"/>
  <c r="CQ38" i="5"/>
  <c r="CI13" i="4"/>
  <c r="CQ14" i="5"/>
  <c r="CP14" i="5"/>
  <c r="CI17" i="4"/>
  <c r="CH17" i="4"/>
  <c r="CH38" i="4"/>
  <c r="CI38" i="4"/>
  <c r="CI37" i="4"/>
  <c r="CH37" i="4"/>
  <c r="CI24" i="4"/>
  <c r="CH24" i="4"/>
  <c r="CI45" i="4"/>
  <c r="CH45" i="4"/>
  <c r="CQ45" i="4"/>
  <c r="CP45" i="4"/>
  <c r="CQ32" i="4"/>
  <c r="CP32" i="4"/>
  <c r="CQ25" i="5"/>
  <c r="CP25" i="5"/>
  <c r="CQ19" i="4"/>
  <c r="CQ35" i="5"/>
  <c r="CP35" i="5"/>
  <c r="CI16" i="5"/>
  <c r="CH16" i="5"/>
  <c r="CP12" i="5"/>
  <c r="CQ12" i="5"/>
  <c r="CI21" i="4"/>
  <c r="CH21" i="4"/>
  <c r="CI19" i="5"/>
  <c r="CH19" i="5"/>
  <c r="CP15" i="5"/>
  <c r="CQ15" i="5"/>
  <c r="CN51" i="4"/>
  <c r="CQ6" i="4"/>
  <c r="CH13" i="5"/>
  <c r="CI13" i="5"/>
  <c r="CI32" i="4"/>
  <c r="CH32" i="4"/>
  <c r="CH30" i="5"/>
  <c r="CI30" i="5"/>
  <c r="CI36" i="4"/>
  <c r="CH36" i="4"/>
  <c r="CI15" i="4"/>
  <c r="CH15" i="4"/>
  <c r="T19" i="4"/>
  <c r="BC51" i="5"/>
  <c r="CP46" i="4"/>
  <c r="BU9" i="4"/>
  <c r="T6" i="4"/>
  <c r="DD7" i="5"/>
  <c r="CH21" i="5"/>
  <c r="CO51" i="5"/>
  <c r="CQ50" i="5"/>
  <c r="CP50" i="5"/>
  <c r="CQ31" i="5"/>
  <c r="CP31" i="5"/>
  <c r="CP39" i="4"/>
  <c r="CQ39" i="4"/>
  <c r="CI15" i="5"/>
  <c r="CH15" i="5"/>
  <c r="CP27" i="5"/>
  <c r="CQ27" i="5"/>
  <c r="CQ34" i="5"/>
  <c r="CP34" i="5"/>
  <c r="CI46" i="4"/>
  <c r="CH46" i="4"/>
  <c r="CP23" i="4"/>
  <c r="CQ23" i="4"/>
  <c r="CP15" i="4"/>
  <c r="CQ15" i="4"/>
  <c r="CH26" i="4"/>
  <c r="CI26" i="4"/>
  <c r="CH27" i="4"/>
  <c r="CI27" i="4"/>
  <c r="CQ21" i="4"/>
  <c r="CP21" i="4"/>
  <c r="CP8" i="5"/>
  <c r="CQ8" i="5"/>
  <c r="CP29" i="4"/>
  <c r="CQ29" i="4"/>
  <c r="CP31" i="4"/>
  <c r="CQ31" i="4"/>
  <c r="CH23" i="4"/>
  <c r="CI23" i="4"/>
  <c r="CQ44" i="5"/>
  <c r="CP44" i="5"/>
  <c r="CH33" i="4"/>
  <c r="CI33" i="4"/>
  <c r="CQ49" i="4"/>
  <c r="CP49" i="4"/>
  <c r="CH35" i="4"/>
  <c r="CI35" i="4"/>
  <c r="CQ17" i="5"/>
  <c r="CP17" i="5"/>
  <c r="CI42" i="5"/>
  <c r="CH42" i="5"/>
  <c r="CQ13" i="4"/>
  <c r="CP13" i="4"/>
  <c r="CH18" i="4"/>
  <c r="CI18" i="4"/>
  <c r="CF51" i="4"/>
  <c r="CI6" i="4"/>
  <c r="CQ36" i="4"/>
  <c r="CP36" i="4"/>
  <c r="CI40" i="5"/>
  <c r="CH40" i="5"/>
  <c r="CH35" i="5"/>
  <c r="CI35" i="5"/>
  <c r="CH22" i="4"/>
  <c r="CI22" i="4"/>
  <c r="CQ27" i="4"/>
  <c r="CP27" i="4"/>
  <c r="S8" i="5"/>
  <c r="S6" i="5"/>
  <c r="S7" i="5"/>
  <c r="CP37" i="4"/>
  <c r="CQ37" i="4"/>
  <c r="CH14" i="4"/>
  <c r="CI14" i="4"/>
  <c r="CH17" i="5"/>
  <c r="CI17" i="5"/>
  <c r="CQ42" i="5"/>
  <c r="CP42" i="5"/>
  <c r="CI46" i="5"/>
  <c r="CH46" i="5"/>
  <c r="CQ24" i="4"/>
  <c r="CP24" i="4"/>
  <c r="CQ21" i="5"/>
  <c r="CP21" i="5"/>
  <c r="CP37" i="5"/>
  <c r="CQ37" i="5"/>
  <c r="CQ26" i="4"/>
  <c r="CP26" i="4"/>
  <c r="CQ45" i="5"/>
  <c r="CP45" i="5"/>
  <c r="CQ22" i="5"/>
  <c r="CP22" i="5"/>
  <c r="CI28" i="4"/>
  <c r="CH28" i="4"/>
  <c r="CQ34" i="4"/>
  <c r="CP34" i="4"/>
  <c r="CI6" i="5"/>
  <c r="CF51" i="5"/>
  <c r="CH6" i="5"/>
  <c r="CQ17" i="4"/>
  <c r="CP17" i="4"/>
  <c r="CH31" i="5"/>
  <c r="CI31" i="5"/>
  <c r="CQ18" i="4"/>
  <c r="CP18" i="4"/>
  <c r="CQ42" i="4"/>
  <c r="CP42" i="4"/>
  <c r="CQ12" i="4"/>
  <c r="CP12" i="4"/>
  <c r="CH20" i="4"/>
  <c r="CI20" i="4"/>
  <c r="CQ50" i="4"/>
  <c r="CP50" i="4"/>
  <c r="CH28" i="5"/>
  <c r="CI28" i="5"/>
  <c r="CI34" i="5"/>
  <c r="CH34" i="5"/>
  <c r="CI30" i="4"/>
  <c r="CH30" i="4"/>
  <c r="CH44" i="5"/>
  <c r="CI44" i="5"/>
  <c r="CQ39" i="5"/>
  <c r="CP39" i="5"/>
  <c r="CI49" i="4"/>
  <c r="CH49" i="4"/>
  <c r="CQ14" i="4"/>
  <c r="CP14" i="4"/>
  <c r="CE51" i="5"/>
  <c r="DR6" i="5"/>
  <c r="T29" i="5" s="1"/>
  <c r="CP44" i="4"/>
  <c r="DP6" i="5"/>
  <c r="DD11" i="5"/>
  <c r="CP9" i="5"/>
  <c r="CG51" i="5"/>
  <c r="CH8" i="5"/>
  <c r="CP49" i="5"/>
  <c r="DD10" i="5"/>
  <c r="CQ48" i="4"/>
  <c r="CP48" i="4"/>
  <c r="CQ16" i="5"/>
  <c r="CP16" i="5"/>
  <c r="CQ16" i="4"/>
  <c r="CP16" i="4"/>
  <c r="CI45" i="5"/>
  <c r="CH45" i="5"/>
  <c r="CH47" i="4"/>
  <c r="CI47" i="4"/>
  <c r="CQ30" i="4"/>
  <c r="CP30" i="4"/>
  <c r="CQ33" i="5"/>
  <c r="CP33" i="5"/>
  <c r="CP11" i="5"/>
  <c r="CQ11" i="5"/>
  <c r="CQ40" i="4"/>
  <c r="CP40" i="4"/>
  <c r="CQ26" i="5"/>
  <c r="CP26" i="5"/>
  <c r="CQ33" i="4"/>
  <c r="CP33" i="4"/>
  <c r="CQ18" i="5"/>
  <c r="CP18" i="5"/>
  <c r="CI20" i="5"/>
  <c r="CH20" i="5"/>
  <c r="CI38" i="5"/>
  <c r="CH38" i="5"/>
  <c r="CI22" i="5"/>
  <c r="CH22" i="5"/>
  <c r="CH34" i="4"/>
  <c r="CI34" i="4"/>
  <c r="CQ29" i="5"/>
  <c r="CP29" i="5"/>
  <c r="CQ6" i="5"/>
  <c r="CN51" i="5"/>
  <c r="CP6" i="5"/>
  <c r="CH49" i="5"/>
  <c r="CI49" i="5"/>
  <c r="CH11" i="5"/>
  <c r="CI11" i="5"/>
  <c r="CI29" i="4"/>
  <c r="CH29" i="4"/>
  <c r="CQ23" i="5"/>
  <c r="CP23" i="5"/>
  <c r="CI32" i="5"/>
  <c r="CH32" i="5"/>
  <c r="CQ28" i="5"/>
  <c r="CP28" i="5"/>
  <c r="CI36" i="5"/>
  <c r="CH36" i="5"/>
  <c r="CH25" i="4"/>
  <c r="CI25" i="4"/>
  <c r="CH39" i="5"/>
  <c r="CI39" i="5"/>
  <c r="DP9" i="5"/>
  <c r="CP7" i="5"/>
  <c r="DD8" i="5"/>
  <c r="CP47" i="5"/>
  <c r="DP7" i="5"/>
  <c r="CH39" i="4"/>
  <c r="CP25" i="4"/>
  <c r="BT11" i="4"/>
  <c r="CG11" i="4"/>
  <c r="CH11" i="4" s="1"/>
  <c r="CG8" i="4"/>
  <c r="CH8" i="4" s="1"/>
  <c r="BT8" i="4"/>
  <c r="BT6" i="4"/>
  <c r="CG6" i="4"/>
  <c r="CK11" i="4"/>
  <c r="S9" i="4" s="1"/>
  <c r="CO8" i="4"/>
  <c r="CP8" i="4" s="1"/>
  <c r="BU8" i="4"/>
  <c r="CS11" i="4"/>
  <c r="S22" i="4" s="1"/>
  <c r="CO6" i="4"/>
  <c r="BU6" i="4"/>
  <c r="CG7" i="4"/>
  <c r="CH7" i="4" s="1"/>
  <c r="BT7" i="4"/>
  <c r="BU7" i="4"/>
  <c r="CO7" i="4"/>
  <c r="CP7" i="4" s="1"/>
  <c r="BT10" i="4"/>
  <c r="CG10" i="4"/>
  <c r="CH10" i="4" s="1"/>
  <c r="BU10" i="4"/>
  <c r="CO10" i="4"/>
  <c r="CP10" i="4" s="1"/>
  <c r="BU11" i="4"/>
  <c r="CO11" i="4"/>
  <c r="CP11" i="4" s="1"/>
  <c r="R19" i="5" l="1"/>
  <c r="R21" i="5"/>
  <c r="R21" i="4"/>
  <c r="AU10" i="1" s="1"/>
  <c r="BB10" i="1" s="1"/>
  <c r="R20" i="4"/>
  <c r="A3" i="7" s="1"/>
  <c r="B3" i="7" s="1"/>
  <c r="A5" i="10" s="1"/>
  <c r="F3" i="10" s="1"/>
  <c r="R19" i="4"/>
  <c r="AU8" i="1" s="1"/>
  <c r="BB8" i="1" s="1"/>
  <c r="D27" i="7"/>
  <c r="E27" i="7" s="1"/>
  <c r="A29" i="11" s="1"/>
  <c r="AD3" i="11" s="1"/>
  <c r="AY9" i="1"/>
  <c r="BE9" i="1" s="1"/>
  <c r="D13" i="7"/>
  <c r="E13" i="7" s="1"/>
  <c r="A15" i="11" s="1"/>
  <c r="P3" i="11" s="1"/>
  <c r="AV19" i="1"/>
  <c r="BC19" i="1" s="1"/>
  <c r="D11" i="7"/>
  <c r="E11" i="7" s="1"/>
  <c r="A13" i="11" s="1"/>
  <c r="N3" i="11" s="1"/>
  <c r="AV17" i="1"/>
  <c r="BC17" i="1" s="1"/>
  <c r="D14" i="7"/>
  <c r="E14" i="7" s="1"/>
  <c r="A16" i="11" s="1"/>
  <c r="Q3" i="11" s="1"/>
  <c r="AV20" i="1"/>
  <c r="BC20" i="1" s="1"/>
  <c r="A27" i="7"/>
  <c r="B27" i="7" s="1"/>
  <c r="A29" i="10" s="1"/>
  <c r="AD3" i="10" s="1"/>
  <c r="AX9" i="1"/>
  <c r="BD9" i="1" s="1"/>
  <c r="D12" i="7"/>
  <c r="E12" i="7" s="1"/>
  <c r="A14" i="11" s="1"/>
  <c r="O3" i="11" s="1"/>
  <c r="AV18" i="1"/>
  <c r="BC18" i="1" s="1"/>
  <c r="A20" i="7"/>
  <c r="B20" i="7" s="1"/>
  <c r="A22" i="10" s="1"/>
  <c r="W3" i="10" s="1"/>
  <c r="AX8" i="1"/>
  <c r="BD8" i="1" s="1"/>
  <c r="A5" i="7"/>
  <c r="B5" i="7" s="1"/>
  <c r="A7" i="10" s="1"/>
  <c r="H3" i="10" s="1"/>
  <c r="AU11" i="1"/>
  <c r="BB11" i="1" s="1"/>
  <c r="D5" i="7"/>
  <c r="E5" i="7" s="1"/>
  <c r="A7" i="11" s="1"/>
  <c r="H3" i="11" s="1"/>
  <c r="AV11" i="1"/>
  <c r="BC11" i="1" s="1"/>
  <c r="D22" i="7"/>
  <c r="E22" i="7" s="1"/>
  <c r="A24" i="11" s="1"/>
  <c r="Y3" i="11" s="1"/>
  <c r="AY11" i="1"/>
  <c r="BE11" i="1" s="1"/>
  <c r="A21" i="7"/>
  <c r="B21" i="7" s="1"/>
  <c r="G21" i="7" s="1"/>
  <c r="A23" i="12" s="1"/>
  <c r="X3" i="12" s="1"/>
  <c r="AX10" i="1"/>
  <c r="BD10" i="1" s="1"/>
  <c r="A14" i="7"/>
  <c r="B14" i="7" s="1"/>
  <c r="A16" i="10" s="1"/>
  <c r="Q3" i="10" s="1"/>
  <c r="AU20" i="1"/>
  <c r="BB20" i="1" s="1"/>
  <c r="D21" i="7"/>
  <c r="E21" i="7" s="1"/>
  <c r="A23" i="11" s="1"/>
  <c r="X3" i="11" s="1"/>
  <c r="AY10" i="1"/>
  <c r="BE10" i="1" s="1"/>
  <c r="D20" i="7"/>
  <c r="E20" i="7" s="1"/>
  <c r="A22" i="11" s="1"/>
  <c r="W3" i="11" s="1"/>
  <c r="AY8" i="1"/>
  <c r="BE8" i="1" s="1"/>
  <c r="A22" i="7"/>
  <c r="B22" i="7" s="1"/>
  <c r="A24" i="10" s="1"/>
  <c r="Y3" i="10" s="1"/>
  <c r="AX11" i="1"/>
  <c r="BD11" i="1" s="1"/>
  <c r="R8" i="4"/>
  <c r="R8" i="5"/>
  <c r="BA51" i="4"/>
  <c r="R6" i="5"/>
  <c r="R7" i="5"/>
  <c r="BI51" i="5"/>
  <c r="BB51" i="5"/>
  <c r="BJ51" i="5"/>
  <c r="BB51" i="4"/>
  <c r="BC51" i="4"/>
  <c r="BE7" i="4" s="1"/>
  <c r="BE7" i="5"/>
  <c r="R7" i="4"/>
  <c r="R6" i="4"/>
  <c r="BA51" i="5"/>
  <c r="BM7" i="5"/>
  <c r="BI51" i="4"/>
  <c r="BJ51" i="4"/>
  <c r="BM7" i="4"/>
  <c r="DQ7" i="4"/>
  <c r="DQ9" i="4"/>
  <c r="DQ6" i="4"/>
  <c r="DQ8" i="4"/>
  <c r="DE8" i="4"/>
  <c r="DE9" i="4"/>
  <c r="DE6" i="4"/>
  <c r="DE7" i="4"/>
  <c r="DQ6" i="5"/>
  <c r="CI51" i="5"/>
  <c r="CK7" i="5" s="1"/>
  <c r="CI51" i="4"/>
  <c r="CK7" i="4" s="1"/>
  <c r="CQ51" i="4"/>
  <c r="CS7" i="4" s="1"/>
  <c r="DE6" i="5"/>
  <c r="DE7" i="5"/>
  <c r="DE9" i="5"/>
  <c r="DE8" i="5"/>
  <c r="CP51" i="5"/>
  <c r="CS6" i="5" s="1"/>
  <c r="DQ9" i="5"/>
  <c r="DQ8" i="5"/>
  <c r="DQ7" i="5"/>
  <c r="CQ51" i="5"/>
  <c r="CS7" i="5" s="1"/>
  <c r="CH51" i="5"/>
  <c r="CK6" i="5" s="1"/>
  <c r="S21" i="4"/>
  <c r="S19" i="4"/>
  <c r="S20" i="4"/>
  <c r="CG51" i="4"/>
  <c r="CH6" i="4"/>
  <c r="CH51" i="4" s="1"/>
  <c r="CO51" i="4"/>
  <c r="CP6" i="4"/>
  <c r="CP51" i="4" s="1"/>
  <c r="S6" i="4"/>
  <c r="S8" i="4"/>
  <c r="S7" i="4"/>
  <c r="AU9" i="1" l="1"/>
  <c r="BB9" i="1" s="1"/>
  <c r="K9" i="1" s="1"/>
  <c r="A4" i="7"/>
  <c r="B4" i="7" s="1"/>
  <c r="A6" i="10" s="1"/>
  <c r="G3" i="10" s="1"/>
  <c r="A2" i="7"/>
  <c r="B2" i="7" s="1"/>
  <c r="G2" i="7" s="1"/>
  <c r="A4" i="12" s="1"/>
  <c r="E3" i="12" s="1"/>
  <c r="L20" i="1"/>
  <c r="O9" i="1"/>
  <c r="K11" i="1"/>
  <c r="L19" i="1"/>
  <c r="O10" i="1"/>
  <c r="L11" i="1"/>
  <c r="K10" i="1"/>
  <c r="K8" i="1"/>
  <c r="O8" i="1"/>
  <c r="O11" i="1"/>
  <c r="L18" i="1"/>
  <c r="L17" i="1"/>
  <c r="N10" i="1"/>
  <c r="N8" i="1"/>
  <c r="N11" i="1"/>
  <c r="K20" i="1"/>
  <c r="N9" i="1"/>
  <c r="G47" i="7"/>
  <c r="A49" i="12" s="1"/>
  <c r="AX3" i="12" s="1"/>
  <c r="G48" i="7"/>
  <c r="A50" i="12" s="1"/>
  <c r="AY3" i="12" s="1"/>
  <c r="G56" i="7"/>
  <c r="A58" i="12" s="1"/>
  <c r="BG3" i="12" s="1"/>
  <c r="G20" i="7"/>
  <c r="A22" i="12" s="1"/>
  <c r="W3" i="12" s="1"/>
  <c r="G41" i="7"/>
  <c r="A43" i="12" s="1"/>
  <c r="AR3" i="12" s="1"/>
  <c r="G63" i="7"/>
  <c r="A65" i="12" s="1"/>
  <c r="BN3" i="12" s="1"/>
  <c r="G58" i="7"/>
  <c r="A60" i="12" s="1"/>
  <c r="BI3" i="12" s="1"/>
  <c r="G49" i="7"/>
  <c r="A51" i="12" s="1"/>
  <c r="AZ3" i="12" s="1"/>
  <c r="A23" i="10"/>
  <c r="X3" i="10" s="1"/>
  <c r="G57" i="7"/>
  <c r="A59" i="12" s="1"/>
  <c r="BH3" i="12" s="1"/>
  <c r="G3" i="7"/>
  <c r="A5" i="12" s="1"/>
  <c r="F3" i="12" s="1"/>
  <c r="G50" i="7"/>
  <c r="A52" i="12" s="1"/>
  <c r="BA3" i="12" s="1"/>
  <c r="A12" i="7"/>
  <c r="B12" i="7" s="1"/>
  <c r="G12" i="7" s="1"/>
  <c r="A14" i="12" s="1"/>
  <c r="O3" i="12" s="1"/>
  <c r="AU18" i="1"/>
  <c r="BB18" i="1" s="1"/>
  <c r="D2" i="7"/>
  <c r="E2" i="7" s="1"/>
  <c r="A4" i="11" s="1"/>
  <c r="E3" i="11" s="1"/>
  <c r="AV8" i="1"/>
  <c r="BC8" i="1" s="1"/>
  <c r="D3" i="7"/>
  <c r="E3" i="7" s="1"/>
  <c r="A5" i="11" s="1"/>
  <c r="F3" i="11" s="1"/>
  <c r="AV9" i="1"/>
  <c r="BC9" i="1" s="1"/>
  <c r="A13" i="7"/>
  <c r="B13" i="7" s="1"/>
  <c r="A15" i="10" s="1"/>
  <c r="P3" i="10" s="1"/>
  <c r="AU19" i="1"/>
  <c r="BB19" i="1" s="1"/>
  <c r="G22" i="7"/>
  <c r="A24" i="12" s="1"/>
  <c r="Y3" i="12" s="1"/>
  <c r="G14" i="7"/>
  <c r="A16" i="12" s="1"/>
  <c r="Q3" i="12" s="1"/>
  <c r="G5" i="7"/>
  <c r="A7" i="12" s="1"/>
  <c r="H3" i="12" s="1"/>
  <c r="G27" i="7"/>
  <c r="A29" i="12" s="1"/>
  <c r="AD3" i="12" s="1"/>
  <c r="A11" i="7"/>
  <c r="B11" i="7" s="1"/>
  <c r="A13" i="10" s="1"/>
  <c r="N3" i="10" s="1"/>
  <c r="AU17" i="1"/>
  <c r="BB17" i="1" s="1"/>
  <c r="D4" i="7"/>
  <c r="E4" i="7" s="1"/>
  <c r="A6" i="11" s="1"/>
  <c r="G3" i="11" s="1"/>
  <c r="AV10" i="1"/>
  <c r="BC10" i="1" s="1"/>
  <c r="BE6" i="4"/>
  <c r="BE9" i="4" s="1"/>
  <c r="AT6" i="4" s="1"/>
  <c r="AT7" i="4" s="1"/>
  <c r="AT8" i="4" s="1"/>
  <c r="AT9" i="4" s="1"/>
  <c r="AT10" i="4" s="1"/>
  <c r="R10" i="4" s="1"/>
  <c r="BM6" i="5"/>
  <c r="BM9" i="5" s="1"/>
  <c r="BM8" i="5" s="1"/>
  <c r="BM10" i="5" s="1"/>
  <c r="AW6" i="5" s="1"/>
  <c r="AW7" i="5" s="1"/>
  <c r="BE6" i="5"/>
  <c r="BE9" i="5" s="1"/>
  <c r="AT6" i="5" s="1"/>
  <c r="AT7" i="5" s="1"/>
  <c r="AT8" i="5" s="1"/>
  <c r="AT9" i="5" s="1"/>
  <c r="AT10" i="5" s="1"/>
  <c r="R10" i="5" s="1"/>
  <c r="BM6" i="4"/>
  <c r="BM9" i="4" s="1"/>
  <c r="AV6" i="4" s="1"/>
  <c r="AV7" i="4" s="1"/>
  <c r="AV8" i="4" s="1"/>
  <c r="AV9" i="4" s="1"/>
  <c r="AV10" i="4" s="1"/>
  <c r="AV11" i="4" s="1"/>
  <c r="AV12" i="4" s="1"/>
  <c r="AV13" i="4" s="1"/>
  <c r="AV14" i="4" s="1"/>
  <c r="AV15" i="4" s="1"/>
  <c r="AV16" i="4" s="1"/>
  <c r="AV17" i="4" s="1"/>
  <c r="R23" i="4" s="1"/>
  <c r="DQ13" i="4"/>
  <c r="DQ15" i="4" s="1"/>
  <c r="T40" i="4" s="1"/>
  <c r="DQ11" i="4"/>
  <c r="T28" i="4" s="1"/>
  <c r="DE13" i="4"/>
  <c r="DE17" i="4" s="1"/>
  <c r="T34" i="4" s="1"/>
  <c r="CS9" i="5"/>
  <c r="CB6" i="5" s="1"/>
  <c r="CB7" i="5" s="1"/>
  <c r="CB8" i="5" s="1"/>
  <c r="CB9" i="5" s="1"/>
  <c r="CB10" i="5" s="1"/>
  <c r="CB11" i="5" s="1"/>
  <c r="CB12" i="5" s="1"/>
  <c r="CB13" i="5" s="1"/>
  <c r="CB14" i="5" s="1"/>
  <c r="CB15" i="5" s="1"/>
  <c r="CB16" i="5" s="1"/>
  <c r="CB17" i="5" s="1"/>
  <c r="CB18" i="5" s="1"/>
  <c r="CB19" i="5" s="1"/>
  <c r="CB20" i="5" s="1"/>
  <c r="CB21" i="5" s="1"/>
  <c r="CB22" i="5" s="1"/>
  <c r="CB23" i="5" s="1"/>
  <c r="CB24" i="5" s="1"/>
  <c r="CB25" i="5" s="1"/>
  <c r="CB26" i="5" s="1"/>
  <c r="CB27" i="5" s="1"/>
  <c r="CB28" i="5" s="1"/>
  <c r="CB29" i="5" s="1"/>
  <c r="CB30" i="5" s="1"/>
  <c r="CB31" i="5" s="1"/>
  <c r="CB32" i="5" s="1"/>
  <c r="CB33" i="5" s="1"/>
  <c r="CB34" i="5" s="1"/>
  <c r="CB35" i="5" s="1"/>
  <c r="CB36" i="5" s="1"/>
  <c r="CB37" i="5" s="1"/>
  <c r="CB38" i="5" s="1"/>
  <c r="CB39" i="5" s="1"/>
  <c r="CB40" i="5" s="1"/>
  <c r="CB41" i="5" s="1"/>
  <c r="CB42" i="5" s="1"/>
  <c r="CB43" i="5" s="1"/>
  <c r="CB44" i="5" s="1"/>
  <c r="CB45" i="5" s="1"/>
  <c r="CB46" i="5" s="1"/>
  <c r="CB47" i="5" s="1"/>
  <c r="CB48" i="5" s="1"/>
  <c r="CB49" i="5" s="1"/>
  <c r="CB50" i="5" s="1"/>
  <c r="CK9" i="5"/>
  <c r="BZ6" i="5" s="1"/>
  <c r="BZ7" i="5" s="1"/>
  <c r="BZ8" i="5" s="1"/>
  <c r="BZ9" i="5" s="1"/>
  <c r="BZ10" i="5" s="1"/>
  <c r="DE11" i="4"/>
  <c r="T15" i="4" s="1"/>
  <c r="DQ13" i="5"/>
  <c r="DQ16" i="5" s="1"/>
  <c r="T41" i="5" s="1"/>
  <c r="DQ11" i="5"/>
  <c r="T28" i="5" s="1"/>
  <c r="DE11" i="5"/>
  <c r="T15" i="5" s="1"/>
  <c r="DE13" i="5"/>
  <c r="DE17" i="5" s="1"/>
  <c r="T34" i="5" s="1"/>
  <c r="CK6" i="4"/>
  <c r="CK9" i="4" s="1"/>
  <c r="BZ6" i="4" s="1"/>
  <c r="BZ7" i="4" s="1"/>
  <c r="BZ8" i="4" s="1"/>
  <c r="BZ9" i="4" s="1"/>
  <c r="BZ10" i="4" s="1"/>
  <c r="CS6" i="4"/>
  <c r="CS9" i="4" s="1"/>
  <c r="CB6" i="4" s="1"/>
  <c r="CB7" i="4" s="1"/>
  <c r="CB8" i="4" s="1"/>
  <c r="CB9" i="4" s="1"/>
  <c r="CB10" i="4" s="1"/>
  <c r="CB11" i="4" s="1"/>
  <c r="CB12" i="4" s="1"/>
  <c r="CB13" i="4" s="1"/>
  <c r="CB14" i="4" s="1"/>
  <c r="CB15" i="4" s="1"/>
  <c r="CB16" i="4" s="1"/>
  <c r="CB17" i="4" s="1"/>
  <c r="CB18" i="4" s="1"/>
  <c r="CB19" i="4" s="1"/>
  <c r="G4" i="7" l="1"/>
  <c r="A6" i="12" s="1"/>
  <c r="G3" i="12" s="1"/>
  <c r="A4" i="10"/>
  <c r="E3" i="10" s="1"/>
  <c r="L8" i="1"/>
  <c r="L9" i="1"/>
  <c r="L10" i="1"/>
  <c r="K18" i="1"/>
  <c r="K17" i="1"/>
  <c r="K19" i="1"/>
  <c r="G38" i="7"/>
  <c r="A40" i="12" s="1"/>
  <c r="AO3" i="12" s="1"/>
  <c r="D26" i="7"/>
  <c r="E26" i="7" s="1"/>
  <c r="A28" i="11" s="1"/>
  <c r="AC3" i="11" s="1"/>
  <c r="AY20" i="1"/>
  <c r="BE20" i="1" s="1"/>
  <c r="D32" i="7"/>
  <c r="E32" i="7" s="1"/>
  <c r="A34" i="11" s="1"/>
  <c r="AI3" i="11" s="1"/>
  <c r="AY18" i="1"/>
  <c r="BE18" i="1" s="1"/>
  <c r="G39" i="7"/>
  <c r="A41" i="12" s="1"/>
  <c r="AP3" i="12" s="1"/>
  <c r="G40" i="7"/>
  <c r="A42" i="12" s="1"/>
  <c r="AQ3" i="12" s="1"/>
  <c r="A14" i="10"/>
  <c r="O3" i="10" s="1"/>
  <c r="G11" i="7"/>
  <c r="A13" i="12" s="1"/>
  <c r="N3" i="12" s="1"/>
  <c r="G13" i="7"/>
  <c r="A15" i="12" s="1"/>
  <c r="P3" i="12" s="1"/>
  <c r="A30" i="7"/>
  <c r="B30" i="7" s="1"/>
  <c r="A32" i="10" s="1"/>
  <c r="AG3" i="10" s="1"/>
  <c r="AX16" i="1"/>
  <c r="BD16" i="1" s="1"/>
  <c r="A26" i="7"/>
  <c r="B26" i="7" s="1"/>
  <c r="A28" i="10" s="1"/>
  <c r="AC3" i="10" s="1"/>
  <c r="AX20" i="1"/>
  <c r="BD20" i="1" s="1"/>
  <c r="D6" i="7"/>
  <c r="E6" i="7" s="1"/>
  <c r="A8" i="11" s="1"/>
  <c r="I3" i="11" s="1"/>
  <c r="AV12" i="1"/>
  <c r="BC12" i="1" s="1"/>
  <c r="A6" i="7"/>
  <c r="B6" i="7" s="1"/>
  <c r="A8" i="10" s="1"/>
  <c r="I3" i="10" s="1"/>
  <c r="AU12" i="1"/>
  <c r="BB12" i="1" s="1"/>
  <c r="AT11" i="4"/>
  <c r="AT12" i="4" s="1"/>
  <c r="AT13" i="4" s="1"/>
  <c r="AT14" i="4" s="1"/>
  <c r="AT15" i="4" s="1"/>
  <c r="AT16" i="4" s="1"/>
  <c r="AT17" i="4" s="1"/>
  <c r="AT18" i="4" s="1"/>
  <c r="AT19" i="4" s="1"/>
  <c r="AT20" i="4" s="1"/>
  <c r="AT21" i="4" s="1"/>
  <c r="AT22" i="4" s="1"/>
  <c r="AT23" i="4" s="1"/>
  <c r="AT24" i="4" s="1"/>
  <c r="AT25" i="4" s="1"/>
  <c r="AT26" i="4" s="1"/>
  <c r="AT27" i="4" s="1"/>
  <c r="AT28" i="4" s="1"/>
  <c r="AT29" i="4" s="1"/>
  <c r="AT30" i="4" s="1"/>
  <c r="AT31" i="4" s="1"/>
  <c r="AT32" i="4" s="1"/>
  <c r="AT33" i="4" s="1"/>
  <c r="AT34" i="4" s="1"/>
  <c r="AT35" i="4" s="1"/>
  <c r="AT36" i="4" s="1"/>
  <c r="AT37" i="4" s="1"/>
  <c r="AT38" i="4" s="1"/>
  <c r="AT39" i="4" s="1"/>
  <c r="AT40" i="4" s="1"/>
  <c r="AT41" i="4" s="1"/>
  <c r="AT42" i="4" s="1"/>
  <c r="AT43" i="4" s="1"/>
  <c r="AT44" i="4" s="1"/>
  <c r="AT45" i="4" s="1"/>
  <c r="AT46" i="4" s="1"/>
  <c r="AT47" i="4" s="1"/>
  <c r="AT48" i="4" s="1"/>
  <c r="AT49" i="4" s="1"/>
  <c r="AT50" i="4" s="1"/>
  <c r="BE8" i="4"/>
  <c r="BE10" i="4" s="1"/>
  <c r="AU6" i="4" s="1"/>
  <c r="AL6" i="4" s="1"/>
  <c r="AP6" i="4" s="1"/>
  <c r="AT11" i="5"/>
  <c r="AT12" i="5" s="1"/>
  <c r="AT13" i="5" s="1"/>
  <c r="AT14" i="5" s="1"/>
  <c r="AT15" i="5" s="1"/>
  <c r="AT16" i="5" s="1"/>
  <c r="AT17" i="5" s="1"/>
  <c r="AT18" i="5" s="1"/>
  <c r="AT19" i="5" s="1"/>
  <c r="AT20" i="5" s="1"/>
  <c r="AT21" i="5" s="1"/>
  <c r="AT22" i="5" s="1"/>
  <c r="AT23" i="5" s="1"/>
  <c r="AT24" i="5" s="1"/>
  <c r="AT25" i="5" s="1"/>
  <c r="AT26" i="5" s="1"/>
  <c r="AT27" i="5" s="1"/>
  <c r="AT28" i="5" s="1"/>
  <c r="AT29" i="5" s="1"/>
  <c r="AT30" i="5" s="1"/>
  <c r="AT31" i="5" s="1"/>
  <c r="AT32" i="5" s="1"/>
  <c r="AT33" i="5" s="1"/>
  <c r="AT34" i="5" s="1"/>
  <c r="AT35" i="5" s="1"/>
  <c r="AT36" i="5" s="1"/>
  <c r="AT37" i="5" s="1"/>
  <c r="AT38" i="5" s="1"/>
  <c r="AT39" i="5" s="1"/>
  <c r="AT40" i="5" s="1"/>
  <c r="AT41" i="5" s="1"/>
  <c r="AT42" i="5" s="1"/>
  <c r="AT43" i="5" s="1"/>
  <c r="AT44" i="5" s="1"/>
  <c r="AT45" i="5" s="1"/>
  <c r="AT46" i="5" s="1"/>
  <c r="AT47" i="5" s="1"/>
  <c r="AT48" i="5" s="1"/>
  <c r="AT49" i="5" s="1"/>
  <c r="AT50" i="5" s="1"/>
  <c r="BE8" i="5"/>
  <c r="BE10" i="5" s="1"/>
  <c r="AU6" i="5" s="1"/>
  <c r="AL6" i="5" s="1"/>
  <c r="E5" i="9" s="1"/>
  <c r="AV6" i="5"/>
  <c r="AV7" i="5" s="1"/>
  <c r="AV8" i="5" s="1"/>
  <c r="AV9" i="5" s="1"/>
  <c r="AV10" i="5" s="1"/>
  <c r="AV11" i="5" s="1"/>
  <c r="AV12" i="5" s="1"/>
  <c r="AV13" i="5" s="1"/>
  <c r="AV14" i="5" s="1"/>
  <c r="AV15" i="5" s="1"/>
  <c r="AV16" i="5" s="1"/>
  <c r="AV17" i="5" s="1"/>
  <c r="AV18" i="5" s="1"/>
  <c r="AV19" i="5" s="1"/>
  <c r="AV20" i="5" s="1"/>
  <c r="AV21" i="5" s="1"/>
  <c r="AV22" i="5" s="1"/>
  <c r="AV23" i="5" s="1"/>
  <c r="AV24" i="5" s="1"/>
  <c r="AV25" i="5" s="1"/>
  <c r="AV26" i="5" s="1"/>
  <c r="AV27" i="5" s="1"/>
  <c r="AV28" i="5" s="1"/>
  <c r="AV29" i="5" s="1"/>
  <c r="AV30" i="5" s="1"/>
  <c r="AV31" i="5" s="1"/>
  <c r="AV32" i="5" s="1"/>
  <c r="AV33" i="5" s="1"/>
  <c r="AV34" i="5" s="1"/>
  <c r="AV35" i="5" s="1"/>
  <c r="AV36" i="5" s="1"/>
  <c r="AV37" i="5" s="1"/>
  <c r="AV38" i="5" s="1"/>
  <c r="AV39" i="5" s="1"/>
  <c r="AV40" i="5" s="1"/>
  <c r="AV41" i="5" s="1"/>
  <c r="AV42" i="5" s="1"/>
  <c r="AV43" i="5" s="1"/>
  <c r="AV44" i="5" s="1"/>
  <c r="AV45" i="5" s="1"/>
  <c r="AV46" i="5" s="1"/>
  <c r="AV47" i="5" s="1"/>
  <c r="AV48" i="5" s="1"/>
  <c r="AV49" i="5" s="1"/>
  <c r="AV50" i="5" s="1"/>
  <c r="BM8" i="4"/>
  <c r="BM10" i="4" s="1"/>
  <c r="AW6" i="4" s="1"/>
  <c r="EF6" i="4" s="1"/>
  <c r="K5" i="9" s="1"/>
  <c r="AV18" i="4"/>
  <c r="AV19" i="4" s="1"/>
  <c r="AV20" i="4" s="1"/>
  <c r="AV21" i="4" s="1"/>
  <c r="AV22" i="4" s="1"/>
  <c r="AV23" i="4" s="1"/>
  <c r="AV24" i="4" s="1"/>
  <c r="AV25" i="4" s="1"/>
  <c r="AV26" i="4" s="1"/>
  <c r="AV27" i="4" s="1"/>
  <c r="AV28" i="4" s="1"/>
  <c r="AV29" i="4" s="1"/>
  <c r="AV30" i="4" s="1"/>
  <c r="AV31" i="4" s="1"/>
  <c r="AV32" i="4" s="1"/>
  <c r="AV33" i="4" s="1"/>
  <c r="AV34" i="4" s="1"/>
  <c r="AV35" i="4" s="1"/>
  <c r="AV36" i="4" s="1"/>
  <c r="AV37" i="4" s="1"/>
  <c r="AV38" i="4" s="1"/>
  <c r="AV39" i="4" s="1"/>
  <c r="AV40" i="4" s="1"/>
  <c r="AV41" i="4" s="1"/>
  <c r="AV42" i="4" s="1"/>
  <c r="AV43" i="4" s="1"/>
  <c r="AV44" i="4" s="1"/>
  <c r="AV45" i="4" s="1"/>
  <c r="AV46" i="4" s="1"/>
  <c r="AV47" i="4" s="1"/>
  <c r="AV48" i="4" s="1"/>
  <c r="AV49" i="4" s="1"/>
  <c r="AV50" i="4" s="1"/>
  <c r="DQ18" i="4"/>
  <c r="T43" i="4" s="1"/>
  <c r="A33" i="7" s="1"/>
  <c r="DQ16" i="4"/>
  <c r="T41" i="4" s="1"/>
  <c r="DQ17" i="4"/>
  <c r="T42" i="4" s="1"/>
  <c r="DE16" i="4"/>
  <c r="T33" i="4" s="1"/>
  <c r="DE15" i="4"/>
  <c r="T32" i="4" s="1"/>
  <c r="DE18" i="4"/>
  <c r="T35" i="4" s="1"/>
  <c r="CS8" i="5"/>
  <c r="CS10" i="5" s="1"/>
  <c r="CC6" i="5" s="1"/>
  <c r="BS6" i="5" s="1"/>
  <c r="BW6" i="5" s="1"/>
  <c r="S23" i="5"/>
  <c r="CK8" i="5"/>
  <c r="CK10" i="5" s="1"/>
  <c r="CA6" i="5" s="1"/>
  <c r="DU6" i="5" s="1"/>
  <c r="P5" i="9" s="1"/>
  <c r="DE15" i="5"/>
  <c r="T32" i="5" s="1"/>
  <c r="DE16" i="5"/>
  <c r="T33" i="5" s="1"/>
  <c r="DQ17" i="5"/>
  <c r="T42" i="5" s="1"/>
  <c r="DQ18" i="5"/>
  <c r="T43" i="5" s="1"/>
  <c r="DE18" i="5"/>
  <c r="T35" i="5" s="1"/>
  <c r="DQ15" i="5"/>
  <c r="T40" i="5" s="1"/>
  <c r="BZ11" i="5"/>
  <c r="BZ12" i="5" s="1"/>
  <c r="BZ13" i="5" s="1"/>
  <c r="BZ14" i="5" s="1"/>
  <c r="BZ15" i="5" s="1"/>
  <c r="BZ16" i="5" s="1"/>
  <c r="BZ17" i="5" s="1"/>
  <c r="BZ18" i="5" s="1"/>
  <c r="BZ19" i="5" s="1"/>
  <c r="BZ20" i="5" s="1"/>
  <c r="BZ21" i="5" s="1"/>
  <c r="BZ22" i="5" s="1"/>
  <c r="BZ23" i="5" s="1"/>
  <c r="BZ24" i="5" s="1"/>
  <c r="BZ25" i="5" s="1"/>
  <c r="BZ26" i="5" s="1"/>
  <c r="BZ27" i="5" s="1"/>
  <c r="BZ28" i="5" s="1"/>
  <c r="BZ29" i="5" s="1"/>
  <c r="BZ30" i="5" s="1"/>
  <c r="BZ31" i="5" s="1"/>
  <c r="BZ32" i="5" s="1"/>
  <c r="BZ33" i="5" s="1"/>
  <c r="BZ34" i="5" s="1"/>
  <c r="BZ35" i="5" s="1"/>
  <c r="BZ36" i="5" s="1"/>
  <c r="BZ37" i="5" s="1"/>
  <c r="BZ38" i="5" s="1"/>
  <c r="BZ39" i="5" s="1"/>
  <c r="BZ40" i="5" s="1"/>
  <c r="BZ41" i="5" s="1"/>
  <c r="BZ42" i="5" s="1"/>
  <c r="BZ43" i="5" s="1"/>
  <c r="BZ44" i="5" s="1"/>
  <c r="BZ45" i="5" s="1"/>
  <c r="BZ46" i="5" s="1"/>
  <c r="BZ47" i="5" s="1"/>
  <c r="BZ48" i="5" s="1"/>
  <c r="BZ49" i="5" s="1"/>
  <c r="BZ50" i="5" s="1"/>
  <c r="S10" i="5"/>
  <c r="AW8" i="5"/>
  <c r="CS8" i="4"/>
  <c r="CS10" i="4" s="1"/>
  <c r="CC6" i="4" s="1"/>
  <c r="BS6" i="4" s="1"/>
  <c r="BW6" i="4" s="1"/>
  <c r="CK8" i="4"/>
  <c r="CK10" i="4" s="1"/>
  <c r="CA6" i="4" s="1"/>
  <c r="S10" i="4"/>
  <c r="BZ11" i="4"/>
  <c r="BZ12" i="4" s="1"/>
  <c r="BZ13" i="4" s="1"/>
  <c r="BZ14" i="4" s="1"/>
  <c r="BZ15" i="4" s="1"/>
  <c r="BZ16" i="4" s="1"/>
  <c r="BZ17" i="4" s="1"/>
  <c r="BZ18" i="4" s="1"/>
  <c r="BZ19" i="4" s="1"/>
  <c r="BZ20" i="4" s="1"/>
  <c r="BZ21" i="4" s="1"/>
  <c r="BZ22" i="4" s="1"/>
  <c r="BZ23" i="4" s="1"/>
  <c r="BZ24" i="4" s="1"/>
  <c r="BZ25" i="4" s="1"/>
  <c r="BZ26" i="4" s="1"/>
  <c r="BZ27" i="4" s="1"/>
  <c r="BZ28" i="4" s="1"/>
  <c r="BZ29" i="4" s="1"/>
  <c r="BZ30" i="4" s="1"/>
  <c r="BZ31" i="4" s="1"/>
  <c r="BZ32" i="4" s="1"/>
  <c r="BZ33" i="4" s="1"/>
  <c r="BZ34" i="4" s="1"/>
  <c r="BZ35" i="4" s="1"/>
  <c r="BZ36" i="4" s="1"/>
  <c r="BZ37" i="4" s="1"/>
  <c r="BZ38" i="4" s="1"/>
  <c r="BZ39" i="4" s="1"/>
  <c r="BZ40" i="4" s="1"/>
  <c r="BZ41" i="4" s="1"/>
  <c r="BZ42" i="4" s="1"/>
  <c r="BZ43" i="4" s="1"/>
  <c r="BZ44" i="4" s="1"/>
  <c r="BZ45" i="4" s="1"/>
  <c r="BZ46" i="4" s="1"/>
  <c r="BZ47" i="4" s="1"/>
  <c r="BZ48" i="4" s="1"/>
  <c r="BZ49" i="4" s="1"/>
  <c r="BZ50" i="4" s="1"/>
  <c r="S23" i="4"/>
  <c r="CB20" i="4"/>
  <c r="CB21" i="4" s="1"/>
  <c r="CB22" i="4" s="1"/>
  <c r="CB23" i="4" s="1"/>
  <c r="CB24" i="4" s="1"/>
  <c r="CB25" i="4" s="1"/>
  <c r="CB26" i="4" s="1"/>
  <c r="CB27" i="4" s="1"/>
  <c r="CB28" i="4" s="1"/>
  <c r="CB29" i="4" s="1"/>
  <c r="CB30" i="4" s="1"/>
  <c r="CB31" i="4" s="1"/>
  <c r="CB32" i="4" s="1"/>
  <c r="CB33" i="4" s="1"/>
  <c r="CB34" i="4" s="1"/>
  <c r="CB35" i="4" s="1"/>
  <c r="CB36" i="4" s="1"/>
  <c r="CB37" i="4" s="1"/>
  <c r="CB38" i="4" s="1"/>
  <c r="CB39" i="4" s="1"/>
  <c r="CB40" i="4" s="1"/>
  <c r="CB41" i="4" s="1"/>
  <c r="CB42" i="4" s="1"/>
  <c r="CB43" i="4" s="1"/>
  <c r="CB44" i="4" s="1"/>
  <c r="CB45" i="4" s="1"/>
  <c r="CB46" i="4" s="1"/>
  <c r="CB47" i="4" s="1"/>
  <c r="CB48" i="4" s="1"/>
  <c r="CB49" i="4" s="1"/>
  <c r="CB50" i="4" s="1"/>
  <c r="G30" i="7" l="1"/>
  <c r="A32" i="12" s="1"/>
  <c r="AG3" i="12" s="1"/>
  <c r="L12" i="1"/>
  <c r="K12" i="1"/>
  <c r="O20" i="1"/>
  <c r="O18" i="1"/>
  <c r="N16" i="1"/>
  <c r="N20" i="1"/>
  <c r="G26" i="7"/>
  <c r="A28" i="12" s="1"/>
  <c r="AC3" i="12" s="1"/>
  <c r="G68" i="7"/>
  <c r="A70" i="12" s="1"/>
  <c r="BS3" i="12" s="1"/>
  <c r="G6" i="7"/>
  <c r="A8" i="12" s="1"/>
  <c r="I3" i="12" s="1"/>
  <c r="D30" i="7"/>
  <c r="E30" i="7" s="1"/>
  <c r="G66" i="7" s="1"/>
  <c r="A68" i="12" s="1"/>
  <c r="BQ3" i="12" s="1"/>
  <c r="AY16" i="1"/>
  <c r="BE16" i="1" s="1"/>
  <c r="D31" i="7"/>
  <c r="E31" i="7" s="1"/>
  <c r="A33" i="11" s="1"/>
  <c r="AH3" i="11" s="1"/>
  <c r="AY17" i="1"/>
  <c r="BE17" i="1" s="1"/>
  <c r="G62" i="7"/>
  <c r="A64" i="12" s="1"/>
  <c r="BM3" i="12" s="1"/>
  <c r="D33" i="7"/>
  <c r="E33" i="7" s="1"/>
  <c r="G69" i="7" s="1"/>
  <c r="A71" i="12" s="1"/>
  <c r="BT3" i="12" s="1"/>
  <c r="AY19" i="1"/>
  <c r="BE19" i="1" s="1"/>
  <c r="A15" i="7"/>
  <c r="B15" i="7" s="1"/>
  <c r="G15" i="7" s="1"/>
  <c r="A17" i="12" s="1"/>
  <c r="R3" i="12" s="1"/>
  <c r="AU21" i="1"/>
  <c r="BB21" i="1" s="1"/>
  <c r="D15" i="7"/>
  <c r="E15" i="7" s="1"/>
  <c r="G51" i="7" s="1"/>
  <c r="A53" i="12" s="1"/>
  <c r="BB3" i="12" s="1"/>
  <c r="AV21" i="1"/>
  <c r="BC21" i="1" s="1"/>
  <c r="B33" i="7"/>
  <c r="G33" i="7" s="1"/>
  <c r="A35" i="12" s="1"/>
  <c r="AJ3" i="12" s="1"/>
  <c r="AX19" i="1"/>
  <c r="BD19" i="1" s="1"/>
  <c r="A32" i="7"/>
  <c r="B32" i="7" s="1"/>
  <c r="A34" i="10" s="1"/>
  <c r="AI3" i="10" s="1"/>
  <c r="AX18" i="1"/>
  <c r="BD18" i="1" s="1"/>
  <c r="G42" i="7"/>
  <c r="A44" i="12" s="1"/>
  <c r="AS3" i="12" s="1"/>
  <c r="A31" i="7"/>
  <c r="B31" i="7" s="1"/>
  <c r="G31" i="7" s="1"/>
  <c r="A33" i="12" s="1"/>
  <c r="AH3" i="12" s="1"/>
  <c r="AX17" i="1"/>
  <c r="BD17" i="1" s="1"/>
  <c r="EK6" i="4"/>
  <c r="AP6" i="5"/>
  <c r="AM7" i="5"/>
  <c r="AQ7" i="5" s="1"/>
  <c r="AU7" i="5"/>
  <c r="DT7" i="5" s="1"/>
  <c r="O6" i="9" s="1"/>
  <c r="AU7" i="4"/>
  <c r="DT7" i="4" s="1"/>
  <c r="DY7" i="4" s="1"/>
  <c r="DT6" i="4"/>
  <c r="DY6" i="4" s="1"/>
  <c r="DT6" i="5"/>
  <c r="O5" i="9" s="1"/>
  <c r="EF7" i="5"/>
  <c r="EK7" i="5" s="1"/>
  <c r="AM6" i="5"/>
  <c r="AQ6" i="5" s="1"/>
  <c r="R23" i="5"/>
  <c r="EF6" i="5"/>
  <c r="EK6" i="5" s="1"/>
  <c r="AW7" i="4"/>
  <c r="EF7" i="4" s="1"/>
  <c r="K6" i="9" s="1"/>
  <c r="AM6" i="4"/>
  <c r="C5" i="9" s="1"/>
  <c r="CC7" i="5"/>
  <c r="CC8" i="5" s="1"/>
  <c r="EG6" i="5"/>
  <c r="CA7" i="5"/>
  <c r="CA8" i="5" s="1"/>
  <c r="BR6" i="5"/>
  <c r="BV6" i="5" s="1"/>
  <c r="CC7" i="4"/>
  <c r="BS7" i="4" s="1"/>
  <c r="BW7" i="4" s="1"/>
  <c r="AM8" i="5"/>
  <c r="AQ8" i="5" s="1"/>
  <c r="AW9" i="5"/>
  <c r="EF8" i="5"/>
  <c r="EG6" i="4"/>
  <c r="L5" i="9" s="1"/>
  <c r="CA7" i="4"/>
  <c r="DU6" i="4"/>
  <c r="BR6" i="4"/>
  <c r="BV6" i="4" s="1"/>
  <c r="G67" i="7" l="1"/>
  <c r="A69" i="12" s="1"/>
  <c r="BR3" i="12" s="1"/>
  <c r="A32" i="11"/>
  <c r="AG3" i="11" s="1"/>
  <c r="O17" i="1"/>
  <c r="O19" i="1"/>
  <c r="O16" i="1"/>
  <c r="L21" i="1"/>
  <c r="N17" i="1"/>
  <c r="N18" i="1"/>
  <c r="N19" i="1"/>
  <c r="K21" i="1"/>
  <c r="A35" i="11"/>
  <c r="AJ3" i="11" s="1"/>
  <c r="G32" i="7"/>
  <c r="A34" i="12" s="1"/>
  <c r="AI3" i="12" s="1"/>
  <c r="A35" i="10"/>
  <c r="AJ3" i="10" s="1"/>
  <c r="A17" i="11"/>
  <c r="R3" i="11" s="1"/>
  <c r="A33" i="10"/>
  <c r="AH3" i="10" s="1"/>
  <c r="A17" i="10"/>
  <c r="R3" i="10" s="1"/>
  <c r="DY6" i="5"/>
  <c r="EA6" i="5" s="1"/>
  <c r="EK7" i="4"/>
  <c r="DY7" i="5"/>
  <c r="AQ6" i="4"/>
  <c r="EM6" i="4"/>
  <c r="AU8" i="5"/>
  <c r="DT8" i="5" s="1"/>
  <c r="O7" i="9" s="1"/>
  <c r="AL7" i="5"/>
  <c r="E6" i="9" s="1"/>
  <c r="AU8" i="4"/>
  <c r="DT8" i="4" s="1"/>
  <c r="DY8" i="4" s="1"/>
  <c r="AL7" i="4"/>
  <c r="AP7" i="4" s="1"/>
  <c r="DX6" i="5"/>
  <c r="ET6" i="5" s="1"/>
  <c r="DZ6" i="5"/>
  <c r="EJ6" i="5"/>
  <c r="EU6" i="5" s="1"/>
  <c r="AW8" i="4"/>
  <c r="EF8" i="4" s="1"/>
  <c r="K7" i="9" s="1"/>
  <c r="AM7" i="4"/>
  <c r="C6" i="9" s="1"/>
  <c r="EG7" i="5"/>
  <c r="EL7" i="5" s="1"/>
  <c r="EN7" i="5" s="1"/>
  <c r="BS7" i="5"/>
  <c r="BW7" i="5" s="1"/>
  <c r="EL6" i="5"/>
  <c r="EN6" i="5" s="1"/>
  <c r="EM6" i="5"/>
  <c r="DU7" i="5"/>
  <c r="P6" i="9" s="1"/>
  <c r="BR7" i="5"/>
  <c r="BV7" i="5" s="1"/>
  <c r="CC9" i="5"/>
  <c r="EG8" i="5"/>
  <c r="EL8" i="5" s="1"/>
  <c r="BS8" i="5"/>
  <c r="BW8" i="5" s="1"/>
  <c r="EK8" i="5"/>
  <c r="EJ6" i="4"/>
  <c r="EU6" i="4" s="1"/>
  <c r="EL6" i="4"/>
  <c r="EN6" i="4" s="1"/>
  <c r="CA9" i="5"/>
  <c r="DU8" i="5"/>
  <c r="P7" i="9" s="1"/>
  <c r="BR8" i="5"/>
  <c r="BV8" i="5" s="1"/>
  <c r="CC8" i="4"/>
  <c r="BS8" i="4" s="1"/>
  <c r="BW8" i="4" s="1"/>
  <c r="EG7" i="4"/>
  <c r="L6" i="9" s="1"/>
  <c r="EF9" i="5"/>
  <c r="AW10" i="5"/>
  <c r="AM9" i="5"/>
  <c r="AQ9" i="5" s="1"/>
  <c r="DU7" i="4"/>
  <c r="EA7" i="4" s="1"/>
  <c r="CA8" i="4"/>
  <c r="BR7" i="4"/>
  <c r="BV7" i="4" s="1"/>
  <c r="EA6" i="4"/>
  <c r="DZ6" i="4"/>
  <c r="EB6" i="4" s="1"/>
  <c r="DX6" i="4"/>
  <c r="ET6" i="4" s="1"/>
  <c r="EK8" i="4" l="1"/>
  <c r="AQ7" i="4"/>
  <c r="DY8" i="5"/>
  <c r="EA8" i="5" s="1"/>
  <c r="AP7" i="5"/>
  <c r="EJ7" i="4"/>
  <c r="EU7" i="4" s="1"/>
  <c r="DX7" i="5"/>
  <c r="ET7" i="5" s="1"/>
  <c r="EB6" i="5"/>
  <c r="AU9" i="5"/>
  <c r="DT9" i="5" s="1"/>
  <c r="O8" i="9" s="1"/>
  <c r="AL8" i="5"/>
  <c r="E7" i="9" s="1"/>
  <c r="DZ8" i="5"/>
  <c r="AU9" i="4"/>
  <c r="DT9" i="4" s="1"/>
  <c r="DY9" i="4" s="1"/>
  <c r="AL8" i="4"/>
  <c r="AP8" i="4" s="1"/>
  <c r="AW9" i="4"/>
  <c r="AW10" i="4" s="1"/>
  <c r="AW11" i="4" s="1"/>
  <c r="AM8" i="4"/>
  <c r="C7" i="9" s="1"/>
  <c r="EJ7" i="5"/>
  <c r="EU7" i="5" s="1"/>
  <c r="EM7" i="5"/>
  <c r="EA7" i="5"/>
  <c r="EG8" i="4"/>
  <c r="L7" i="9" s="1"/>
  <c r="CC9" i="4"/>
  <c r="EG9" i="4" s="1"/>
  <c r="L8" i="9" s="1"/>
  <c r="DZ7" i="5"/>
  <c r="EB7" i="5" s="1"/>
  <c r="EN8" i="5"/>
  <c r="EL7" i="4"/>
  <c r="EN7" i="4" s="1"/>
  <c r="EJ8" i="5"/>
  <c r="EU8" i="5" s="1"/>
  <c r="AW11" i="5"/>
  <c r="EF10" i="5"/>
  <c r="AM10" i="5"/>
  <c r="AQ10" i="5" s="1"/>
  <c r="CA10" i="5"/>
  <c r="DU9" i="5"/>
  <c r="P8" i="9" s="1"/>
  <c r="BR9" i="5"/>
  <c r="BV9" i="5" s="1"/>
  <c r="DX8" i="5"/>
  <c r="ET8" i="5" s="1"/>
  <c r="EK9" i="5"/>
  <c r="CC10" i="5"/>
  <c r="BS9" i="5"/>
  <c r="BW9" i="5" s="1"/>
  <c r="EG9" i="5"/>
  <c r="EL9" i="5" s="1"/>
  <c r="EM7" i="4"/>
  <c r="EM8" i="5"/>
  <c r="DX7" i="4"/>
  <c r="ET7" i="4" s="1"/>
  <c r="DZ7" i="4"/>
  <c r="EB7" i="4" s="1"/>
  <c r="DU8" i="4"/>
  <c r="EA8" i="4" s="1"/>
  <c r="CA9" i="4"/>
  <c r="BR8" i="4"/>
  <c r="BV8" i="4" s="1"/>
  <c r="AQ8" i="4" l="1"/>
  <c r="DY9" i="5"/>
  <c r="EA9" i="5" s="1"/>
  <c r="AP8" i="5"/>
  <c r="EJ8" i="4"/>
  <c r="EU8" i="4" s="1"/>
  <c r="EB8" i="5"/>
  <c r="AL9" i="5"/>
  <c r="E8" i="9" s="1"/>
  <c r="DZ9" i="5"/>
  <c r="AU10" i="5"/>
  <c r="DT10" i="5" s="1"/>
  <c r="O9" i="9" s="1"/>
  <c r="AU10" i="4"/>
  <c r="DT10" i="4" s="1"/>
  <c r="DY10" i="4" s="1"/>
  <c r="AL9" i="4"/>
  <c r="AP9" i="4" s="1"/>
  <c r="AM10" i="4"/>
  <c r="C9" i="9" s="1"/>
  <c r="EF10" i="4"/>
  <c r="K9" i="9" s="1"/>
  <c r="AM9" i="4"/>
  <c r="C8" i="9" s="1"/>
  <c r="EF9" i="4"/>
  <c r="K8" i="9" s="1"/>
  <c r="EL8" i="4"/>
  <c r="EN8" i="4" s="1"/>
  <c r="EM8" i="4"/>
  <c r="BS9" i="4"/>
  <c r="BW9" i="4" s="1"/>
  <c r="CC10" i="4"/>
  <c r="BS10" i="4" s="1"/>
  <c r="BW10" i="4" s="1"/>
  <c r="EN9" i="5"/>
  <c r="EK10" i="5"/>
  <c r="EM9" i="5"/>
  <c r="DX9" i="5"/>
  <c r="ET9" i="5" s="1"/>
  <c r="CC11" i="5"/>
  <c r="EG10" i="5"/>
  <c r="EL10" i="5" s="1"/>
  <c r="BS10" i="5"/>
  <c r="BW10" i="5" s="1"/>
  <c r="CA11" i="5"/>
  <c r="DU10" i="5"/>
  <c r="P9" i="9" s="1"/>
  <c r="BR10" i="5"/>
  <c r="BV10" i="5" s="1"/>
  <c r="AW12" i="5"/>
  <c r="AM12" i="5" s="1"/>
  <c r="AQ12" i="5" s="1"/>
  <c r="EF11" i="5"/>
  <c r="AM11" i="5"/>
  <c r="AQ11" i="5" s="1"/>
  <c r="EJ9" i="5"/>
  <c r="EU9" i="5" s="1"/>
  <c r="DX8" i="4"/>
  <c r="ET8" i="4" s="1"/>
  <c r="DZ8" i="4"/>
  <c r="EB8" i="4" s="1"/>
  <c r="DU9" i="4"/>
  <c r="CA10" i="4"/>
  <c r="BR9" i="4"/>
  <c r="BV9" i="4" s="1"/>
  <c r="AW12" i="4"/>
  <c r="AM12" i="4" s="1"/>
  <c r="C11" i="9" s="1"/>
  <c r="AM11" i="4"/>
  <c r="C10" i="9" s="1"/>
  <c r="EF11" i="4"/>
  <c r="K10" i="9" s="1"/>
  <c r="AU11" i="5" l="1"/>
  <c r="DT11" i="5" s="1"/>
  <c r="O10" i="9" s="1"/>
  <c r="EB9" i="5"/>
  <c r="AQ9" i="4"/>
  <c r="EK9" i="4"/>
  <c r="EM9" i="4" s="1"/>
  <c r="AP9" i="5"/>
  <c r="DY10" i="5"/>
  <c r="EA10" i="5" s="1"/>
  <c r="AQ12" i="4"/>
  <c r="AQ11" i="4"/>
  <c r="AQ10" i="4"/>
  <c r="EK10" i="4"/>
  <c r="DZ10" i="5"/>
  <c r="AL10" i="5"/>
  <c r="E9" i="9" s="1"/>
  <c r="AU11" i="4"/>
  <c r="AL11" i="4" s="1"/>
  <c r="AP11" i="4" s="1"/>
  <c r="AL10" i="4"/>
  <c r="AP10" i="4" s="1"/>
  <c r="EJ9" i="4"/>
  <c r="EU9" i="4" s="1"/>
  <c r="EL9" i="4"/>
  <c r="AW13" i="4"/>
  <c r="AM13" i="4" s="1"/>
  <c r="C12" i="9" s="1"/>
  <c r="EF12" i="4"/>
  <c r="K11" i="9" s="1"/>
  <c r="AW13" i="5"/>
  <c r="AM13" i="5" s="1"/>
  <c r="AQ13" i="5" s="1"/>
  <c r="EF12" i="5"/>
  <c r="EG10" i="4"/>
  <c r="L9" i="9" s="1"/>
  <c r="CC11" i="4"/>
  <c r="BS11" i="4" s="1"/>
  <c r="BW11" i="4" s="1"/>
  <c r="EN10" i="5"/>
  <c r="EJ10" i="5"/>
  <c r="EU10" i="5" s="1"/>
  <c r="CA12" i="5"/>
  <c r="S11" i="5"/>
  <c r="DU11" i="5"/>
  <c r="P10" i="9" s="1"/>
  <c r="BR11" i="5"/>
  <c r="BV11" i="5" s="1"/>
  <c r="DX10" i="5"/>
  <c r="ET10" i="5" s="1"/>
  <c r="EK11" i="5"/>
  <c r="CC12" i="5"/>
  <c r="EG11" i="5"/>
  <c r="EL11" i="5" s="1"/>
  <c r="BS11" i="5"/>
  <c r="BW11" i="5" s="1"/>
  <c r="EM10" i="5"/>
  <c r="DX9" i="4"/>
  <c r="ET9" i="4" s="1"/>
  <c r="DZ9" i="4"/>
  <c r="EB9" i="4" s="1"/>
  <c r="CA11" i="4"/>
  <c r="DU10" i="4"/>
  <c r="BR10" i="4"/>
  <c r="BV10" i="4" s="1"/>
  <c r="EA9" i="4"/>
  <c r="EK11" i="4"/>
  <c r="AU12" i="5" l="1"/>
  <c r="AL12" i="5" s="1"/>
  <c r="E11" i="9" s="1"/>
  <c r="EB10" i="5"/>
  <c r="AL11" i="5"/>
  <c r="E10" i="9" s="1"/>
  <c r="R11" i="5"/>
  <c r="AV13" i="1" s="1"/>
  <c r="BC13" i="1" s="1"/>
  <c r="DY11" i="5"/>
  <c r="EA11" i="5" s="1"/>
  <c r="D16" i="7"/>
  <c r="E16" i="7" s="1"/>
  <c r="A18" i="11" s="1"/>
  <c r="S3" i="11" s="1"/>
  <c r="AV22" i="1"/>
  <c r="BC22" i="1" s="1"/>
  <c r="AQ13" i="4"/>
  <c r="AP10" i="5"/>
  <c r="DX11" i="5"/>
  <c r="ET11" i="5" s="1"/>
  <c r="EJ10" i="4"/>
  <c r="EU10" i="4" s="1"/>
  <c r="EN9" i="4"/>
  <c r="AU12" i="4"/>
  <c r="AL12" i="4" s="1"/>
  <c r="AP12" i="4" s="1"/>
  <c r="R11" i="4"/>
  <c r="DT11" i="4"/>
  <c r="DY11" i="4" s="1"/>
  <c r="AW14" i="4"/>
  <c r="AM14" i="4" s="1"/>
  <c r="C13" i="9" s="1"/>
  <c r="EF13" i="4"/>
  <c r="K12" i="9" s="1"/>
  <c r="AW14" i="5"/>
  <c r="AM14" i="5" s="1"/>
  <c r="AQ14" i="5" s="1"/>
  <c r="EF13" i="5"/>
  <c r="EL10" i="4"/>
  <c r="EN10" i="4" s="1"/>
  <c r="EM10" i="4"/>
  <c r="EK12" i="4"/>
  <c r="CA13" i="5"/>
  <c r="DU12" i="5"/>
  <c r="P11" i="9" s="1"/>
  <c r="BR12" i="5"/>
  <c r="BV12" i="5" s="1"/>
  <c r="CC13" i="5"/>
  <c r="BS12" i="5"/>
  <c r="BW12" i="5" s="1"/>
  <c r="EG12" i="5"/>
  <c r="EJ12" i="5" s="1"/>
  <c r="EU12" i="5" s="1"/>
  <c r="EK12" i="5"/>
  <c r="EG11" i="4"/>
  <c r="L10" i="9" s="1"/>
  <c r="CC12" i="4"/>
  <c r="EM11" i="5"/>
  <c r="DZ11" i="5"/>
  <c r="EN11" i="5"/>
  <c r="EJ11" i="5"/>
  <c r="EU11" i="5" s="1"/>
  <c r="DU11" i="4"/>
  <c r="S11" i="4"/>
  <c r="CA12" i="4"/>
  <c r="BR11" i="4"/>
  <c r="BV11" i="4" s="1"/>
  <c r="EA10" i="4"/>
  <c r="DZ10" i="4"/>
  <c r="EB10" i="4" s="1"/>
  <c r="DX10" i="4"/>
  <c r="ET10" i="4" s="1"/>
  <c r="AP12" i="5" l="1"/>
  <c r="AU13" i="5"/>
  <c r="AL13" i="5" s="1"/>
  <c r="E12" i="9" s="1"/>
  <c r="DT12" i="5"/>
  <c r="EB11" i="5"/>
  <c r="AP11" i="5"/>
  <c r="D7" i="7"/>
  <c r="E7" i="7" s="1"/>
  <c r="G43" i="7" s="1"/>
  <c r="A45" i="12" s="1"/>
  <c r="AT3" i="12" s="1"/>
  <c r="L13" i="1"/>
  <c r="L22" i="1"/>
  <c r="G52" i="7"/>
  <c r="A54" i="12" s="1"/>
  <c r="BC3" i="12" s="1"/>
  <c r="EL11" i="4"/>
  <c r="EN11" i="4" s="1"/>
  <c r="AQ14" i="4"/>
  <c r="DT12" i="4"/>
  <c r="DY12" i="4" s="1"/>
  <c r="AU13" i="4"/>
  <c r="AL13" i="4" s="1"/>
  <c r="AP13" i="4" s="1"/>
  <c r="EA11" i="4"/>
  <c r="EL12" i="5"/>
  <c r="EN12" i="5" s="1"/>
  <c r="EK13" i="5"/>
  <c r="EK13" i="4"/>
  <c r="CA14" i="5"/>
  <c r="DU13" i="5"/>
  <c r="P12" i="9" s="1"/>
  <c r="BR13" i="5"/>
  <c r="BV13" i="5" s="1"/>
  <c r="AW15" i="4"/>
  <c r="AM15" i="4" s="1"/>
  <c r="C14" i="9" s="1"/>
  <c r="EF14" i="4"/>
  <c r="K13" i="9" s="1"/>
  <c r="CC14" i="5"/>
  <c r="EG13" i="5"/>
  <c r="EL13" i="5" s="1"/>
  <c r="BS13" i="5"/>
  <c r="BW13" i="5" s="1"/>
  <c r="AW15" i="5"/>
  <c r="AM15" i="5" s="1"/>
  <c r="AQ15" i="5" s="1"/>
  <c r="EF14" i="5"/>
  <c r="EM12" i="5"/>
  <c r="EM11" i="4"/>
  <c r="EJ11" i="4"/>
  <c r="EU11" i="4" s="1"/>
  <c r="CA13" i="4"/>
  <c r="DU12" i="4"/>
  <c r="BR12" i="4"/>
  <c r="BV12" i="4" s="1"/>
  <c r="CC13" i="4"/>
  <c r="EG12" i="4"/>
  <c r="L11" i="9" s="1"/>
  <c r="BS12" i="4"/>
  <c r="BW12" i="4" s="1"/>
  <c r="DX11" i="4"/>
  <c r="ET11" i="4" s="1"/>
  <c r="DZ11" i="4"/>
  <c r="EB11" i="4" s="1"/>
  <c r="DY12" i="5" l="1"/>
  <c r="EA12" i="5" s="1"/>
  <c r="O11" i="9"/>
  <c r="AU14" i="5"/>
  <c r="AL14" i="5" s="1"/>
  <c r="E13" i="9" s="1"/>
  <c r="DT13" i="5"/>
  <c r="O12" i="9" s="1"/>
  <c r="AP13" i="5"/>
  <c r="DZ12" i="5"/>
  <c r="DX12" i="5"/>
  <c r="ET12" i="5" s="1"/>
  <c r="A9" i="11"/>
  <c r="J3" i="11" s="1"/>
  <c r="AQ15" i="4"/>
  <c r="AU14" i="4"/>
  <c r="AL14" i="4" s="1"/>
  <c r="AP14" i="4" s="1"/>
  <c r="DT13" i="4"/>
  <c r="DY13" i="4" s="1"/>
  <c r="DZ12" i="4"/>
  <c r="EB12" i="4" s="1"/>
  <c r="DX12" i="4"/>
  <c r="ET12" i="4" s="1"/>
  <c r="EA12" i="4"/>
  <c r="EJ13" i="5"/>
  <c r="EU13" i="5" s="1"/>
  <c r="EM13" i="5"/>
  <c r="CA15" i="5"/>
  <c r="BR14" i="5"/>
  <c r="BV14" i="5" s="1"/>
  <c r="DU14" i="5"/>
  <c r="P13" i="9" s="1"/>
  <c r="EL12" i="4"/>
  <c r="EN12" i="4" s="1"/>
  <c r="EJ12" i="4"/>
  <c r="EU12" i="4" s="1"/>
  <c r="EK14" i="5"/>
  <c r="AW16" i="5"/>
  <c r="EF16" i="5" s="1"/>
  <c r="EF15" i="5"/>
  <c r="EK14" i="4"/>
  <c r="CA14" i="4"/>
  <c r="DU13" i="4"/>
  <c r="BR13" i="4"/>
  <c r="BV13" i="4" s="1"/>
  <c r="CC15" i="5"/>
  <c r="BS14" i="5"/>
  <c r="BW14" i="5" s="1"/>
  <c r="EG14" i="5"/>
  <c r="EJ14" i="5" s="1"/>
  <c r="EU14" i="5" s="1"/>
  <c r="CC14" i="4"/>
  <c r="EG13" i="4"/>
  <c r="L12" i="9" s="1"/>
  <c r="BS13" i="4"/>
  <c r="BW13" i="4" s="1"/>
  <c r="AW16" i="4"/>
  <c r="EF16" i="4" s="1"/>
  <c r="K15" i="9" s="1"/>
  <c r="EF15" i="4"/>
  <c r="K14" i="9" s="1"/>
  <c r="EM12" i="4"/>
  <c r="EN13" i="5"/>
  <c r="EB12" i="5" l="1"/>
  <c r="AP14" i="5"/>
  <c r="AU15" i="5"/>
  <c r="AL15" i="5" s="1"/>
  <c r="E14" i="9" s="1"/>
  <c r="DT14" i="5"/>
  <c r="O13" i="9" s="1"/>
  <c r="DZ13" i="5"/>
  <c r="DY13" i="5"/>
  <c r="EA13" i="5" s="1"/>
  <c r="DX13" i="5"/>
  <c r="ET13" i="5" s="1"/>
  <c r="AU15" i="4"/>
  <c r="AL15" i="4" s="1"/>
  <c r="AP15" i="4" s="1"/>
  <c r="DT14" i="4"/>
  <c r="DY14" i="4" s="1"/>
  <c r="DZ13" i="4"/>
  <c r="EB13" i="4" s="1"/>
  <c r="EK16" i="5"/>
  <c r="EK16" i="4"/>
  <c r="AW17" i="5"/>
  <c r="EF17" i="5" s="1"/>
  <c r="AM16" i="5"/>
  <c r="AQ16" i="5" s="1"/>
  <c r="AW17" i="4"/>
  <c r="EF17" i="4" s="1"/>
  <c r="K16" i="9" s="1"/>
  <c r="AM16" i="4"/>
  <c r="C15" i="9" s="1"/>
  <c r="CA16" i="5"/>
  <c r="DU15" i="5"/>
  <c r="P14" i="9" s="1"/>
  <c r="BR15" i="5"/>
  <c r="BV15" i="5" s="1"/>
  <c r="DX13" i="4"/>
  <c r="ET13" i="4" s="1"/>
  <c r="EL14" i="5"/>
  <c r="EN14" i="5" s="1"/>
  <c r="EJ13" i="4"/>
  <c r="EU13" i="4" s="1"/>
  <c r="EL13" i="4"/>
  <c r="EN13" i="4" s="1"/>
  <c r="CC16" i="5"/>
  <c r="BS15" i="5"/>
  <c r="BW15" i="5" s="1"/>
  <c r="EG15" i="5"/>
  <c r="EJ15" i="5" s="1"/>
  <c r="EU15" i="5" s="1"/>
  <c r="CC15" i="4"/>
  <c r="EG14" i="4"/>
  <c r="L13" i="9" s="1"/>
  <c r="BS14" i="4"/>
  <c r="BW14" i="4" s="1"/>
  <c r="CA15" i="4"/>
  <c r="DU14" i="4"/>
  <c r="BR14" i="4"/>
  <c r="BV14" i="4" s="1"/>
  <c r="EK15" i="4"/>
  <c r="EK15" i="5"/>
  <c r="EM13" i="4"/>
  <c r="EA13" i="4"/>
  <c r="EM14" i="5"/>
  <c r="DZ14" i="5" l="1"/>
  <c r="AU16" i="5"/>
  <c r="AL16" i="5" s="1"/>
  <c r="E15" i="9" s="1"/>
  <c r="DT15" i="5"/>
  <c r="AP15" i="5"/>
  <c r="DY14" i="5"/>
  <c r="EA14" i="5" s="1"/>
  <c r="DX14" i="5"/>
  <c r="ET14" i="5" s="1"/>
  <c r="EB13" i="5"/>
  <c r="AQ16" i="4"/>
  <c r="DX14" i="4"/>
  <c r="ET14" i="4" s="1"/>
  <c r="AU16" i="4"/>
  <c r="DT16" i="4" s="1"/>
  <c r="DY16" i="4" s="1"/>
  <c r="DT15" i="4"/>
  <c r="DY15" i="4" s="1"/>
  <c r="CA17" i="5"/>
  <c r="DU16" i="5"/>
  <c r="P15" i="9" s="1"/>
  <c r="BR16" i="5"/>
  <c r="BV16" i="5" s="1"/>
  <c r="CC17" i="5"/>
  <c r="EG16" i="5"/>
  <c r="BS16" i="5"/>
  <c r="BW16" i="5" s="1"/>
  <c r="EK17" i="5"/>
  <c r="EK17" i="4"/>
  <c r="AW18" i="4"/>
  <c r="EF18" i="4" s="1"/>
  <c r="K17" i="9" s="1"/>
  <c r="AM17" i="4"/>
  <c r="C16" i="9" s="1"/>
  <c r="AW18" i="5"/>
  <c r="EF18" i="5" s="1"/>
  <c r="AM17" i="5"/>
  <c r="AQ17" i="5" s="1"/>
  <c r="EM15" i="5"/>
  <c r="DZ14" i="4"/>
  <c r="EB14" i="4" s="1"/>
  <c r="CC16" i="4"/>
  <c r="BS15" i="4"/>
  <c r="BW15" i="4" s="1"/>
  <c r="EG15" i="4"/>
  <c r="L14" i="9" s="1"/>
  <c r="CA16" i="4"/>
  <c r="DU15" i="4"/>
  <c r="BR15" i="4"/>
  <c r="BV15" i="4" s="1"/>
  <c r="EL15" i="5"/>
  <c r="EN15" i="5" s="1"/>
  <c r="EL14" i="4"/>
  <c r="EN14" i="4" s="1"/>
  <c r="EJ14" i="4"/>
  <c r="EU14" i="4" s="1"/>
  <c r="EM14" i="4"/>
  <c r="EA14" i="4"/>
  <c r="DY15" i="5" l="1"/>
  <c r="EA15" i="5" s="1"/>
  <c r="O14" i="9"/>
  <c r="DX15" i="5"/>
  <c r="ET15" i="5" s="1"/>
  <c r="DZ15" i="5"/>
  <c r="AU17" i="5"/>
  <c r="DT17" i="5" s="1"/>
  <c r="DT16" i="5"/>
  <c r="O15" i="9" s="1"/>
  <c r="EB14" i="5"/>
  <c r="AP16" i="5"/>
  <c r="EM15" i="4"/>
  <c r="AQ17" i="4"/>
  <c r="DZ15" i="4"/>
  <c r="EB15" i="4" s="1"/>
  <c r="AU17" i="4"/>
  <c r="DT17" i="4" s="1"/>
  <c r="DY17" i="4" s="1"/>
  <c r="AL16" i="4"/>
  <c r="AP16" i="4" s="1"/>
  <c r="CC18" i="5"/>
  <c r="BS17" i="5"/>
  <c r="BW17" i="5" s="1"/>
  <c r="EG17" i="5"/>
  <c r="EM17" i="5" s="1"/>
  <c r="EL16" i="5"/>
  <c r="EN16" i="5" s="1"/>
  <c r="EJ16" i="5"/>
  <c r="EU16" i="5" s="1"/>
  <c r="CC17" i="4"/>
  <c r="EG16" i="4"/>
  <c r="L15" i="9" s="1"/>
  <c r="BS16" i="4"/>
  <c r="BW16" i="4" s="1"/>
  <c r="EK18" i="5"/>
  <c r="EM16" i="5"/>
  <c r="EK18" i="4"/>
  <c r="CA17" i="4"/>
  <c r="DU16" i="4"/>
  <c r="BR16" i="4"/>
  <c r="BV16" i="4" s="1"/>
  <c r="CA18" i="5"/>
  <c r="DU17" i="5"/>
  <c r="P16" i="9" s="1"/>
  <c r="BR17" i="5"/>
  <c r="BV17" i="5" s="1"/>
  <c r="AM18" i="5"/>
  <c r="AQ18" i="5" s="1"/>
  <c r="AW19" i="5"/>
  <c r="EF19" i="5" s="1"/>
  <c r="R24" i="5"/>
  <c r="AM18" i="4"/>
  <c r="C17" i="9" s="1"/>
  <c r="R24" i="4"/>
  <c r="AW19" i="4"/>
  <c r="EF19" i="4" s="1"/>
  <c r="K18" i="9" s="1"/>
  <c r="EA15" i="4"/>
  <c r="DX15" i="4"/>
  <c r="ET15" i="4" s="1"/>
  <c r="EL15" i="4"/>
  <c r="EN15" i="4" s="1"/>
  <c r="EJ15" i="4"/>
  <c r="EU15" i="4" s="1"/>
  <c r="AL17" i="5" l="1"/>
  <c r="E16" i="9" s="1"/>
  <c r="EB15" i="5"/>
  <c r="DY17" i="5"/>
  <c r="EA17" i="5" s="1"/>
  <c r="O16" i="9"/>
  <c r="DY16" i="5"/>
  <c r="EA16" i="5" s="1"/>
  <c r="DX16" i="5"/>
  <c r="ET16" i="5" s="1"/>
  <c r="DZ16" i="5"/>
  <c r="AU18" i="5"/>
  <c r="DT18" i="5" s="1"/>
  <c r="O17" i="9" s="1"/>
  <c r="A7" i="7"/>
  <c r="B7" i="7" s="1"/>
  <c r="A9" i="10" s="1"/>
  <c r="J3" i="10" s="1"/>
  <c r="AU13" i="1"/>
  <c r="BB13" i="1" s="1"/>
  <c r="AQ18" i="4"/>
  <c r="DX17" i="5"/>
  <c r="ET17" i="5" s="1"/>
  <c r="AU18" i="4"/>
  <c r="DT18" i="4" s="1"/>
  <c r="DY18" i="4" s="1"/>
  <c r="AL17" i="4"/>
  <c r="AP17" i="4" s="1"/>
  <c r="DZ17" i="5"/>
  <c r="CC19" i="5"/>
  <c r="EG18" i="5"/>
  <c r="BS18" i="5"/>
  <c r="BW18" i="5" s="1"/>
  <c r="EL17" i="5"/>
  <c r="EN17" i="5" s="1"/>
  <c r="EJ17" i="5"/>
  <c r="EU17" i="5" s="1"/>
  <c r="EK19" i="4"/>
  <c r="EK19" i="5"/>
  <c r="CA19" i="5"/>
  <c r="DU18" i="5"/>
  <c r="P17" i="9" s="1"/>
  <c r="BR18" i="5"/>
  <c r="BV18" i="5" s="1"/>
  <c r="CC18" i="4"/>
  <c r="EG17" i="4"/>
  <c r="L16" i="9" s="1"/>
  <c r="BS17" i="4"/>
  <c r="BW17" i="4" s="1"/>
  <c r="EJ16" i="4"/>
  <c r="EU16" i="4" s="1"/>
  <c r="EL16" i="4"/>
  <c r="EN16" i="4" s="1"/>
  <c r="EM16" i="4"/>
  <c r="CA18" i="4"/>
  <c r="DU17" i="4"/>
  <c r="EA17" i="4" s="1"/>
  <c r="BR17" i="4"/>
  <c r="BV17" i="4" s="1"/>
  <c r="DX16" i="4"/>
  <c r="ET16" i="4" s="1"/>
  <c r="DZ16" i="4"/>
  <c r="EB16" i="4" s="1"/>
  <c r="EA16" i="4"/>
  <c r="AW20" i="4"/>
  <c r="EF20" i="4" s="1"/>
  <c r="K19" i="9" s="1"/>
  <c r="AM19" i="4"/>
  <c r="C18" i="9" s="1"/>
  <c r="AW20" i="5"/>
  <c r="EF20" i="5" s="1"/>
  <c r="AM19" i="5"/>
  <c r="AQ19" i="5" s="1"/>
  <c r="AP17" i="5" l="1"/>
  <c r="EB17" i="5"/>
  <c r="EB16" i="5"/>
  <c r="AL18" i="5"/>
  <c r="E17" i="9" s="1"/>
  <c r="AU19" i="5"/>
  <c r="DT19" i="5" s="1"/>
  <c r="O18" i="9" s="1"/>
  <c r="DY18" i="5"/>
  <c r="EA18" i="5" s="1"/>
  <c r="K13" i="1"/>
  <c r="G7" i="7"/>
  <c r="A9" i="12" s="1"/>
  <c r="J3" i="12" s="1"/>
  <c r="DZ18" i="5"/>
  <c r="AQ19" i="4"/>
  <c r="AU19" i="4"/>
  <c r="DT19" i="4" s="1"/>
  <c r="DY19" i="4" s="1"/>
  <c r="AL18" i="4"/>
  <c r="AP18" i="4" s="1"/>
  <c r="CC20" i="5"/>
  <c r="EG19" i="5"/>
  <c r="BS19" i="5"/>
  <c r="BW19" i="5" s="1"/>
  <c r="DZ17" i="4"/>
  <c r="EB17" i="4" s="1"/>
  <c r="DX17" i="4"/>
  <c r="ET17" i="4" s="1"/>
  <c r="EJ18" i="5"/>
  <c r="EU18" i="5" s="1"/>
  <c r="EL18" i="5"/>
  <c r="EN18" i="5" s="1"/>
  <c r="EK20" i="4"/>
  <c r="CA19" i="4"/>
  <c r="DU18" i="4"/>
  <c r="EA18" i="4" s="1"/>
  <c r="BR18" i="4"/>
  <c r="BV18" i="4" s="1"/>
  <c r="EM18" i="5"/>
  <c r="EL17" i="4"/>
  <c r="EN17" i="4" s="1"/>
  <c r="EJ17" i="4"/>
  <c r="EU17" i="4" s="1"/>
  <c r="EM17" i="4"/>
  <c r="EK20" i="5"/>
  <c r="CC19" i="4"/>
  <c r="EG18" i="4"/>
  <c r="L17" i="9" s="1"/>
  <c r="BS18" i="4"/>
  <c r="BW18" i="4" s="1"/>
  <c r="CA20" i="5"/>
  <c r="DU19" i="5"/>
  <c r="P18" i="9" s="1"/>
  <c r="BR19" i="5"/>
  <c r="BV19" i="5" s="1"/>
  <c r="DX18" i="5"/>
  <c r="ET18" i="5" s="1"/>
  <c r="AW21" i="4"/>
  <c r="EF21" i="4" s="1"/>
  <c r="K20" i="9" s="1"/>
  <c r="AM20" i="4"/>
  <c r="C19" i="9" s="1"/>
  <c r="AW21" i="5"/>
  <c r="EF21" i="5" s="1"/>
  <c r="AM20" i="5"/>
  <c r="AQ20" i="5" s="1"/>
  <c r="EB18" i="5" l="1"/>
  <c r="AL19" i="5"/>
  <c r="E18" i="9" s="1"/>
  <c r="AP18" i="5"/>
  <c r="DY19" i="5"/>
  <c r="EA19" i="5" s="1"/>
  <c r="AU20" i="5"/>
  <c r="DT20" i="5" s="1"/>
  <c r="O19" i="9" s="1"/>
  <c r="AQ20" i="4"/>
  <c r="AL19" i="4"/>
  <c r="AP19" i="4" s="1"/>
  <c r="AU20" i="4"/>
  <c r="DT20" i="4" s="1"/>
  <c r="DY20" i="4" s="1"/>
  <c r="EG20" i="5"/>
  <c r="BS20" i="5"/>
  <c r="BW20" i="5" s="1"/>
  <c r="S24" i="5"/>
  <c r="CC21" i="5"/>
  <c r="CA21" i="5"/>
  <c r="BR20" i="5"/>
  <c r="BV20" i="5" s="1"/>
  <c r="DU20" i="5"/>
  <c r="P19" i="9" s="1"/>
  <c r="EL19" i="5"/>
  <c r="EN19" i="5" s="1"/>
  <c r="EJ19" i="5"/>
  <c r="EU19" i="5" s="1"/>
  <c r="EJ18" i="4"/>
  <c r="EU18" i="4" s="1"/>
  <c r="EL18" i="4"/>
  <c r="EN18" i="4" s="1"/>
  <c r="EM18" i="4"/>
  <c r="CA20" i="4"/>
  <c r="DU19" i="4"/>
  <c r="EA19" i="4" s="1"/>
  <c r="BR19" i="4"/>
  <c r="BV19" i="4" s="1"/>
  <c r="EM19" i="5"/>
  <c r="EK21" i="5"/>
  <c r="DX18" i="4"/>
  <c r="ET18" i="4" s="1"/>
  <c r="DZ18" i="4"/>
  <c r="EB18" i="4" s="1"/>
  <c r="DX19" i="5"/>
  <c r="ET19" i="5" s="1"/>
  <c r="DZ19" i="5"/>
  <c r="EK21" i="4"/>
  <c r="CC20" i="4"/>
  <c r="EG19" i="4"/>
  <c r="L18" i="9" s="1"/>
  <c r="BS19" i="4"/>
  <c r="BW19" i="4" s="1"/>
  <c r="AW22" i="4"/>
  <c r="EF22" i="4" s="1"/>
  <c r="K21" i="9" s="1"/>
  <c r="AM21" i="4"/>
  <c r="C20" i="9" s="1"/>
  <c r="AW22" i="5"/>
  <c r="EF22" i="5" s="1"/>
  <c r="AM21" i="5"/>
  <c r="AQ21" i="5" s="1"/>
  <c r="EB19" i="5" l="1"/>
  <c r="AP19" i="5"/>
  <c r="EK22" i="5"/>
  <c r="EK22" i="4"/>
  <c r="AL20" i="5"/>
  <c r="E19" i="9" s="1"/>
  <c r="DY20" i="5"/>
  <c r="EA20" i="5" s="1"/>
  <c r="AU21" i="5"/>
  <c r="DT21" i="5" s="1"/>
  <c r="O20" i="9" s="1"/>
  <c r="AQ21" i="4"/>
  <c r="AL20" i="4"/>
  <c r="AP20" i="4" s="1"/>
  <c r="AU21" i="4"/>
  <c r="DT21" i="4" s="1"/>
  <c r="DY21" i="4" s="1"/>
  <c r="EL20" i="5"/>
  <c r="EN20" i="5" s="1"/>
  <c r="EJ20" i="5"/>
  <c r="EU20" i="5" s="1"/>
  <c r="EG20" i="4"/>
  <c r="L19" i="9" s="1"/>
  <c r="BS20" i="4"/>
  <c r="BW20" i="4" s="1"/>
  <c r="S24" i="4"/>
  <c r="CC21" i="4"/>
  <c r="CA22" i="5"/>
  <c r="DU21" i="5"/>
  <c r="P20" i="9" s="1"/>
  <c r="BR21" i="5"/>
  <c r="BV21" i="5" s="1"/>
  <c r="CA21" i="4"/>
  <c r="DU20" i="4"/>
  <c r="EA20" i="4" s="1"/>
  <c r="BR20" i="4"/>
  <c r="BV20" i="4" s="1"/>
  <c r="CC22" i="5"/>
  <c r="EG21" i="5"/>
  <c r="EM21" i="5" s="1"/>
  <c r="BS21" i="5"/>
  <c r="BW21" i="5" s="1"/>
  <c r="DZ19" i="4"/>
  <c r="EB19" i="4" s="1"/>
  <c r="DX19" i="4"/>
  <c r="ET19" i="4" s="1"/>
  <c r="DX20" i="5"/>
  <c r="ET20" i="5" s="1"/>
  <c r="DZ20" i="5"/>
  <c r="EL19" i="4"/>
  <c r="EN19" i="4" s="1"/>
  <c r="EJ19" i="4"/>
  <c r="EU19" i="4" s="1"/>
  <c r="EM19" i="4"/>
  <c r="EM20" i="5"/>
  <c r="AW23" i="4"/>
  <c r="EF23" i="4" s="1"/>
  <c r="K22" i="9" s="1"/>
  <c r="AM22" i="4"/>
  <c r="C21" i="9" s="1"/>
  <c r="AW23" i="5"/>
  <c r="EF23" i="5" s="1"/>
  <c r="AM22" i="5"/>
  <c r="AQ22" i="5" s="1"/>
  <c r="EB20" i="5" l="1"/>
  <c r="EM22" i="5"/>
  <c r="DY21" i="5"/>
  <c r="EA21" i="5" s="1"/>
  <c r="EK23" i="5"/>
  <c r="CC23" i="5"/>
  <c r="BS22" i="5"/>
  <c r="BW22" i="5" s="1"/>
  <c r="EG22" i="5"/>
  <c r="CA23" i="5"/>
  <c r="DU22" i="5"/>
  <c r="P21" i="9" s="1"/>
  <c r="BR22" i="5"/>
  <c r="BV22" i="5" s="1"/>
  <c r="AL21" i="5"/>
  <c r="E20" i="9" s="1"/>
  <c r="AP20" i="5"/>
  <c r="EK23" i="4"/>
  <c r="AU22" i="5"/>
  <c r="A16" i="7"/>
  <c r="B16" i="7" s="1"/>
  <c r="A18" i="10" s="1"/>
  <c r="S3" i="10" s="1"/>
  <c r="AU22" i="1"/>
  <c r="BB22" i="1" s="1"/>
  <c r="AQ22" i="4"/>
  <c r="AU22" i="4"/>
  <c r="AL21" i="4"/>
  <c r="AP21" i="4" s="1"/>
  <c r="CC22" i="4"/>
  <c r="BS21" i="4"/>
  <c r="BW21" i="4" s="1"/>
  <c r="EG21" i="4"/>
  <c r="L20" i="9" s="1"/>
  <c r="EL21" i="5"/>
  <c r="EN21" i="5" s="1"/>
  <c r="EJ21" i="5"/>
  <c r="EU21" i="5" s="1"/>
  <c r="DZ21" i="5"/>
  <c r="DX21" i="5"/>
  <c r="ET21" i="5" s="1"/>
  <c r="CA22" i="4"/>
  <c r="BR21" i="4"/>
  <c r="BV21" i="4" s="1"/>
  <c r="DU21" i="4"/>
  <c r="EA21" i="4" s="1"/>
  <c r="DX20" i="4"/>
  <c r="ET20" i="4" s="1"/>
  <c r="DZ20" i="4"/>
  <c r="EB20" i="4" s="1"/>
  <c r="EJ20" i="4"/>
  <c r="EU20" i="4" s="1"/>
  <c r="EL20" i="4"/>
  <c r="EN20" i="4" s="1"/>
  <c r="EM20" i="4"/>
  <c r="AW24" i="4"/>
  <c r="EF24" i="4" s="1"/>
  <c r="K23" i="9" s="1"/>
  <c r="AM23" i="4"/>
  <c r="C22" i="9" s="1"/>
  <c r="AW24" i="5"/>
  <c r="EF24" i="5" s="1"/>
  <c r="AM23" i="5"/>
  <c r="AQ23" i="5" s="1"/>
  <c r="EB21" i="5" l="1"/>
  <c r="EL22" i="5"/>
  <c r="EN22" i="5" s="1"/>
  <c r="EJ22" i="5"/>
  <c r="EU22" i="5" s="1"/>
  <c r="EM23" i="5"/>
  <c r="AU23" i="5"/>
  <c r="DT22" i="5"/>
  <c r="O21" i="9" s="1"/>
  <c r="EK24" i="4"/>
  <c r="CA23" i="4"/>
  <c r="DU22" i="4"/>
  <c r="BR22" i="4"/>
  <c r="BV22" i="4" s="1"/>
  <c r="CC23" i="4"/>
  <c r="EG22" i="4"/>
  <c r="L21" i="9" s="1"/>
  <c r="BS22" i="4"/>
  <c r="BW22" i="4" s="1"/>
  <c r="CC24" i="5"/>
  <c r="EG23" i="5"/>
  <c r="BS23" i="5"/>
  <c r="BW23" i="5" s="1"/>
  <c r="AL22" i="5"/>
  <c r="E21" i="9" s="1"/>
  <c r="AU23" i="4"/>
  <c r="DT23" i="4" s="1"/>
  <c r="DT22" i="4"/>
  <c r="AP21" i="5"/>
  <c r="EK24" i="5"/>
  <c r="CA24" i="5"/>
  <c r="DU23" i="5"/>
  <c r="P22" i="9" s="1"/>
  <c r="BR23" i="5"/>
  <c r="BV23" i="5" s="1"/>
  <c r="K22" i="1"/>
  <c r="G16" i="7"/>
  <c r="A18" i="12" s="1"/>
  <c r="S3" i="12" s="1"/>
  <c r="AQ23" i="4"/>
  <c r="AL22" i="4"/>
  <c r="AP22" i="4" s="1"/>
  <c r="DX21" i="4"/>
  <c r="ET21" i="4" s="1"/>
  <c r="DZ21" i="4"/>
  <c r="EB21" i="4" s="1"/>
  <c r="EL21" i="4"/>
  <c r="EN21" i="4" s="1"/>
  <c r="EJ21" i="4"/>
  <c r="EU21" i="4" s="1"/>
  <c r="EM21" i="4"/>
  <c r="AW25" i="4"/>
  <c r="EF25" i="4" s="1"/>
  <c r="K24" i="9" s="1"/>
  <c r="AM24" i="4"/>
  <c r="C23" i="9" s="1"/>
  <c r="AW25" i="5"/>
  <c r="EF25" i="5" s="1"/>
  <c r="AM24" i="5"/>
  <c r="AQ24" i="5" s="1"/>
  <c r="AU24" i="4" l="1"/>
  <c r="DT24" i="4" s="1"/>
  <c r="DY24" i="4" s="1"/>
  <c r="AL23" i="4"/>
  <c r="AP23" i="4" s="1"/>
  <c r="AP22" i="5"/>
  <c r="EL23" i="5"/>
  <c r="EN23" i="5" s="1"/>
  <c r="EJ23" i="5"/>
  <c r="EU23" i="5" s="1"/>
  <c r="EJ22" i="4"/>
  <c r="EU22" i="4" s="1"/>
  <c r="EL22" i="4"/>
  <c r="EN22" i="4" s="1"/>
  <c r="EM22" i="4"/>
  <c r="DT23" i="5"/>
  <c r="O22" i="9" s="1"/>
  <c r="AU24" i="5"/>
  <c r="AL23" i="5"/>
  <c r="E22" i="9" s="1"/>
  <c r="CA25" i="5"/>
  <c r="DU24" i="5"/>
  <c r="P23" i="9" s="1"/>
  <c r="BR24" i="5"/>
  <c r="BV24" i="5" s="1"/>
  <c r="DX22" i="5"/>
  <c r="ET22" i="5" s="1"/>
  <c r="DZ22" i="5"/>
  <c r="DY22" i="5"/>
  <c r="EA22" i="5" s="1"/>
  <c r="DY23" i="4"/>
  <c r="DZ22" i="4"/>
  <c r="DX22" i="4"/>
  <c r="ET22" i="4" s="1"/>
  <c r="DY22" i="4"/>
  <c r="EA22" i="4" s="1"/>
  <c r="CC24" i="4"/>
  <c r="EG23" i="4"/>
  <c r="L22" i="9" s="1"/>
  <c r="BS23" i="4"/>
  <c r="BW23" i="4" s="1"/>
  <c r="EK25" i="4"/>
  <c r="CC25" i="5"/>
  <c r="EG24" i="5"/>
  <c r="EM24" i="5" s="1"/>
  <c r="BS24" i="5"/>
  <c r="BW24" i="5" s="1"/>
  <c r="EK25" i="5"/>
  <c r="CA24" i="4"/>
  <c r="DU23" i="4"/>
  <c r="DZ23" i="4" s="1"/>
  <c r="BR23" i="4"/>
  <c r="BV23" i="4" s="1"/>
  <c r="AQ24" i="4"/>
  <c r="AW26" i="4"/>
  <c r="EF26" i="4" s="1"/>
  <c r="K25" i="9" s="1"/>
  <c r="AM25" i="4"/>
  <c r="C24" i="9" s="1"/>
  <c r="AW26" i="5"/>
  <c r="EF26" i="5" s="1"/>
  <c r="AM25" i="5"/>
  <c r="AQ25" i="5" s="1"/>
  <c r="AL24" i="4"/>
  <c r="AP24" i="4" s="1"/>
  <c r="EB22" i="5" l="1"/>
  <c r="AU25" i="4"/>
  <c r="DT25" i="4" s="1"/>
  <c r="DY25" i="4" s="1"/>
  <c r="DX23" i="4"/>
  <c r="ET23" i="4" s="1"/>
  <c r="EA23" i="4"/>
  <c r="EJ24" i="5"/>
  <c r="EU24" i="5" s="1"/>
  <c r="EL24" i="5"/>
  <c r="EN24" i="5" s="1"/>
  <c r="EB22" i="4"/>
  <c r="EJ23" i="4"/>
  <c r="EU23" i="4" s="1"/>
  <c r="EL23" i="4"/>
  <c r="EN23" i="4" s="1"/>
  <c r="EM23" i="4"/>
  <c r="EB23" i="4"/>
  <c r="CA25" i="4"/>
  <c r="DU24" i="4"/>
  <c r="EA24" i="4" s="1"/>
  <c r="BR24" i="4"/>
  <c r="BV24" i="4" s="1"/>
  <c r="DZ23" i="5"/>
  <c r="DY23" i="5"/>
  <c r="EA23" i="5" s="1"/>
  <c r="DX23" i="5"/>
  <c r="ET23" i="5" s="1"/>
  <c r="CC26" i="5"/>
  <c r="BS25" i="5"/>
  <c r="BW25" i="5" s="1"/>
  <c r="EG25" i="5"/>
  <c r="EM25" i="5" s="1"/>
  <c r="DT24" i="5"/>
  <c r="O23" i="9" s="1"/>
  <c r="AL24" i="5"/>
  <c r="E23" i="9" s="1"/>
  <c r="AU25" i="5"/>
  <c r="AP23" i="5"/>
  <c r="EK26" i="5"/>
  <c r="CC25" i="4"/>
  <c r="EG24" i="4"/>
  <c r="L23" i="9" s="1"/>
  <c r="BS24" i="4"/>
  <c r="BW24" i="4" s="1"/>
  <c r="CA26" i="5"/>
  <c r="DU25" i="5"/>
  <c r="P24" i="9" s="1"/>
  <c r="BR25" i="5"/>
  <c r="BV25" i="5" s="1"/>
  <c r="EK26" i="4"/>
  <c r="AQ25" i="4"/>
  <c r="AW27" i="4"/>
  <c r="EF27" i="4" s="1"/>
  <c r="K26" i="9" s="1"/>
  <c r="AM26" i="4"/>
  <c r="C25" i="9" s="1"/>
  <c r="AW27" i="5"/>
  <c r="EF27" i="5" s="1"/>
  <c r="AM26" i="5"/>
  <c r="AQ26" i="5" s="1"/>
  <c r="AL25" i="4"/>
  <c r="AP25" i="4" s="1"/>
  <c r="AU26" i="4" l="1"/>
  <c r="DT26" i="4" s="1"/>
  <c r="DY26" i="4" s="1"/>
  <c r="EL25" i="5"/>
  <c r="EN25" i="5" s="1"/>
  <c r="EJ25" i="5"/>
  <c r="EU25" i="5" s="1"/>
  <c r="EB23" i="5"/>
  <c r="DX24" i="4"/>
  <c r="ET24" i="4" s="1"/>
  <c r="DZ24" i="4"/>
  <c r="EB24" i="4" s="1"/>
  <c r="EJ24" i="4"/>
  <c r="EU24" i="4" s="1"/>
  <c r="EL24" i="4"/>
  <c r="EN24" i="4" s="1"/>
  <c r="EM24" i="4"/>
  <c r="DZ24" i="5"/>
  <c r="DX24" i="5"/>
  <c r="ET24" i="5" s="1"/>
  <c r="DY24" i="5"/>
  <c r="EA24" i="5" s="1"/>
  <c r="CC26" i="4"/>
  <c r="EG25" i="4"/>
  <c r="L24" i="9" s="1"/>
  <c r="BS25" i="4"/>
  <c r="BW25" i="4" s="1"/>
  <c r="AP24" i="5"/>
  <c r="CA26" i="4"/>
  <c r="DU25" i="4"/>
  <c r="EA25" i="4" s="1"/>
  <c r="BR25" i="4"/>
  <c r="BV25" i="4" s="1"/>
  <c r="EK27" i="4"/>
  <c r="EK27" i="5"/>
  <c r="DT25" i="5"/>
  <c r="O24" i="9" s="1"/>
  <c r="AL25" i="5"/>
  <c r="E24" i="9" s="1"/>
  <c r="AU26" i="5"/>
  <c r="CA27" i="5"/>
  <c r="DU26" i="5"/>
  <c r="P25" i="9" s="1"/>
  <c r="BR26" i="5"/>
  <c r="BV26" i="5" s="1"/>
  <c r="CC27" i="5"/>
  <c r="EG26" i="5"/>
  <c r="EM26" i="5" s="1"/>
  <c r="BS26" i="5"/>
  <c r="BW26" i="5" s="1"/>
  <c r="AQ26" i="4"/>
  <c r="AL26" i="4"/>
  <c r="AP26" i="4" s="1"/>
  <c r="AW28" i="4"/>
  <c r="AM27" i="4"/>
  <c r="C26" i="9" s="1"/>
  <c r="AW28" i="5"/>
  <c r="AM27" i="5"/>
  <c r="AQ27" i="5" s="1"/>
  <c r="AU27" i="4" l="1"/>
  <c r="DT27" i="4" s="1"/>
  <c r="DY27" i="4" s="1"/>
  <c r="EL26" i="5"/>
  <c r="EN26" i="5" s="1"/>
  <c r="EJ26" i="5"/>
  <c r="EU26" i="5" s="1"/>
  <c r="EB24" i="5"/>
  <c r="EL25" i="4"/>
  <c r="EN25" i="4" s="1"/>
  <c r="EJ25" i="4"/>
  <c r="EU25" i="4" s="1"/>
  <c r="EM25" i="4"/>
  <c r="DZ25" i="4"/>
  <c r="EB25" i="4" s="1"/>
  <c r="DX25" i="4"/>
  <c r="ET25" i="4" s="1"/>
  <c r="CC27" i="4"/>
  <c r="BS26" i="4"/>
  <c r="BW26" i="4" s="1"/>
  <c r="EG26" i="4"/>
  <c r="L25" i="9" s="1"/>
  <c r="DY25" i="5"/>
  <c r="EA25" i="5" s="1"/>
  <c r="DX25" i="5"/>
  <c r="ET25" i="5" s="1"/>
  <c r="DZ25" i="5"/>
  <c r="CA28" i="5"/>
  <c r="CA29" i="5" s="1"/>
  <c r="CA30" i="5" s="1"/>
  <c r="CA31" i="5" s="1"/>
  <c r="CA32" i="5" s="1"/>
  <c r="CA33" i="5" s="1"/>
  <c r="CA34" i="5" s="1"/>
  <c r="CA35" i="5" s="1"/>
  <c r="CA36" i="5" s="1"/>
  <c r="CA37" i="5" s="1"/>
  <c r="CA38" i="5" s="1"/>
  <c r="CA39" i="5" s="1"/>
  <c r="CA40" i="5" s="1"/>
  <c r="CA41" i="5" s="1"/>
  <c r="CA42" i="5" s="1"/>
  <c r="CA43" i="5" s="1"/>
  <c r="CA44" i="5" s="1"/>
  <c r="CA45" i="5" s="1"/>
  <c r="CA46" i="5" s="1"/>
  <c r="CA47" i="5" s="1"/>
  <c r="CA48" i="5" s="1"/>
  <c r="CA49" i="5" s="1"/>
  <c r="CA50" i="5" s="1"/>
  <c r="BR27" i="5"/>
  <c r="BV27" i="5" s="1"/>
  <c r="S13" i="5" s="1"/>
  <c r="DU27" i="5"/>
  <c r="P26" i="9" s="1"/>
  <c r="AP25" i="5"/>
  <c r="DT26" i="5"/>
  <c r="O25" i="9" s="1"/>
  <c r="AL26" i="5"/>
  <c r="E25" i="9" s="1"/>
  <c r="AU27" i="5"/>
  <c r="CA27" i="4"/>
  <c r="BR26" i="4"/>
  <c r="BV26" i="4" s="1"/>
  <c r="DU26" i="4"/>
  <c r="EA26" i="4" s="1"/>
  <c r="CC28" i="5"/>
  <c r="CC29" i="5" s="1"/>
  <c r="CC30" i="5" s="1"/>
  <c r="CC31" i="5" s="1"/>
  <c r="CC32" i="5" s="1"/>
  <c r="CC33" i="5" s="1"/>
  <c r="CC34" i="5" s="1"/>
  <c r="CC35" i="5" s="1"/>
  <c r="CC36" i="5" s="1"/>
  <c r="CC37" i="5" s="1"/>
  <c r="CC38" i="5" s="1"/>
  <c r="CC39" i="5" s="1"/>
  <c r="CC40" i="5" s="1"/>
  <c r="CC41" i="5" s="1"/>
  <c r="CC42" i="5" s="1"/>
  <c r="CC43" i="5" s="1"/>
  <c r="CC44" i="5" s="1"/>
  <c r="CC45" i="5" s="1"/>
  <c r="CC46" i="5" s="1"/>
  <c r="CC47" i="5" s="1"/>
  <c r="CC48" i="5" s="1"/>
  <c r="CC49" i="5" s="1"/>
  <c r="CC50" i="5" s="1"/>
  <c r="BS27" i="5"/>
  <c r="BW27" i="5" s="1"/>
  <c r="EG27" i="5"/>
  <c r="EM27" i="5" s="1"/>
  <c r="EP6" i="5" s="1"/>
  <c r="T31" i="5" s="1"/>
  <c r="AQ27" i="4"/>
  <c r="AL27" i="4"/>
  <c r="AP27" i="4" s="1"/>
  <c r="AW29" i="4"/>
  <c r="AM28" i="4"/>
  <c r="C27" i="9" s="1"/>
  <c r="AW29" i="5"/>
  <c r="AM28" i="5"/>
  <c r="AQ28" i="5" s="1"/>
  <c r="EB25" i="5" l="1"/>
  <c r="AU28" i="4"/>
  <c r="AU29" i="4" s="1"/>
  <c r="EL27" i="5"/>
  <c r="EN27" i="5" s="1"/>
  <c r="EJ27" i="5"/>
  <c r="EU27" i="5" s="1"/>
  <c r="T25" i="5" s="1"/>
  <c r="S25" i="5"/>
  <c r="S27" i="5"/>
  <c r="AV24" i="1"/>
  <c r="BC24" i="1" s="1"/>
  <c r="L24" i="1" s="1"/>
  <c r="D18" i="7"/>
  <c r="E18" i="7" s="1"/>
  <c r="S26" i="5"/>
  <c r="S12" i="5"/>
  <c r="S14" i="5"/>
  <c r="DZ26" i="4"/>
  <c r="EB26" i="4" s="1"/>
  <c r="DX26" i="4"/>
  <c r="ET26" i="4" s="1"/>
  <c r="EJ26" i="4"/>
  <c r="EU26" i="4" s="1"/>
  <c r="EL26" i="4"/>
  <c r="EN26" i="4" s="1"/>
  <c r="EM26" i="4"/>
  <c r="CA28" i="4"/>
  <c r="CA29" i="4" s="1"/>
  <c r="CA30" i="4" s="1"/>
  <c r="CA31" i="4" s="1"/>
  <c r="CA32" i="4" s="1"/>
  <c r="CA33" i="4" s="1"/>
  <c r="CA34" i="4" s="1"/>
  <c r="CA35" i="4" s="1"/>
  <c r="CA36" i="4" s="1"/>
  <c r="CA37" i="4" s="1"/>
  <c r="CA38" i="4" s="1"/>
  <c r="CA39" i="4" s="1"/>
  <c r="CA40" i="4" s="1"/>
  <c r="CA41" i="4" s="1"/>
  <c r="CA42" i="4" s="1"/>
  <c r="CA43" i="4" s="1"/>
  <c r="CA44" i="4" s="1"/>
  <c r="CA45" i="4" s="1"/>
  <c r="CA46" i="4" s="1"/>
  <c r="CA47" i="4" s="1"/>
  <c r="CA48" i="4" s="1"/>
  <c r="CA49" i="4" s="1"/>
  <c r="CA50" i="4" s="1"/>
  <c r="BR27" i="4"/>
  <c r="BV27" i="4" s="1"/>
  <c r="S14" i="4" s="1"/>
  <c r="DU27" i="4"/>
  <c r="EA27" i="4" s="1"/>
  <c r="ED6" i="4" s="1"/>
  <c r="T18" i="4" s="1"/>
  <c r="DY26" i="5"/>
  <c r="EA26" i="5" s="1"/>
  <c r="DZ26" i="5"/>
  <c r="DX26" i="5"/>
  <c r="ET26" i="5" s="1"/>
  <c r="CC28" i="4"/>
  <c r="CC29" i="4" s="1"/>
  <c r="CC30" i="4" s="1"/>
  <c r="CC31" i="4" s="1"/>
  <c r="CC32" i="4" s="1"/>
  <c r="CC33" i="4" s="1"/>
  <c r="CC34" i="4" s="1"/>
  <c r="CC35" i="4" s="1"/>
  <c r="CC36" i="4" s="1"/>
  <c r="CC37" i="4" s="1"/>
  <c r="CC38" i="4" s="1"/>
  <c r="CC39" i="4" s="1"/>
  <c r="CC40" i="4" s="1"/>
  <c r="CC41" i="4" s="1"/>
  <c r="CC42" i="4" s="1"/>
  <c r="CC43" i="4" s="1"/>
  <c r="CC44" i="4" s="1"/>
  <c r="CC45" i="4" s="1"/>
  <c r="CC46" i="4" s="1"/>
  <c r="CC47" i="4" s="1"/>
  <c r="CC48" i="4" s="1"/>
  <c r="CC49" i="4" s="1"/>
  <c r="CC50" i="4" s="1"/>
  <c r="BS27" i="4"/>
  <c r="BW27" i="4" s="1"/>
  <c r="S27" i="4" s="1"/>
  <c r="EG27" i="4"/>
  <c r="L26" i="9" s="1"/>
  <c r="AP26" i="5"/>
  <c r="DT27" i="5"/>
  <c r="O26" i="9" s="1"/>
  <c r="AL27" i="5"/>
  <c r="E26" i="9" s="1"/>
  <c r="AU28" i="5"/>
  <c r="AQ28" i="4"/>
  <c r="AL28" i="4"/>
  <c r="AP28" i="4" s="1"/>
  <c r="AW30" i="4"/>
  <c r="AM29" i="4"/>
  <c r="C28" i="9" s="1"/>
  <c r="AW30" i="5"/>
  <c r="AM29" i="5"/>
  <c r="AQ29" i="5" s="1"/>
  <c r="T26" i="5" l="1"/>
  <c r="S12" i="4"/>
  <c r="S13" i="4"/>
  <c r="EO8" i="5"/>
  <c r="EO6" i="5"/>
  <c r="EO7" i="5"/>
  <c r="EO9" i="5"/>
  <c r="T27" i="5"/>
  <c r="EB26" i="5"/>
  <c r="AV23" i="1"/>
  <c r="BC23" i="1" s="1"/>
  <c r="L23" i="1" s="1"/>
  <c r="D17" i="7"/>
  <c r="E17" i="7" s="1"/>
  <c r="AV25" i="1"/>
  <c r="BC25" i="1" s="1"/>
  <c r="L25" i="1" s="1"/>
  <c r="D19" i="7"/>
  <c r="E19" i="7" s="1"/>
  <c r="G54" i="7"/>
  <c r="A56" i="12" s="1"/>
  <c r="BE3" i="12" s="1"/>
  <c r="A20" i="11"/>
  <c r="U3" i="11" s="1"/>
  <c r="AU25" i="1"/>
  <c r="BB25" i="1" s="1"/>
  <c r="K25" i="1" s="1"/>
  <c r="A19" i="7"/>
  <c r="B19" i="7" s="1"/>
  <c r="S26" i="4"/>
  <c r="S25" i="4"/>
  <c r="DZ27" i="4"/>
  <c r="EB27" i="4" s="1"/>
  <c r="DX27" i="4"/>
  <c r="ET27" i="4" s="1"/>
  <c r="EJ27" i="4"/>
  <c r="EU27" i="4" s="1"/>
  <c r="T26" i="4" s="1"/>
  <c r="EL27" i="4"/>
  <c r="EN27" i="4" s="1"/>
  <c r="EO8" i="4" s="1"/>
  <c r="EM27" i="4"/>
  <c r="EP6" i="4" s="1"/>
  <c r="T31" i="4" s="1"/>
  <c r="AP27" i="5"/>
  <c r="AU29" i="5"/>
  <c r="AL28" i="5"/>
  <c r="E27" i="9" s="1"/>
  <c r="DY27" i="5"/>
  <c r="EA27" i="5" s="1"/>
  <c r="ED6" i="5" s="1"/>
  <c r="T18" i="5" s="1"/>
  <c r="DX27" i="5"/>
  <c r="ET27" i="5" s="1"/>
  <c r="T14" i="5" s="1"/>
  <c r="DZ27" i="5"/>
  <c r="AQ29" i="4"/>
  <c r="AW31" i="5"/>
  <c r="AM30" i="5"/>
  <c r="AQ30" i="5" s="1"/>
  <c r="AU30" i="4"/>
  <c r="AL29" i="4"/>
  <c r="AP29" i="4" s="1"/>
  <c r="AW31" i="4"/>
  <c r="AM30" i="4"/>
  <c r="C29" i="9" s="1"/>
  <c r="EO9" i="4" l="1"/>
  <c r="EO11" i="5"/>
  <c r="T30" i="5" s="1"/>
  <c r="EO13" i="5"/>
  <c r="EO17" i="5" s="1"/>
  <c r="T46" i="5" s="1"/>
  <c r="EB27" i="5"/>
  <c r="AY15" i="1"/>
  <c r="BE15" i="1" s="1"/>
  <c r="O15" i="1" s="1"/>
  <c r="D25" i="7"/>
  <c r="E25" i="7" s="1"/>
  <c r="A19" i="11"/>
  <c r="T3" i="11" s="1"/>
  <c r="G53" i="7"/>
  <c r="A55" i="12" s="1"/>
  <c r="BD3" i="12" s="1"/>
  <c r="A21" i="11"/>
  <c r="V3" i="11" s="1"/>
  <c r="G55" i="7"/>
  <c r="A57" i="12" s="1"/>
  <c r="BF3" i="12" s="1"/>
  <c r="D29" i="7"/>
  <c r="E29" i="7" s="1"/>
  <c r="AY13" i="1"/>
  <c r="BE13" i="1" s="1"/>
  <c r="O13" i="1" s="1"/>
  <c r="T13" i="5"/>
  <c r="T12" i="5"/>
  <c r="AX14" i="1"/>
  <c r="BD14" i="1" s="1"/>
  <c r="N14" i="1" s="1"/>
  <c r="A24" i="7"/>
  <c r="B24" i="7" s="1"/>
  <c r="T13" i="4"/>
  <c r="T12" i="4"/>
  <c r="T14" i="4"/>
  <c r="EO7" i="4"/>
  <c r="EO6" i="4"/>
  <c r="A21" i="10"/>
  <c r="V3" i="10" s="1"/>
  <c r="G19" i="7"/>
  <c r="A21" i="12" s="1"/>
  <c r="V3" i="12" s="1"/>
  <c r="A29" i="7"/>
  <c r="B29" i="7" s="1"/>
  <c r="AX13" i="1"/>
  <c r="BD13" i="1" s="1"/>
  <c r="N13" i="1" s="1"/>
  <c r="AU24" i="1"/>
  <c r="BB24" i="1" s="1"/>
  <c r="K24" i="1" s="1"/>
  <c r="A18" i="7"/>
  <c r="B18" i="7" s="1"/>
  <c r="T27" i="4"/>
  <c r="T25" i="4"/>
  <c r="AU23" i="1"/>
  <c r="BB23" i="1" s="1"/>
  <c r="K23" i="1" s="1"/>
  <c r="A17" i="7"/>
  <c r="B17" i="7" s="1"/>
  <c r="EC9" i="4"/>
  <c r="EC8" i="4"/>
  <c r="EC6" i="4"/>
  <c r="EC7" i="4"/>
  <c r="AU30" i="5"/>
  <c r="AL29" i="5"/>
  <c r="E28" i="9" s="1"/>
  <c r="AP28" i="5"/>
  <c r="AQ30" i="4"/>
  <c r="AW32" i="5"/>
  <c r="AM31" i="5"/>
  <c r="AQ31" i="5" s="1"/>
  <c r="AW32" i="4"/>
  <c r="AM31" i="4"/>
  <c r="C30" i="9" s="1"/>
  <c r="AU31" i="4"/>
  <c r="AL30" i="4"/>
  <c r="AP30" i="4" s="1"/>
  <c r="EO16" i="5" l="1"/>
  <c r="T45" i="5" s="1"/>
  <c r="EO18" i="5"/>
  <c r="T47" i="5" s="1"/>
  <c r="EC9" i="5"/>
  <c r="EC7" i="5"/>
  <c r="EC6" i="5"/>
  <c r="EC8" i="5"/>
  <c r="EO15" i="5"/>
  <c r="T44" i="5" s="1"/>
  <c r="AY14" i="1"/>
  <c r="BE14" i="1" s="1"/>
  <c r="O14" i="1" s="1"/>
  <c r="D24" i="7"/>
  <c r="E24" i="7" s="1"/>
  <c r="AY12" i="1"/>
  <c r="BE12" i="1" s="1"/>
  <c r="O12" i="1" s="1"/>
  <c r="D23" i="7"/>
  <c r="E23" i="7" s="1"/>
  <c r="A27" i="11"/>
  <c r="AB3" i="11" s="1"/>
  <c r="G61" i="7"/>
  <c r="A63" i="12" s="1"/>
  <c r="BL3" i="12" s="1"/>
  <c r="A31" i="11"/>
  <c r="AF3" i="11" s="1"/>
  <c r="G65" i="7"/>
  <c r="A67" i="12" s="1"/>
  <c r="BP3" i="12" s="1"/>
  <c r="A25" i="7"/>
  <c r="B25" i="7" s="1"/>
  <c r="AX15" i="1"/>
  <c r="BD15" i="1" s="1"/>
  <c r="N15" i="1" s="1"/>
  <c r="AX12" i="1"/>
  <c r="BD12" i="1" s="1"/>
  <c r="N12" i="1" s="1"/>
  <c r="A23" i="7"/>
  <c r="B23" i="7" s="1"/>
  <c r="G17" i="7"/>
  <c r="A19" i="12" s="1"/>
  <c r="T3" i="12" s="1"/>
  <c r="A19" i="10"/>
  <c r="T3" i="10" s="1"/>
  <c r="A26" i="10"/>
  <c r="AA3" i="10" s="1"/>
  <c r="G24" i="7"/>
  <c r="A26" i="12" s="1"/>
  <c r="AA3" i="12" s="1"/>
  <c r="A31" i="10"/>
  <c r="AF3" i="10" s="1"/>
  <c r="G29" i="7"/>
  <c r="A31" i="12" s="1"/>
  <c r="AF3" i="12" s="1"/>
  <c r="EC13" i="4"/>
  <c r="EC16" i="4" s="1"/>
  <c r="T37" i="4" s="1"/>
  <c r="EC11" i="4"/>
  <c r="T17" i="4" s="1"/>
  <c r="A20" i="10"/>
  <c r="U3" i="10" s="1"/>
  <c r="G18" i="7"/>
  <c r="A20" i="12" s="1"/>
  <c r="U3" i="12" s="1"/>
  <c r="EO13" i="4"/>
  <c r="EO16" i="4" s="1"/>
  <c r="T45" i="4" s="1"/>
  <c r="EO11" i="4"/>
  <c r="T30" i="4" s="1"/>
  <c r="AU31" i="5"/>
  <c r="AL30" i="5"/>
  <c r="E29" i="9" s="1"/>
  <c r="AP29" i="5"/>
  <c r="AQ31" i="4"/>
  <c r="AU32" i="4"/>
  <c r="AL31" i="4"/>
  <c r="AP31" i="4" s="1"/>
  <c r="AW33" i="5"/>
  <c r="AM32" i="5"/>
  <c r="AQ32" i="5" s="1"/>
  <c r="AW33" i="4"/>
  <c r="AM32" i="4"/>
  <c r="C31" i="9" s="1"/>
  <c r="EC13" i="5" l="1"/>
  <c r="EC17" i="5" s="1"/>
  <c r="T38" i="5" s="1"/>
  <c r="EC11" i="5"/>
  <c r="T17" i="5" s="1"/>
  <c r="A26" i="11"/>
  <c r="AA3" i="11" s="1"/>
  <c r="G60" i="7"/>
  <c r="A62" i="12" s="1"/>
  <c r="BK3" i="12" s="1"/>
  <c r="A25" i="11"/>
  <c r="Z3" i="11" s="1"/>
  <c r="G59" i="7"/>
  <c r="A61" i="12" s="1"/>
  <c r="BJ3" i="12" s="1"/>
  <c r="A35" i="7"/>
  <c r="B35" i="7" s="1"/>
  <c r="AX22" i="1"/>
  <c r="BD22" i="1" s="1"/>
  <c r="N22" i="1" s="1"/>
  <c r="EC17" i="4"/>
  <c r="T38" i="4" s="1"/>
  <c r="EC15" i="4"/>
  <c r="T36" i="4" s="1"/>
  <c r="EO18" i="4"/>
  <c r="T47" i="4" s="1"/>
  <c r="EO17" i="4"/>
  <c r="T46" i="4" s="1"/>
  <c r="A27" i="10"/>
  <c r="AB3" i="10" s="1"/>
  <c r="G25" i="7"/>
  <c r="A27" i="12" s="1"/>
  <c r="AB3" i="12" s="1"/>
  <c r="A28" i="7"/>
  <c r="B28" i="7" s="1"/>
  <c r="AX25" i="1"/>
  <c r="BD25" i="1" s="1"/>
  <c r="N25" i="1" s="1"/>
  <c r="EO15" i="4"/>
  <c r="T44" i="4" s="1"/>
  <c r="A25" i="10"/>
  <c r="Z3" i="10" s="1"/>
  <c r="G23" i="7"/>
  <c r="A25" i="12" s="1"/>
  <c r="Z3" i="12" s="1"/>
  <c r="EC18" i="4"/>
  <c r="T39" i="4" s="1"/>
  <c r="AL31" i="5"/>
  <c r="E30" i="9" s="1"/>
  <c r="AU32" i="5"/>
  <c r="AP30" i="5"/>
  <c r="AQ32" i="4"/>
  <c r="AW34" i="4"/>
  <c r="AM33" i="4"/>
  <c r="C32" i="9" s="1"/>
  <c r="AU33" i="4"/>
  <c r="AL32" i="4"/>
  <c r="AP32" i="4" s="1"/>
  <c r="AW34" i="5"/>
  <c r="AM33" i="5"/>
  <c r="AQ33" i="5" s="1"/>
  <c r="EC16" i="5" l="1"/>
  <c r="T37" i="5" s="1"/>
  <c r="D35" i="7" s="1"/>
  <c r="E35" i="7" s="1"/>
  <c r="G71" i="7" s="1"/>
  <c r="A73" i="12" s="1"/>
  <c r="BV3" i="12" s="1"/>
  <c r="EC18" i="5"/>
  <c r="T39" i="5" s="1"/>
  <c r="AY23" i="1"/>
  <c r="BE23" i="1" s="1"/>
  <c r="O23" i="1" s="1"/>
  <c r="D36" i="7"/>
  <c r="E36" i="7" s="1"/>
  <c r="AY25" i="1"/>
  <c r="BE25" i="1" s="1"/>
  <c r="O25" i="1" s="1"/>
  <c r="D28" i="7"/>
  <c r="E28" i="7" s="1"/>
  <c r="EC15" i="5"/>
  <c r="T36" i="5" s="1"/>
  <c r="G35" i="7"/>
  <c r="A37" i="12" s="1"/>
  <c r="AL3" i="12" s="1"/>
  <c r="A37" i="10"/>
  <c r="AL3" i="10" s="1"/>
  <c r="A34" i="7"/>
  <c r="B34" i="7" s="1"/>
  <c r="AX21" i="1"/>
  <c r="BD21" i="1" s="1"/>
  <c r="N21" i="1" s="1"/>
  <c r="G28" i="7"/>
  <c r="A30" i="12" s="1"/>
  <c r="AE3" i="12" s="1"/>
  <c r="A30" i="10"/>
  <c r="AE3" i="10" s="1"/>
  <c r="AX24" i="1"/>
  <c r="BD24" i="1" s="1"/>
  <c r="N24" i="1" s="1"/>
  <c r="A37" i="7"/>
  <c r="B37" i="7" s="1"/>
  <c r="AX23" i="1"/>
  <c r="BD23" i="1" s="1"/>
  <c r="N23" i="1" s="1"/>
  <c r="A36" i="7"/>
  <c r="B36" i="7" s="1"/>
  <c r="AP31" i="5"/>
  <c r="AU33" i="5"/>
  <c r="AL32" i="5"/>
  <c r="E31" i="9" s="1"/>
  <c r="AQ33" i="4"/>
  <c r="AW35" i="5"/>
  <c r="AM34" i="5"/>
  <c r="AQ34" i="5" s="1"/>
  <c r="AW35" i="4"/>
  <c r="AM34" i="4"/>
  <c r="C33" i="9" s="1"/>
  <c r="AU34" i="4"/>
  <c r="AL33" i="4"/>
  <c r="AP33" i="4" s="1"/>
  <c r="A37" i="11" l="1"/>
  <c r="AL3" i="11" s="1"/>
  <c r="AY22" i="1"/>
  <c r="BE22" i="1" s="1"/>
  <c r="O22" i="1" s="1"/>
  <c r="AY24" i="1"/>
  <c r="BE24" i="1" s="1"/>
  <c r="O24" i="1" s="1"/>
  <c r="D37" i="7"/>
  <c r="E37" i="7" s="1"/>
  <c r="G72" i="7"/>
  <c r="A74" i="12" s="1"/>
  <c r="BW3" i="12" s="1"/>
  <c r="A38" i="11"/>
  <c r="AM3" i="11" s="1"/>
  <c r="A30" i="11"/>
  <c r="AE3" i="11" s="1"/>
  <c r="G64" i="7"/>
  <c r="A66" i="12" s="1"/>
  <c r="BO3" i="12" s="1"/>
  <c r="D34" i="7"/>
  <c r="E34" i="7" s="1"/>
  <c r="AY21" i="1"/>
  <c r="BE21" i="1" s="1"/>
  <c r="O21" i="1" s="1"/>
  <c r="A36" i="10"/>
  <c r="AK3" i="10" s="1"/>
  <c r="G34" i="7"/>
  <c r="A36" i="12" s="1"/>
  <c r="AK3" i="12" s="1"/>
  <c r="G36" i="7"/>
  <c r="A38" i="12" s="1"/>
  <c r="AM3" i="12" s="1"/>
  <c r="A38" i="10"/>
  <c r="AM3" i="10" s="1"/>
  <c r="A39" i="10"/>
  <c r="AN3" i="10" s="1"/>
  <c r="G37" i="7"/>
  <c r="A39" i="12" s="1"/>
  <c r="AN3" i="12" s="1"/>
  <c r="AP32" i="5"/>
  <c r="AL33" i="5"/>
  <c r="E32" i="9" s="1"/>
  <c r="AU34" i="5"/>
  <c r="AQ34" i="4"/>
  <c r="AU35" i="4"/>
  <c r="AL34" i="4"/>
  <c r="AP34" i="4" s="1"/>
  <c r="AW36" i="5"/>
  <c r="AM35" i="5"/>
  <c r="AQ35" i="5" s="1"/>
  <c r="AW36" i="4"/>
  <c r="AM35" i="4"/>
  <c r="C34" i="9" s="1"/>
  <c r="G73" i="7" l="1"/>
  <c r="A75" i="12" s="1"/>
  <c r="BX3" i="12" s="1"/>
  <c r="A39" i="11"/>
  <c r="AN3" i="11" s="1"/>
  <c r="G70" i="7"/>
  <c r="A72" i="12" s="1"/>
  <c r="BU3" i="12" s="1"/>
  <c r="A36" i="11"/>
  <c r="AK3" i="11" s="1"/>
  <c r="AP33" i="5"/>
  <c r="AL34" i="5"/>
  <c r="E33" i="9" s="1"/>
  <c r="AU35" i="5"/>
  <c r="AQ35" i="4"/>
  <c r="R25" i="4" s="1"/>
  <c r="R27" i="5"/>
  <c r="R26" i="5"/>
  <c r="R25" i="5"/>
  <c r="AL36" i="5"/>
  <c r="E35" i="9" s="1"/>
  <c r="AW37" i="4"/>
  <c r="AM36" i="4"/>
  <c r="C35" i="9" s="1"/>
  <c r="AU36" i="4"/>
  <c r="AL35" i="4"/>
  <c r="AP35" i="4" s="1"/>
  <c r="AW37" i="5"/>
  <c r="AM36" i="5"/>
  <c r="AQ36" i="5" s="1"/>
  <c r="AU36" i="5" l="1"/>
  <c r="AU37" i="5" s="1"/>
  <c r="AU38" i="5" s="1"/>
  <c r="AL35" i="5"/>
  <c r="E34" i="9" s="1"/>
  <c r="AP34" i="5"/>
  <c r="A8" i="7"/>
  <c r="B8" i="7" s="1"/>
  <c r="A10" i="10" s="1"/>
  <c r="K3" i="10" s="1"/>
  <c r="AU14" i="1"/>
  <c r="BB14" i="1" s="1"/>
  <c r="R26" i="4"/>
  <c r="AQ36" i="4"/>
  <c r="AP36" i="5"/>
  <c r="R27" i="4"/>
  <c r="R12" i="4"/>
  <c r="R14" i="4"/>
  <c r="R13" i="4"/>
  <c r="AW38" i="4"/>
  <c r="AM37" i="4"/>
  <c r="C36" i="9" s="1"/>
  <c r="AU37" i="4"/>
  <c r="AL36" i="4"/>
  <c r="AP36" i="4" s="1"/>
  <c r="AL37" i="5"/>
  <c r="E36" i="9" s="1"/>
  <c r="AW38" i="5"/>
  <c r="AM37" i="5"/>
  <c r="AQ37" i="5" s="1"/>
  <c r="AP35" i="5" l="1"/>
  <c r="R14" i="5" s="1"/>
  <c r="AV16" i="1" s="1"/>
  <c r="BC16" i="1" s="1"/>
  <c r="K14" i="1"/>
  <c r="A10" i="7"/>
  <c r="B10" i="7" s="1"/>
  <c r="A12" i="10" s="1"/>
  <c r="M3" i="10" s="1"/>
  <c r="AU16" i="1"/>
  <c r="BB16" i="1" s="1"/>
  <c r="A9" i="7"/>
  <c r="B9" i="7" s="1"/>
  <c r="A11" i="10" s="1"/>
  <c r="L3" i="10" s="1"/>
  <c r="AU15" i="1"/>
  <c r="BB15" i="1" s="1"/>
  <c r="G8" i="7"/>
  <c r="A10" i="12" s="1"/>
  <c r="K3" i="12" s="1"/>
  <c r="AP37" i="5"/>
  <c r="AQ37" i="4"/>
  <c r="AU38" i="4"/>
  <c r="AL37" i="4"/>
  <c r="AP37" i="4" s="1"/>
  <c r="AU39" i="5"/>
  <c r="AL38" i="5"/>
  <c r="E37" i="9" s="1"/>
  <c r="AW39" i="4"/>
  <c r="AM38" i="4"/>
  <c r="C37" i="9" s="1"/>
  <c r="AW39" i="5"/>
  <c r="AM38" i="5"/>
  <c r="AQ38" i="5" s="1"/>
  <c r="R12" i="5" l="1"/>
  <c r="D8" i="7" s="1"/>
  <c r="E8" i="7" s="1"/>
  <c r="R13" i="5"/>
  <c r="D10" i="7"/>
  <c r="E10" i="7" s="1"/>
  <c r="A12" i="11" s="1"/>
  <c r="M3" i="11" s="1"/>
  <c r="K15" i="1"/>
  <c r="AP7" i="10"/>
  <c r="AV3" i="10" s="1"/>
  <c r="K16" i="1"/>
  <c r="L16" i="1"/>
  <c r="G9" i="7"/>
  <c r="A11" i="12" s="1"/>
  <c r="L3" i="12" s="1"/>
  <c r="AP11" i="10"/>
  <c r="AZ3" i="10" s="1"/>
  <c r="AP12" i="10"/>
  <c r="BA3" i="10" s="1"/>
  <c r="AP6" i="10"/>
  <c r="AU3" i="10" s="1"/>
  <c r="AP8" i="10"/>
  <c r="AW3" i="10" s="1"/>
  <c r="AP4" i="10"/>
  <c r="AS3" i="10" s="1"/>
  <c r="AP9" i="10"/>
  <c r="AX3" i="10" s="1"/>
  <c r="AP5" i="10"/>
  <c r="AT3" i="10" s="1"/>
  <c r="AP13" i="10"/>
  <c r="BB3" i="10" s="1"/>
  <c r="AP10" i="10"/>
  <c r="AY3" i="10" s="1"/>
  <c r="G10" i="7"/>
  <c r="A12" i="12" s="1"/>
  <c r="M3" i="12" s="1"/>
  <c r="BZ11" i="12" s="1"/>
  <c r="AP38" i="5"/>
  <c r="AQ38" i="4"/>
  <c r="AU40" i="5"/>
  <c r="AL39" i="5"/>
  <c r="E38" i="9" s="1"/>
  <c r="AW40" i="4"/>
  <c r="AM39" i="4"/>
  <c r="C38" i="9" s="1"/>
  <c r="AU39" i="4"/>
  <c r="AL38" i="4"/>
  <c r="AP38" i="4" s="1"/>
  <c r="AW40" i="5"/>
  <c r="AM39" i="5"/>
  <c r="AQ39" i="5" s="1"/>
  <c r="G46" i="7" l="1"/>
  <c r="A48" i="12" s="1"/>
  <c r="AW3" i="12" s="1"/>
  <c r="AV15" i="1"/>
  <c r="BC15" i="1" s="1"/>
  <c r="L15" i="1" s="1"/>
  <c r="D9" i="7"/>
  <c r="E9" i="7" s="1"/>
  <c r="AV14" i="1"/>
  <c r="BC14" i="1" s="1"/>
  <c r="L14" i="1" s="1"/>
  <c r="A10" i="11"/>
  <c r="K3" i="11" s="1"/>
  <c r="G44" i="7"/>
  <c r="A46" i="12" s="1"/>
  <c r="AU3" i="12" s="1"/>
  <c r="BD4" i="10"/>
  <c r="BE4" i="10" s="1"/>
  <c r="BF4" i="10" s="1"/>
  <c r="A1" i="10" s="1"/>
  <c r="AF13" i="1" s="1"/>
  <c r="BD5" i="10"/>
  <c r="BE5" i="10" s="1"/>
  <c r="BF5" i="10" s="1"/>
  <c r="A2" i="10" s="1"/>
  <c r="AF14" i="1" s="1"/>
  <c r="BZ6" i="12"/>
  <c r="BZ14" i="12"/>
  <c r="BZ16" i="12"/>
  <c r="BZ5" i="12"/>
  <c r="BZ10" i="12"/>
  <c r="BZ12" i="12"/>
  <c r="BZ9" i="12"/>
  <c r="BZ15" i="12"/>
  <c r="BZ13" i="12"/>
  <c r="BZ4" i="12"/>
  <c r="BZ7" i="12"/>
  <c r="BZ17" i="12"/>
  <c r="BZ8" i="12"/>
  <c r="AP39" i="5"/>
  <c r="AQ39" i="4"/>
  <c r="AW41" i="4"/>
  <c r="AM40" i="4"/>
  <c r="C39" i="9" s="1"/>
  <c r="AU40" i="4"/>
  <c r="AL39" i="4"/>
  <c r="AP39" i="4" s="1"/>
  <c r="AU41" i="5"/>
  <c r="AL40" i="5"/>
  <c r="E39" i="9" s="1"/>
  <c r="AW41" i="5"/>
  <c r="AM40" i="5"/>
  <c r="AQ40" i="5" s="1"/>
  <c r="G45" i="7" l="1"/>
  <c r="A47" i="12" s="1"/>
  <c r="AV3" i="12" s="1"/>
  <c r="CA13" i="12" s="1"/>
  <c r="CB13" i="12" s="1"/>
  <c r="CC13" i="12" s="1"/>
  <c r="CP3" i="12" s="1"/>
  <c r="A11" i="11"/>
  <c r="L3" i="11" s="1"/>
  <c r="AP13" i="11" s="1"/>
  <c r="BB3" i="11" s="1"/>
  <c r="AF16" i="1"/>
  <c r="AF4" i="1" s="1"/>
  <c r="AF17" i="1"/>
  <c r="AF5" i="1" s="1"/>
  <c r="AP40" i="5"/>
  <c r="AQ40" i="4"/>
  <c r="AW42" i="4"/>
  <c r="AM41" i="4"/>
  <c r="C40" i="9" s="1"/>
  <c r="AW42" i="5"/>
  <c r="AM41" i="5"/>
  <c r="AQ41" i="5" s="1"/>
  <c r="AU41" i="4"/>
  <c r="AL40" i="4"/>
  <c r="AP40" i="4" s="1"/>
  <c r="AU42" i="5"/>
  <c r="AL41" i="5"/>
  <c r="E40" i="9" s="1"/>
  <c r="AP9" i="11" l="1"/>
  <c r="AX3" i="11" s="1"/>
  <c r="AP12" i="11"/>
  <c r="BA3" i="11" s="1"/>
  <c r="AP4" i="11"/>
  <c r="AS3" i="11" s="1"/>
  <c r="AP17" i="11"/>
  <c r="BF3" i="11" s="1"/>
  <c r="AP20" i="11"/>
  <c r="BI3" i="11" s="1"/>
  <c r="AP15" i="11"/>
  <c r="BD3" i="11" s="1"/>
  <c r="AP18" i="11"/>
  <c r="BG3" i="11" s="1"/>
  <c r="AP11" i="11"/>
  <c r="AZ3" i="11" s="1"/>
  <c r="AP21" i="11"/>
  <c r="BJ3" i="11" s="1"/>
  <c r="AP10" i="11"/>
  <c r="AY3" i="11" s="1"/>
  <c r="CA16" i="12"/>
  <c r="CB16" i="12" s="1"/>
  <c r="CC16" i="12" s="1"/>
  <c r="CS3" i="12" s="1"/>
  <c r="CA4" i="12"/>
  <c r="CB4" i="12" s="1"/>
  <c r="CC4" i="12" s="1"/>
  <c r="CG3" i="12" s="1"/>
  <c r="CA14" i="12"/>
  <c r="CB14" i="12" s="1"/>
  <c r="CC14" i="12" s="1"/>
  <c r="CQ3" i="12" s="1"/>
  <c r="CA12" i="12"/>
  <c r="CB12" i="12" s="1"/>
  <c r="CC12" i="12" s="1"/>
  <c r="CO3" i="12" s="1"/>
  <c r="CA9" i="12"/>
  <c r="CB9" i="12" s="1"/>
  <c r="CC9" i="12" s="1"/>
  <c r="CL3" i="12" s="1"/>
  <c r="CA6" i="12"/>
  <c r="CB6" i="12" s="1"/>
  <c r="CC6" i="12" s="1"/>
  <c r="CI3" i="12" s="1"/>
  <c r="CA7" i="12"/>
  <c r="CB7" i="12" s="1"/>
  <c r="CC7" i="12" s="1"/>
  <c r="CJ3" i="12" s="1"/>
  <c r="CA10" i="12"/>
  <c r="CB10" i="12" s="1"/>
  <c r="CC10" i="12" s="1"/>
  <c r="CM3" i="12" s="1"/>
  <c r="CA8" i="12"/>
  <c r="CB8" i="12" s="1"/>
  <c r="CC8" i="12" s="1"/>
  <c r="CK3" i="12" s="1"/>
  <c r="CA15" i="12"/>
  <c r="CB15" i="12" s="1"/>
  <c r="CC15" i="12" s="1"/>
  <c r="CR3" i="12" s="1"/>
  <c r="CA5" i="12"/>
  <c r="CB5" i="12" s="1"/>
  <c r="CC5" i="12" s="1"/>
  <c r="CH3" i="12" s="1"/>
  <c r="AP5" i="11"/>
  <c r="AT3" i="11" s="1"/>
  <c r="AP6" i="11"/>
  <c r="AU3" i="11" s="1"/>
  <c r="AP7" i="11"/>
  <c r="AV3" i="11" s="1"/>
  <c r="CA17" i="12"/>
  <c r="CB17" i="12" s="1"/>
  <c r="CC17" i="12" s="1"/>
  <c r="CT3" i="12" s="1"/>
  <c r="AP19" i="11"/>
  <c r="BH3" i="11" s="1"/>
  <c r="AP22" i="11"/>
  <c r="BK3" i="11" s="1"/>
  <c r="AP14" i="11"/>
  <c r="BC3" i="11" s="1"/>
  <c r="AP8" i="11"/>
  <c r="AW3" i="11" s="1"/>
  <c r="AP23" i="11"/>
  <c r="BL3" i="11" s="1"/>
  <c r="CA11" i="12"/>
  <c r="CB11" i="12" s="1"/>
  <c r="CC11" i="12" s="1"/>
  <c r="CN3" i="12" s="1"/>
  <c r="AP16" i="11"/>
  <c r="BE3" i="11" s="1"/>
  <c r="S9" i="1"/>
  <c r="S11" i="1"/>
  <c r="AP41" i="5"/>
  <c r="AQ41" i="4"/>
  <c r="AW43" i="5"/>
  <c r="AM42" i="5"/>
  <c r="AQ42" i="5" s="1"/>
  <c r="AU42" i="4"/>
  <c r="AL41" i="4"/>
  <c r="AP41" i="4" s="1"/>
  <c r="AU43" i="5"/>
  <c r="AL42" i="5"/>
  <c r="E41" i="9" s="1"/>
  <c r="AW43" i="4"/>
  <c r="AM42" i="4"/>
  <c r="C41" i="9" s="1"/>
  <c r="DB4" i="12" l="1"/>
  <c r="DC4" i="12" s="1"/>
  <c r="DD4" i="12" s="1"/>
  <c r="A1" i="12" s="1"/>
  <c r="AH13" i="1" s="1"/>
  <c r="AH16" i="1" s="1"/>
  <c r="AH4" i="1" s="1"/>
  <c r="AR1" i="1" s="1"/>
  <c r="DB5" i="12"/>
  <c r="DC5" i="12" s="1"/>
  <c r="DD5" i="12" s="1"/>
  <c r="A2" i="12" s="1"/>
  <c r="AH14" i="1" s="1"/>
  <c r="AH17" i="1" s="1"/>
  <c r="AH5" i="1" s="1"/>
  <c r="BN5" i="11"/>
  <c r="BO5" i="11" s="1"/>
  <c r="BP5" i="11" s="1"/>
  <c r="A2" i="11" s="1"/>
  <c r="AG14" i="1" s="1"/>
  <c r="AG17" i="1" s="1"/>
  <c r="AG5" i="1" s="1"/>
  <c r="S17" i="1" s="1"/>
  <c r="BN4" i="11"/>
  <c r="BO4" i="11" s="1"/>
  <c r="BP4" i="11" s="1"/>
  <c r="A1" i="11" s="1"/>
  <c r="AG13" i="1" s="1"/>
  <c r="AG16" i="1" s="1"/>
  <c r="AG4" i="1" s="1"/>
  <c r="S15" i="1" s="1"/>
  <c r="AP42" i="5"/>
  <c r="AQ42" i="4"/>
  <c r="AW44" i="5"/>
  <c r="AM43" i="5"/>
  <c r="AQ43" i="5" s="1"/>
  <c r="AW44" i="4"/>
  <c r="AM43" i="4"/>
  <c r="C42" i="9" s="1"/>
  <c r="AU43" i="4"/>
  <c r="AL42" i="4"/>
  <c r="AP42" i="4" s="1"/>
  <c r="AU44" i="5"/>
  <c r="AL43" i="5"/>
  <c r="E42" i="9" s="1"/>
  <c r="J1" i="1" l="1"/>
  <c r="S21" i="1"/>
  <c r="S23" i="1"/>
  <c r="AP43" i="5"/>
  <c r="AQ43" i="4"/>
  <c r="AW45" i="5"/>
  <c r="AM44" i="5"/>
  <c r="AQ44" i="5" s="1"/>
  <c r="AU45" i="5"/>
  <c r="AL44" i="5"/>
  <c r="E43" i="9" s="1"/>
  <c r="AW45" i="4"/>
  <c r="AM44" i="4"/>
  <c r="C43" i="9" s="1"/>
  <c r="AU44" i="4"/>
  <c r="AL43" i="4"/>
  <c r="AP43" i="4" s="1"/>
  <c r="AQ44" i="4" l="1"/>
  <c r="AP44" i="5"/>
  <c r="AW46" i="5"/>
  <c r="AM45" i="5"/>
  <c r="AQ45" i="5" s="1"/>
  <c r="AU45" i="4"/>
  <c r="AL44" i="4"/>
  <c r="AP44" i="4" s="1"/>
  <c r="AU46" i="5"/>
  <c r="AL45" i="5"/>
  <c r="E44" i="9" s="1"/>
  <c r="AW46" i="4"/>
  <c r="AM45" i="4"/>
  <c r="C44" i="9" s="1"/>
  <c r="AP45" i="5" l="1"/>
  <c r="AQ45" i="4"/>
  <c r="AW47" i="5"/>
  <c r="AM46" i="5"/>
  <c r="AQ46" i="5" s="1"/>
  <c r="AW47" i="4"/>
  <c r="AM46" i="4"/>
  <c r="C45" i="9" s="1"/>
  <c r="AU46" i="4"/>
  <c r="AL45" i="4"/>
  <c r="AP45" i="4" s="1"/>
  <c r="AU47" i="5"/>
  <c r="AL46" i="5"/>
  <c r="E45" i="9" s="1"/>
  <c r="AP46" i="5" l="1"/>
  <c r="AQ46" i="4"/>
  <c r="AU47" i="4"/>
  <c r="AL46" i="4"/>
  <c r="AP46" i="4" s="1"/>
  <c r="AU48" i="5"/>
  <c r="AL47" i="5"/>
  <c r="E46" i="9" s="1"/>
  <c r="AW48" i="5"/>
  <c r="AM47" i="5"/>
  <c r="AQ47" i="5" s="1"/>
  <c r="AW48" i="4"/>
  <c r="AM47" i="4"/>
  <c r="C46" i="9" s="1"/>
  <c r="AQ47" i="4" l="1"/>
  <c r="AP47" i="5"/>
  <c r="AU48" i="4"/>
  <c r="AL47" i="4"/>
  <c r="AP47" i="4" s="1"/>
  <c r="AW49" i="4"/>
  <c r="AM48" i="4"/>
  <c r="C47" i="9" s="1"/>
  <c r="AU49" i="5"/>
  <c r="AL48" i="5"/>
  <c r="E47" i="9" s="1"/>
  <c r="AW49" i="5"/>
  <c r="AM48" i="5"/>
  <c r="AQ48" i="5" s="1"/>
  <c r="AP48" i="5" l="1"/>
  <c r="AQ48" i="4"/>
  <c r="AU49" i="4"/>
  <c r="AL48" i="4"/>
  <c r="AP48" i="4" s="1"/>
  <c r="AW50" i="5"/>
  <c r="AM50" i="5" s="1"/>
  <c r="AQ50" i="5" s="1"/>
  <c r="AM49" i="5"/>
  <c r="AQ49" i="5" s="1"/>
  <c r="AW50" i="4"/>
  <c r="AM50" i="4" s="1"/>
  <c r="C49" i="9" s="1"/>
  <c r="AM49" i="4"/>
  <c r="C48" i="9" s="1"/>
  <c r="AU50" i="5"/>
  <c r="AL50" i="5" s="1"/>
  <c r="E49" i="9" s="1"/>
  <c r="AL49" i="5"/>
  <c r="E48" i="9" s="1"/>
  <c r="AP49" i="5" l="1"/>
  <c r="AQ49" i="4"/>
  <c r="AQ50" i="4"/>
  <c r="AP50" i="5"/>
  <c r="AU50" i="4"/>
  <c r="AL50" i="4" s="1"/>
  <c r="AP50" i="4" s="1"/>
  <c r="AL49" i="4"/>
  <c r="AP49" i="4" s="1"/>
</calcChain>
</file>

<file path=xl/sharedStrings.xml><?xml version="1.0" encoding="utf-8"?>
<sst xmlns="http://schemas.openxmlformats.org/spreadsheetml/2006/main" count="307" uniqueCount="95">
  <si>
    <t>13C</t>
  </si>
  <si>
    <t>1H</t>
  </si>
  <si>
    <t>sp2</t>
  </si>
  <si>
    <t>x</t>
  </si>
  <si>
    <t>TMS</t>
  </si>
  <si>
    <t>MeOH</t>
  </si>
  <si>
    <t>Benceno</t>
  </si>
  <si>
    <t>Unscaled</t>
  </si>
  <si>
    <t>Scaled</t>
  </si>
  <si>
    <t>Exp</t>
  </si>
  <si>
    <t>MSTD</t>
  </si>
  <si>
    <t>C</t>
  </si>
  <si>
    <t>H</t>
  </si>
  <si>
    <t>H (CH2)</t>
  </si>
  <si>
    <t>H(CH3)</t>
  </si>
  <si>
    <t>CH</t>
  </si>
  <si>
    <t>HSQC</t>
  </si>
  <si>
    <t>m</t>
  </si>
  <si>
    <t>b</t>
  </si>
  <si>
    <t>Angulo</t>
  </si>
  <si>
    <t>Cuadrante</t>
  </si>
  <si>
    <t>MAE</t>
  </si>
  <si>
    <t>sup</t>
  </si>
  <si>
    <t>RMS</t>
  </si>
  <si>
    <t>inf</t>
  </si>
  <si>
    <t>MaxDD</t>
  </si>
  <si>
    <t>R2</t>
  </si>
  <si>
    <t>CMAE</t>
  </si>
  <si>
    <t>CRMS</t>
  </si>
  <si>
    <t>CMaxDD</t>
  </si>
  <si>
    <t>CuadranteS</t>
  </si>
  <si>
    <t>AnguloS</t>
  </si>
  <si>
    <t>1 MSTDU</t>
  </si>
  <si>
    <t>2 MSTDU</t>
  </si>
  <si>
    <t>3 MSTDU</t>
  </si>
  <si>
    <t>4 MSTDU</t>
  </si>
  <si>
    <t>1 MSTDS</t>
  </si>
  <si>
    <t>2  MSTDS</t>
  </si>
  <si>
    <t>3  MSTDS</t>
  </si>
  <si>
    <t>4  MSTDS</t>
  </si>
  <si>
    <t>1 TMSU</t>
  </si>
  <si>
    <t>2 TMSU</t>
  </si>
  <si>
    <t>3 TMSU</t>
  </si>
  <si>
    <t>4 TMSU</t>
  </si>
  <si>
    <t>1 TMSS</t>
  </si>
  <si>
    <t>2 TMSS</t>
  </si>
  <si>
    <t>3 TMSS</t>
  </si>
  <si>
    <t>4 TMSS</t>
  </si>
  <si>
    <t>Experimental</t>
  </si>
  <si>
    <t>s</t>
  </si>
  <si>
    <t>MaxErr</t>
  </si>
  <si>
    <t>CMaxErr</t>
  </si>
  <si>
    <t>M-h</t>
  </si>
  <si>
    <t>Max-h</t>
  </si>
  <si>
    <t>CM-h</t>
  </si>
  <si>
    <t>CMax-h</t>
  </si>
  <si>
    <t>Q1</t>
  </si>
  <si>
    <t>Q3</t>
  </si>
  <si>
    <t>Q2</t>
  </si>
  <si>
    <t>Q4</t>
  </si>
  <si>
    <t>Q1_sc</t>
  </si>
  <si>
    <t>Q2_sc</t>
  </si>
  <si>
    <t>Q3_sc</t>
  </si>
  <si>
    <t>Q4_sc</t>
  </si>
  <si>
    <t>MQ_sc</t>
  </si>
  <si>
    <r>
      <t>C</t>
    </r>
    <r>
      <rPr>
        <b/>
        <i/>
        <sz val="8"/>
        <rFont val="Symbol"/>
        <family val="1"/>
        <charset val="2"/>
      </rPr>
      <t>s</t>
    </r>
  </si>
  <si>
    <r>
      <rPr>
        <b/>
        <i/>
        <sz val="8"/>
        <rFont val="Arial"/>
        <family val="2"/>
      </rPr>
      <t>M</t>
    </r>
    <r>
      <rPr>
        <b/>
        <i/>
        <sz val="8"/>
        <rFont val="Symbol"/>
        <family val="1"/>
        <charset val="2"/>
      </rPr>
      <t>-</t>
    </r>
    <r>
      <rPr>
        <b/>
        <sz val="8"/>
        <color theme="1"/>
        <rFont val="Symbol"/>
        <family val="1"/>
        <charset val="2"/>
      </rPr>
      <t>a</t>
    </r>
  </si>
  <si>
    <r>
      <rPr>
        <b/>
        <i/>
        <sz val="8"/>
        <color theme="1"/>
        <rFont val="Symbol"/>
        <family val="1"/>
        <charset val="2"/>
      </rPr>
      <t>s</t>
    </r>
    <r>
      <rPr>
        <b/>
        <i/>
        <sz val="8"/>
        <color theme="1"/>
        <rFont val="Calibri"/>
        <family val="2"/>
        <scheme val="minor"/>
      </rPr>
      <t>-h</t>
    </r>
  </si>
  <si>
    <r>
      <rPr>
        <b/>
        <i/>
        <sz val="8"/>
        <rFont val="Arial"/>
        <family val="2"/>
      </rPr>
      <t>CM-</t>
    </r>
    <r>
      <rPr>
        <b/>
        <sz val="8"/>
        <color theme="1"/>
        <rFont val="Symbol"/>
        <family val="1"/>
        <charset val="2"/>
      </rPr>
      <t>a</t>
    </r>
  </si>
  <si>
    <r>
      <t>C</t>
    </r>
    <r>
      <rPr>
        <b/>
        <i/>
        <sz val="8"/>
        <color theme="1"/>
        <rFont val="Symbol"/>
        <family val="1"/>
        <charset val="2"/>
      </rPr>
      <t>s</t>
    </r>
    <r>
      <rPr>
        <b/>
        <i/>
        <sz val="8"/>
        <color theme="1"/>
        <rFont val="Calibri"/>
        <family val="2"/>
        <scheme val="minor"/>
      </rPr>
      <t>-h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</si>
  <si>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Arial"/>
        <family val="2"/>
      </rPr>
      <t xml:space="preserve"> </t>
    </r>
    <r>
      <rPr>
        <vertAlign val="superscript"/>
        <sz val="11"/>
        <color theme="1"/>
        <rFont val="Arial"/>
        <family val="2"/>
      </rPr>
      <t>13</t>
    </r>
    <r>
      <rPr>
        <sz val="11"/>
        <color theme="1"/>
        <rFont val="Arial"/>
        <family val="2"/>
      </rPr>
      <t>C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</si>
  <si>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Arial"/>
        <family val="2"/>
      </rPr>
      <t xml:space="preserve"> </t>
    </r>
    <r>
      <rPr>
        <vertAlign val="superscript"/>
        <sz val="11"/>
        <color theme="1"/>
        <rFont val="Arial"/>
        <family val="2"/>
      </rPr>
      <t>1</t>
    </r>
    <r>
      <rPr>
        <sz val="11"/>
        <color theme="1"/>
        <rFont val="Arial"/>
        <family val="2"/>
      </rPr>
      <t>H</t>
    </r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</si>
  <si>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Arial"/>
        <family val="2"/>
      </rPr>
      <t xml:space="preserve"> </t>
    </r>
    <r>
      <rPr>
        <vertAlign val="superscript"/>
        <sz val="11"/>
        <color theme="1"/>
        <rFont val="Arial"/>
        <family val="2"/>
      </rPr>
      <t>13</t>
    </r>
    <r>
      <rPr>
        <sz val="11"/>
        <color theme="1"/>
        <rFont val="Arial"/>
        <family val="2"/>
      </rPr>
      <t>C</t>
    </r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</si>
  <si>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Arial"/>
        <family val="2"/>
      </rPr>
      <t xml:space="preserve"> </t>
    </r>
    <r>
      <rPr>
        <vertAlign val="superscript"/>
        <sz val="11"/>
        <color theme="1"/>
        <rFont val="Arial"/>
        <family val="2"/>
      </rPr>
      <t>1</t>
    </r>
    <r>
      <rPr>
        <sz val="11"/>
        <color theme="1"/>
        <rFont val="Arial"/>
        <family val="2"/>
      </rPr>
      <t>H</t>
    </r>
  </si>
  <si>
    <t>mPW1PW91/6-31G*</t>
  </si>
  <si>
    <t>mPW1PW91/6-31G**</t>
  </si>
  <si>
    <t>gas phase</t>
  </si>
  <si>
    <t>PCM</t>
  </si>
  <si>
    <t>MQ</t>
  </si>
  <si>
    <t>Computed tensors (gas phase)</t>
  </si>
  <si>
    <t>Computed tensors (PCM)</t>
  </si>
  <si>
    <t>Experimental shifts</t>
  </si>
  <si>
    <t>!</t>
  </si>
  <si>
    <t>Please enter the data</t>
  </si>
  <si>
    <t>Ready for TMSvac Calculations</t>
  </si>
  <si>
    <t>Ready for MSTDsol Calculations</t>
  </si>
  <si>
    <t>Ready for mix Calculations</t>
  </si>
  <si>
    <t>Correct</t>
  </si>
  <si>
    <t>Incorrect</t>
  </si>
  <si>
    <t>Experimental &amp; Calculated C-H COSY NMR shifts</t>
  </si>
  <si>
    <t>mPW1PW91/6-31G*, gas phase</t>
  </si>
  <si>
    <t>mPW1PW91/6-31G**, solution</t>
  </si>
  <si>
    <t>Reference standard: TMS</t>
  </si>
  <si>
    <t>Reference standard: MSTD</t>
  </si>
  <si>
    <r>
      <t xml:space="preserve">Experimental &amp; Calculated </t>
    </r>
    <r>
      <rPr>
        <b/>
        <vertAlign val="superscript"/>
        <sz val="11"/>
        <color theme="0"/>
        <rFont val="Arial"/>
        <family val="2"/>
      </rPr>
      <t>13</t>
    </r>
    <r>
      <rPr>
        <b/>
        <sz val="11"/>
        <color theme="0"/>
        <rFont val="Arial"/>
        <family val="2"/>
      </rPr>
      <t>C NMR shifts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</si>
</sst>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0"/>
    <numFmt numFmtId="166" formatCode="0.0"/>
    <numFmt numFmtId="167" formatCode="0.000"/>
  </numFmts>
  <fonts count="3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sz val="8"/>
      <color theme="1"/>
      <name val="Calibri"/>
      <family val="2"/>
      <scheme val="minor"/>
    </font>
    <font>
      <i/>
      <sz val="8"/>
      <name val="Arial"/>
      <family val="2"/>
    </font>
    <font>
      <i/>
      <sz val="8"/>
      <name val="Symbol"/>
      <family val="1"/>
      <charset val="2"/>
    </font>
    <font>
      <b/>
      <sz val="8"/>
      <name val="Arial"/>
      <family val="2"/>
    </font>
    <font>
      <i/>
      <sz val="8"/>
      <color theme="1"/>
      <name val="Arial"/>
      <family val="2"/>
    </font>
    <font>
      <b/>
      <sz val="16"/>
      <color theme="1"/>
      <name val="Arial"/>
      <family val="2"/>
    </font>
    <font>
      <b/>
      <i/>
      <sz val="8"/>
      <name val="Arial"/>
      <family val="2"/>
    </font>
    <font>
      <b/>
      <i/>
      <sz val="8"/>
      <name val="Symbol"/>
      <family val="1"/>
      <charset val="2"/>
    </font>
    <font>
      <b/>
      <sz val="8"/>
      <color theme="1"/>
      <name val="Symbol"/>
      <family val="1"/>
      <charset val="2"/>
    </font>
    <font>
      <b/>
      <i/>
      <sz val="8"/>
      <color theme="1"/>
      <name val="Symbol"/>
      <family val="1"/>
      <charset val="2"/>
    </font>
    <font>
      <b/>
      <i/>
      <sz val="8"/>
      <color theme="1"/>
      <name val="Calibri"/>
      <family val="2"/>
      <scheme val="minor"/>
    </font>
    <font>
      <vertAlign val="superscript"/>
      <sz val="11"/>
      <color theme="1"/>
      <name val="Arial"/>
      <family val="2"/>
    </font>
    <font>
      <b/>
      <sz val="9"/>
      <color theme="1"/>
      <name val="Arial"/>
      <family val="2"/>
    </font>
    <font>
      <i/>
      <sz val="11"/>
      <color rgb="FFFF000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theme="0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vertAlign val="superscript"/>
      <sz val="11"/>
      <color theme="0"/>
      <name val="Arial"/>
      <family val="2"/>
    </font>
    <font>
      <i/>
      <sz val="8"/>
      <color theme="0"/>
      <name val="Arial"/>
      <family val="2"/>
    </font>
    <font>
      <sz val="8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sz val="11"/>
      <color rgb="FFFF0000"/>
      <name val="unic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theme="1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0" borderId="0" xfId="0" applyFill="1"/>
    <xf numFmtId="0" fontId="0" fillId="2" borderId="0" xfId="0" applyFill="1" applyBorder="1"/>
    <xf numFmtId="0" fontId="3" fillId="0" borderId="0" xfId="0" applyFont="1"/>
    <xf numFmtId="0" fontId="3" fillId="0" borderId="0" xfId="0" applyFont="1" applyFill="1"/>
    <xf numFmtId="0" fontId="4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left"/>
    </xf>
    <xf numFmtId="0" fontId="3" fillId="2" borderId="0" xfId="0" applyFont="1" applyFill="1" applyBorder="1"/>
    <xf numFmtId="0" fontId="6" fillId="2" borderId="0" xfId="0" applyFont="1" applyFill="1" applyBorder="1"/>
    <xf numFmtId="0" fontId="7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1" fillId="3" borderId="25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2" fontId="3" fillId="0" borderId="1" xfId="0" applyNumberFormat="1" applyFont="1" applyFill="1" applyBorder="1" applyAlignment="1">
      <alignment horizontal="center"/>
    </xf>
    <xf numFmtId="0" fontId="15" fillId="0" borderId="0" xfId="0" applyFont="1" applyFill="1"/>
    <xf numFmtId="0" fontId="19" fillId="4" borderId="0" xfId="0" applyFont="1" applyFill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20" fillId="4" borderId="0" xfId="0" applyFont="1" applyFill="1"/>
    <xf numFmtId="0" fontId="20" fillId="2" borderId="0" xfId="0" applyFont="1" applyFill="1" applyBorder="1"/>
    <xf numFmtId="0" fontId="1" fillId="4" borderId="12" xfId="0" applyFont="1" applyFill="1" applyBorder="1" applyAlignment="1" applyProtection="1">
      <alignment horizontal="center" vertical="center"/>
      <protection locked="0"/>
    </xf>
    <xf numFmtId="0" fontId="1" fillId="4" borderId="14" xfId="0" applyFont="1" applyFill="1" applyBorder="1" applyAlignment="1" applyProtection="1">
      <alignment horizontal="center" vertical="center"/>
      <protection locked="0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1" fillId="0" borderId="15" xfId="0" applyFont="1" applyFill="1" applyBorder="1" applyAlignment="1" applyProtection="1">
      <alignment horizontal="center" vertical="center"/>
      <protection locked="0"/>
    </xf>
    <xf numFmtId="0" fontId="1" fillId="4" borderId="13" xfId="0" applyFont="1" applyFill="1" applyBorder="1" applyAlignment="1" applyProtection="1">
      <alignment horizontal="center" vertical="center"/>
      <protection locked="0"/>
    </xf>
    <xf numFmtId="0" fontId="1" fillId="4" borderId="15" xfId="0" applyFont="1" applyFill="1" applyBorder="1" applyAlignment="1" applyProtection="1">
      <alignment horizontal="center" vertical="center"/>
      <protection locked="0"/>
    </xf>
    <xf numFmtId="0" fontId="1" fillId="4" borderId="28" xfId="0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Alignment="1">
      <alignment horizontal="center"/>
    </xf>
    <xf numFmtId="166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166" fontId="1" fillId="0" borderId="30" xfId="0" applyNumberFormat="1" applyFont="1" applyFill="1" applyBorder="1" applyAlignment="1">
      <alignment horizontal="center"/>
    </xf>
    <xf numFmtId="166" fontId="1" fillId="0" borderId="10" xfId="0" applyNumberFormat="1" applyFont="1" applyFill="1" applyBorder="1" applyAlignment="1">
      <alignment horizontal="center"/>
    </xf>
    <xf numFmtId="166" fontId="1" fillId="0" borderId="32" xfId="0" applyNumberFormat="1" applyFont="1" applyFill="1" applyBorder="1" applyAlignment="1">
      <alignment horizontal="center"/>
    </xf>
    <xf numFmtId="166" fontId="1" fillId="0" borderId="29" xfId="0" applyNumberFormat="1" applyFont="1" applyFill="1" applyBorder="1" applyAlignment="1">
      <alignment horizontal="center"/>
    </xf>
    <xf numFmtId="2" fontId="1" fillId="0" borderId="7" xfId="0" applyNumberFormat="1" applyFont="1" applyFill="1" applyBorder="1" applyAlignment="1">
      <alignment horizontal="center"/>
    </xf>
    <xf numFmtId="2" fontId="1" fillId="0" borderId="33" xfId="0" applyNumberFormat="1" applyFont="1" applyFill="1" applyBorder="1" applyAlignment="1">
      <alignment horizontal="center"/>
    </xf>
    <xf numFmtId="166" fontId="1" fillId="0" borderId="11" xfId="0" applyNumberFormat="1" applyFont="1" applyFill="1" applyBorder="1" applyAlignment="1">
      <alignment horizontal="center"/>
    </xf>
    <xf numFmtId="2" fontId="1" fillId="0" borderId="6" xfId="0" applyNumberFormat="1" applyFont="1" applyFill="1" applyBorder="1" applyAlignment="1">
      <alignment horizontal="center"/>
    </xf>
    <xf numFmtId="0" fontId="7" fillId="3" borderId="32" xfId="0" applyFont="1" applyFill="1" applyBorder="1" applyAlignment="1">
      <alignment horizontal="center" vertical="center"/>
    </xf>
    <xf numFmtId="0" fontId="7" fillId="3" borderId="33" xfId="0" applyFont="1" applyFill="1" applyBorder="1" applyAlignment="1">
      <alignment horizontal="center" vertical="center"/>
    </xf>
    <xf numFmtId="0" fontId="1" fillId="5" borderId="0" xfId="0" applyFont="1" applyFill="1"/>
    <xf numFmtId="166" fontId="1" fillId="0" borderId="31" xfId="0" applyNumberFormat="1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20" fillId="4" borderId="0" xfId="0" applyFont="1" applyFill="1" applyAlignment="1">
      <alignment horizontal="center"/>
    </xf>
    <xf numFmtId="0" fontId="22" fillId="4" borderId="0" xfId="0" applyFont="1" applyFill="1" applyAlignment="1">
      <alignment horizontal="right"/>
    </xf>
    <xf numFmtId="0" fontId="22" fillId="4" borderId="0" xfId="0" applyFont="1" applyFill="1" applyAlignment="1">
      <alignment horizontal="center"/>
    </xf>
    <xf numFmtId="2" fontId="25" fillId="4" borderId="1" xfId="0" applyNumberFormat="1" applyFont="1" applyFill="1" applyBorder="1" applyAlignment="1">
      <alignment horizontal="center"/>
    </xf>
    <xf numFmtId="2" fontId="25" fillId="4" borderId="6" xfId="0" applyNumberFormat="1" applyFont="1" applyFill="1" applyBorder="1" applyAlignment="1">
      <alignment horizontal="center"/>
    </xf>
    <xf numFmtId="2" fontId="25" fillId="4" borderId="4" xfId="0" applyNumberFormat="1" applyFont="1" applyFill="1" applyBorder="1" applyAlignment="1">
      <alignment horizontal="center"/>
    </xf>
    <xf numFmtId="2" fontId="25" fillId="4" borderId="5" xfId="0" applyNumberFormat="1" applyFont="1" applyFill="1" applyBorder="1" applyAlignment="1">
      <alignment horizontal="center"/>
    </xf>
    <xf numFmtId="164" fontId="20" fillId="4" borderId="0" xfId="0" applyNumberFormat="1" applyFont="1" applyFill="1" applyAlignment="1">
      <alignment horizontal="center"/>
    </xf>
    <xf numFmtId="164" fontId="26" fillId="4" borderId="0" xfId="0" applyNumberFormat="1" applyFont="1" applyFill="1" applyAlignment="1">
      <alignment horizontal="center"/>
    </xf>
    <xf numFmtId="164" fontId="25" fillId="4" borderId="0" xfId="0" applyNumberFormat="1" applyFont="1" applyFill="1" applyAlignment="1">
      <alignment horizontal="center"/>
    </xf>
    <xf numFmtId="2" fontId="25" fillId="4" borderId="2" xfId="0" applyNumberFormat="1" applyFont="1" applyFill="1" applyBorder="1" applyAlignment="1">
      <alignment horizontal="center"/>
    </xf>
    <xf numFmtId="2" fontId="25" fillId="4" borderId="7" xfId="0" applyNumberFormat="1" applyFont="1" applyFill="1" applyBorder="1" applyAlignment="1">
      <alignment horizontal="center"/>
    </xf>
    <xf numFmtId="0" fontId="27" fillId="4" borderId="0" xfId="0" applyFont="1" applyFill="1"/>
    <xf numFmtId="0" fontId="20" fillId="4" borderId="0" xfId="0" applyFont="1" applyFill="1" applyAlignment="1">
      <alignment horizontal="right"/>
    </xf>
    <xf numFmtId="0" fontId="27" fillId="4" borderId="0" xfId="0" applyFont="1" applyFill="1" applyAlignment="1">
      <alignment horizontal="right"/>
    </xf>
    <xf numFmtId="0" fontId="28" fillId="4" borderId="0" xfId="0" applyFont="1" applyFill="1" applyAlignment="1">
      <alignment horizontal="center"/>
    </xf>
    <xf numFmtId="0" fontId="20" fillId="4" borderId="0" xfId="0" applyFont="1" applyFill="1" applyBorder="1" applyAlignment="1">
      <alignment horizontal="center"/>
    </xf>
    <xf numFmtId="164" fontId="20" fillId="4" borderId="0" xfId="0" applyNumberFormat="1" applyFont="1" applyFill="1" applyBorder="1"/>
    <xf numFmtId="0" fontId="20" fillId="4" borderId="0" xfId="0" applyFont="1" applyFill="1" applyBorder="1" applyAlignment="1">
      <alignment horizontal="right"/>
    </xf>
    <xf numFmtId="0" fontId="20" fillId="4" borderId="0" xfId="0" applyFont="1" applyFill="1" applyBorder="1"/>
    <xf numFmtId="2" fontId="20" fillId="4" borderId="0" xfId="0" applyNumberFormat="1" applyFont="1" applyFill="1"/>
    <xf numFmtId="166" fontId="20" fillId="4" borderId="0" xfId="0" applyNumberFormat="1" applyFont="1" applyFill="1" applyBorder="1"/>
    <xf numFmtId="0" fontId="27" fillId="4" borderId="0" xfId="0" applyFont="1" applyFill="1" applyAlignment="1">
      <alignment horizontal="center"/>
    </xf>
    <xf numFmtId="164" fontId="20" fillId="4" borderId="0" xfId="0" applyNumberFormat="1" applyFont="1" applyFill="1" applyBorder="1" applyAlignment="1">
      <alignment horizontal="center"/>
    </xf>
    <xf numFmtId="165" fontId="20" fillId="4" borderId="0" xfId="0" applyNumberFormat="1" applyFont="1" applyFill="1"/>
    <xf numFmtId="0" fontId="27" fillId="4" borderId="0" xfId="0" applyFont="1" applyFill="1" applyBorder="1" applyAlignment="1">
      <alignment horizontal="center"/>
    </xf>
    <xf numFmtId="0" fontId="28" fillId="4" borderId="0" xfId="0" applyFont="1" applyFill="1" applyBorder="1" applyAlignment="1">
      <alignment horizontal="center"/>
    </xf>
    <xf numFmtId="0" fontId="20" fillId="4" borderId="1" xfId="0" applyFont="1" applyFill="1" applyBorder="1" applyAlignment="1">
      <alignment horizontal="center"/>
    </xf>
    <xf numFmtId="0" fontId="27" fillId="4" borderId="1" xfId="0" applyFont="1" applyFill="1" applyBorder="1" applyAlignment="1">
      <alignment horizontal="center"/>
    </xf>
    <xf numFmtId="0" fontId="28" fillId="4" borderId="2" xfId="0" applyFont="1" applyFill="1" applyBorder="1"/>
    <xf numFmtId="0" fontId="20" fillId="4" borderId="2" xfId="0" applyFont="1" applyFill="1" applyBorder="1"/>
    <xf numFmtId="2" fontId="20" fillId="4" borderId="2" xfId="0" applyNumberFormat="1" applyFont="1" applyFill="1" applyBorder="1" applyAlignment="1">
      <alignment horizontal="center"/>
    </xf>
    <xf numFmtId="2" fontId="20" fillId="4" borderId="2" xfId="0" applyNumberFormat="1" applyFont="1" applyFill="1" applyBorder="1"/>
    <xf numFmtId="0" fontId="20" fillId="4" borderId="2" xfId="0" applyFont="1" applyFill="1" applyBorder="1" applyAlignment="1">
      <alignment horizontal="center"/>
    </xf>
    <xf numFmtId="166" fontId="20" fillId="4" borderId="2" xfId="0" applyNumberFormat="1" applyFont="1" applyFill="1" applyBorder="1" applyAlignment="1">
      <alignment horizontal="center"/>
    </xf>
    <xf numFmtId="167" fontId="20" fillId="4" borderId="2" xfId="0" applyNumberFormat="1" applyFont="1" applyFill="1" applyBorder="1" applyAlignment="1">
      <alignment horizontal="center"/>
    </xf>
    <xf numFmtId="166" fontId="28" fillId="4" borderId="2" xfId="0" applyNumberFormat="1" applyFont="1" applyFill="1" applyBorder="1" applyAlignment="1">
      <alignment horizontal="center"/>
    </xf>
    <xf numFmtId="2" fontId="20" fillId="4" borderId="0" xfId="0" applyNumberFormat="1" applyFont="1" applyFill="1" applyBorder="1" applyAlignment="1">
      <alignment horizontal="center"/>
    </xf>
    <xf numFmtId="2" fontId="20" fillId="4" borderId="0" xfId="0" applyNumberFormat="1" applyFont="1" applyFill="1" applyBorder="1"/>
    <xf numFmtId="2" fontId="20" fillId="4" borderId="0" xfId="0" applyNumberFormat="1" applyFont="1" applyFill="1" applyAlignment="1">
      <alignment horizontal="center"/>
    </xf>
    <xf numFmtId="166" fontId="20" fillId="4" borderId="0" xfId="0" applyNumberFormat="1" applyFont="1" applyFill="1" applyBorder="1" applyAlignment="1">
      <alignment horizontal="center"/>
    </xf>
    <xf numFmtId="167" fontId="20" fillId="4" borderId="0" xfId="0" applyNumberFormat="1" applyFont="1" applyFill="1" applyBorder="1" applyAlignment="1">
      <alignment horizontal="center"/>
    </xf>
    <xf numFmtId="166" fontId="28" fillId="4" borderId="0" xfId="0" applyNumberFormat="1" applyFont="1" applyFill="1" applyBorder="1" applyAlignment="1">
      <alignment horizontal="center"/>
    </xf>
    <xf numFmtId="167" fontId="20" fillId="4" borderId="0" xfId="0" applyNumberFormat="1" applyFont="1" applyFill="1" applyAlignment="1">
      <alignment horizontal="center"/>
    </xf>
    <xf numFmtId="166" fontId="20" fillId="4" borderId="0" xfId="0" applyNumberFormat="1" applyFont="1" applyFill="1" applyAlignment="1">
      <alignment horizontal="center"/>
    </xf>
    <xf numFmtId="167" fontId="20" fillId="4" borderId="0" xfId="0" applyNumberFormat="1" applyFont="1" applyFill="1" applyBorder="1"/>
    <xf numFmtId="0" fontId="20" fillId="4" borderId="1" xfId="0" applyFont="1" applyFill="1" applyBorder="1"/>
    <xf numFmtId="166" fontId="20" fillId="4" borderId="1" xfId="0" applyNumberFormat="1" applyFont="1" applyFill="1" applyBorder="1" applyAlignment="1">
      <alignment horizontal="center"/>
    </xf>
    <xf numFmtId="0" fontId="20" fillId="4" borderId="2" xfId="0" applyFont="1" applyFill="1" applyBorder="1" applyAlignment="1">
      <alignment horizontal="right"/>
    </xf>
    <xf numFmtId="164" fontId="20" fillId="4" borderId="0" xfId="0" applyNumberFormat="1" applyFont="1" applyFill="1"/>
    <xf numFmtId="164" fontId="22" fillId="4" borderId="0" xfId="0" applyNumberFormat="1" applyFont="1" applyFill="1" applyAlignment="1">
      <alignment horizontal="center"/>
    </xf>
    <xf numFmtId="0" fontId="22" fillId="4" borderId="0" xfId="0" applyFont="1" applyFill="1"/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16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0" fontId="1" fillId="4" borderId="16" xfId="0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Protection="1">
      <protection locked="0" hidden="1"/>
    </xf>
    <xf numFmtId="2" fontId="1" fillId="0" borderId="14" xfId="0" applyNumberFormat="1" applyFont="1" applyFill="1" applyBorder="1" applyAlignment="1" applyProtection="1">
      <alignment horizontal="center" vertical="center"/>
      <protection locked="0"/>
    </xf>
    <xf numFmtId="2" fontId="1" fillId="0" borderId="15" xfId="0" applyNumberFormat="1" applyFont="1" applyFill="1" applyBorder="1" applyAlignment="1" applyProtection="1">
      <alignment horizontal="center" vertical="center"/>
      <protection locked="0"/>
    </xf>
    <xf numFmtId="166" fontId="1" fillId="0" borderId="8" xfId="0" applyNumberFormat="1" applyFont="1" applyFill="1" applyBorder="1" applyAlignment="1" applyProtection="1">
      <alignment horizontal="center" vertical="center"/>
      <protection locked="0"/>
    </xf>
    <xf numFmtId="167" fontId="1" fillId="4" borderId="13" xfId="0" applyNumberFormat="1" applyFont="1" applyFill="1" applyBorder="1" applyAlignment="1" applyProtection="1">
      <alignment horizontal="center" vertical="center"/>
      <protection locked="0"/>
    </xf>
    <xf numFmtId="167" fontId="1" fillId="4" borderId="15" xfId="0" applyNumberFormat="1" applyFont="1" applyFill="1" applyBorder="1" applyAlignment="1" applyProtection="1">
      <alignment horizontal="center" vertical="center"/>
      <protection locked="0"/>
    </xf>
    <xf numFmtId="0" fontId="29" fillId="0" borderId="0" xfId="0" applyFont="1" applyFill="1"/>
    <xf numFmtId="0" fontId="30" fillId="0" borderId="0" xfId="0" applyFont="1" applyFill="1"/>
    <xf numFmtId="0" fontId="20" fillId="0" borderId="0" xfId="0" applyFont="1" applyFill="1"/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17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164" fontId="8" fillId="2" borderId="0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19" fillId="5" borderId="18" xfId="0" applyFont="1" applyFill="1" applyBorder="1" applyAlignment="1">
      <alignment horizontal="center" vertical="center"/>
    </xf>
    <xf numFmtId="0" fontId="19" fillId="5" borderId="19" xfId="0" applyFont="1" applyFill="1" applyBorder="1" applyAlignment="1">
      <alignment horizontal="center" vertical="center"/>
    </xf>
    <xf numFmtId="0" fontId="23" fillId="5" borderId="17" xfId="0" applyFont="1" applyFill="1" applyBorder="1" applyAlignment="1">
      <alignment horizontal="center" vertical="center"/>
    </xf>
    <xf numFmtId="0" fontId="23" fillId="5" borderId="20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23" fillId="5" borderId="23" xfId="0" applyFont="1" applyFill="1" applyBorder="1" applyAlignment="1">
      <alignment horizontal="center" vertical="center"/>
    </xf>
    <xf numFmtId="0" fontId="19" fillId="5" borderId="21" xfId="0" applyFont="1" applyFill="1" applyBorder="1" applyAlignment="1">
      <alignment horizontal="center" vertical="center"/>
    </xf>
    <xf numFmtId="0" fontId="18" fillId="0" borderId="10" xfId="0" applyFont="1" applyFill="1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/>
    </xf>
    <xf numFmtId="0" fontId="18" fillId="0" borderId="7" xfId="0" applyFont="1" applyFill="1" applyBorder="1" applyAlignment="1">
      <alignment horizontal="center" vertical="center"/>
    </xf>
    <xf numFmtId="0" fontId="18" fillId="0" borderId="1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8" fillId="0" borderId="6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/>
    </xf>
    <xf numFmtId="0" fontId="23" fillId="5" borderId="24" xfId="0" applyFont="1" applyFill="1" applyBorder="1" applyAlignment="1">
      <alignment horizontal="center" vertical="center"/>
    </xf>
    <xf numFmtId="0" fontId="23" fillId="5" borderId="16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7" fillId="3" borderId="33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theme="3"/>
        </patternFill>
      </fill>
    </dxf>
    <dxf>
      <font>
        <color theme="3" tint="-0.24994659260841701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EAEAEA"/>
      <color rgb="FFDDDDD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190500</xdr:colOff>
      <xdr:row>3</xdr:row>
      <xdr:rowOff>57150</xdr:rowOff>
    </xdr:from>
    <xdr:to>
      <xdr:col>16</xdr:col>
      <xdr:colOff>695325</xdr:colOff>
      <xdr:row>29</xdr:row>
      <xdr:rowOff>47625</xdr:rowOff>
    </xdr:to>
    <xdr:sp macro="" textlink="">
      <xdr:nvSpPr>
        <xdr:cNvPr id="40" name="AutoShape 39"/>
        <xdr:cNvSpPr>
          <a:spLocks noChangeArrowheads="1"/>
        </xdr:cNvSpPr>
      </xdr:nvSpPr>
      <xdr:spPr bwMode="auto">
        <a:xfrm>
          <a:off x="7324725" y="219075"/>
          <a:ext cx="504825" cy="4200525"/>
        </a:xfrm>
        <a:prstGeom prst="roundRect">
          <a:avLst>
            <a:gd name="adj" fmla="val 16667"/>
          </a:avLst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</xdr:sp>
    <xdr:clientData/>
  </xdr:twoCellAnchor>
  <xdr:twoCellAnchor>
    <xdr:from>
      <xdr:col>15</xdr:col>
      <xdr:colOff>0</xdr:colOff>
      <xdr:row>3</xdr:row>
      <xdr:rowOff>123825</xdr:rowOff>
    </xdr:from>
    <xdr:to>
      <xdr:col>16</xdr:col>
      <xdr:colOff>190500</xdr:colOff>
      <xdr:row>29</xdr:row>
      <xdr:rowOff>0</xdr:rowOff>
    </xdr:to>
    <xdr:grpSp>
      <xdr:nvGrpSpPr>
        <xdr:cNvPr id="824" name="823 Grupo"/>
        <xdr:cNvGrpSpPr/>
      </xdr:nvGrpSpPr>
      <xdr:grpSpPr>
        <a:xfrm>
          <a:off x="6810375" y="695325"/>
          <a:ext cx="638175" cy="4086225"/>
          <a:chOff x="6709172" y="284559"/>
          <a:chExt cx="636984" cy="4055269"/>
        </a:xfrm>
      </xdr:grpSpPr>
      <xdr:sp macro="" textlink="">
        <xdr:nvSpPr>
          <xdr:cNvPr id="41" name="Line 40"/>
          <xdr:cNvSpPr>
            <a:spLocks noChangeShapeType="1"/>
          </xdr:cNvSpPr>
        </xdr:nvSpPr>
        <xdr:spPr bwMode="auto">
          <a:xfrm flipV="1">
            <a:off x="6709172" y="294012"/>
            <a:ext cx="624851" cy="61443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" name="Line 41"/>
          <xdr:cNvSpPr>
            <a:spLocks noChangeShapeType="1"/>
          </xdr:cNvSpPr>
        </xdr:nvSpPr>
        <xdr:spPr bwMode="auto">
          <a:xfrm flipV="1">
            <a:off x="6709172" y="501974"/>
            <a:ext cx="624851" cy="40647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" name="Line 42"/>
          <xdr:cNvSpPr>
            <a:spLocks noChangeShapeType="1"/>
          </xdr:cNvSpPr>
        </xdr:nvSpPr>
        <xdr:spPr bwMode="auto">
          <a:xfrm flipV="1">
            <a:off x="6709172" y="709937"/>
            <a:ext cx="630917" cy="1985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" name="Line 43"/>
          <xdr:cNvSpPr>
            <a:spLocks noChangeShapeType="1"/>
          </xdr:cNvSpPr>
        </xdr:nvSpPr>
        <xdr:spPr bwMode="auto">
          <a:xfrm flipV="1">
            <a:off x="6709172" y="294012"/>
            <a:ext cx="624851" cy="77513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44"/>
          <xdr:cNvSpPr>
            <a:spLocks noChangeShapeType="1"/>
          </xdr:cNvSpPr>
        </xdr:nvSpPr>
        <xdr:spPr bwMode="auto">
          <a:xfrm flipV="1">
            <a:off x="6709172" y="501974"/>
            <a:ext cx="630917" cy="56717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6" name="Line 45"/>
          <xdr:cNvSpPr>
            <a:spLocks noChangeShapeType="1"/>
          </xdr:cNvSpPr>
        </xdr:nvSpPr>
        <xdr:spPr bwMode="auto">
          <a:xfrm flipV="1">
            <a:off x="6709172" y="709937"/>
            <a:ext cx="630917" cy="35920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7" name="Line 46"/>
          <xdr:cNvSpPr>
            <a:spLocks noChangeShapeType="1"/>
          </xdr:cNvSpPr>
        </xdr:nvSpPr>
        <xdr:spPr bwMode="auto">
          <a:xfrm>
            <a:off x="6715239" y="908447"/>
            <a:ext cx="624851" cy="945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" name="Line 47"/>
          <xdr:cNvSpPr>
            <a:spLocks noChangeShapeType="1"/>
          </xdr:cNvSpPr>
        </xdr:nvSpPr>
        <xdr:spPr bwMode="auto">
          <a:xfrm>
            <a:off x="6709172" y="908447"/>
            <a:ext cx="630917" cy="2363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9" name="Line 48"/>
          <xdr:cNvSpPr>
            <a:spLocks noChangeShapeType="1"/>
          </xdr:cNvSpPr>
        </xdr:nvSpPr>
        <xdr:spPr bwMode="auto">
          <a:xfrm>
            <a:off x="6709172" y="908447"/>
            <a:ext cx="630917" cy="44428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0" name="Line 49"/>
          <xdr:cNvSpPr>
            <a:spLocks noChangeShapeType="1"/>
          </xdr:cNvSpPr>
        </xdr:nvSpPr>
        <xdr:spPr bwMode="auto">
          <a:xfrm>
            <a:off x="6709172" y="908447"/>
            <a:ext cx="630917" cy="66169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" name="Line 50"/>
          <xdr:cNvSpPr>
            <a:spLocks noChangeShapeType="1"/>
          </xdr:cNvSpPr>
        </xdr:nvSpPr>
        <xdr:spPr bwMode="auto">
          <a:xfrm>
            <a:off x="6709172" y="908447"/>
            <a:ext cx="630917" cy="87911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" name="Line 51"/>
          <xdr:cNvSpPr>
            <a:spLocks noChangeShapeType="1"/>
          </xdr:cNvSpPr>
        </xdr:nvSpPr>
        <xdr:spPr bwMode="auto">
          <a:xfrm>
            <a:off x="6709172" y="908447"/>
            <a:ext cx="636984" cy="343138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3" name="Line 52"/>
          <xdr:cNvSpPr>
            <a:spLocks noChangeShapeType="1"/>
          </xdr:cNvSpPr>
        </xdr:nvSpPr>
        <xdr:spPr bwMode="auto">
          <a:xfrm>
            <a:off x="6709172" y="908447"/>
            <a:ext cx="636984" cy="322341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4" name="Line 53"/>
          <xdr:cNvSpPr>
            <a:spLocks noChangeShapeType="1"/>
          </xdr:cNvSpPr>
        </xdr:nvSpPr>
        <xdr:spPr bwMode="auto">
          <a:xfrm>
            <a:off x="6709172" y="908447"/>
            <a:ext cx="636984" cy="300600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5" name="Line 54"/>
          <xdr:cNvSpPr>
            <a:spLocks noChangeShapeType="1"/>
          </xdr:cNvSpPr>
        </xdr:nvSpPr>
        <xdr:spPr bwMode="auto">
          <a:xfrm>
            <a:off x="6709172" y="908447"/>
            <a:ext cx="636984" cy="278858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6" name="Line 55"/>
          <xdr:cNvSpPr>
            <a:spLocks noChangeShapeType="1"/>
          </xdr:cNvSpPr>
        </xdr:nvSpPr>
        <xdr:spPr bwMode="auto">
          <a:xfrm>
            <a:off x="6709172" y="908447"/>
            <a:ext cx="636984" cy="258062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7" name="Line 56"/>
          <xdr:cNvSpPr>
            <a:spLocks noChangeShapeType="1"/>
          </xdr:cNvSpPr>
        </xdr:nvSpPr>
        <xdr:spPr bwMode="auto">
          <a:xfrm>
            <a:off x="6709172" y="908447"/>
            <a:ext cx="630917" cy="107762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8" name="Line 57"/>
          <xdr:cNvSpPr>
            <a:spLocks noChangeShapeType="1"/>
          </xdr:cNvSpPr>
        </xdr:nvSpPr>
        <xdr:spPr bwMode="auto">
          <a:xfrm>
            <a:off x="6709172" y="908447"/>
            <a:ext cx="630917" cy="130449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9" name="Line 58"/>
          <xdr:cNvSpPr>
            <a:spLocks noChangeShapeType="1"/>
          </xdr:cNvSpPr>
        </xdr:nvSpPr>
        <xdr:spPr bwMode="auto">
          <a:xfrm>
            <a:off x="6709172" y="908447"/>
            <a:ext cx="630917" cy="15030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" name="Line 59"/>
          <xdr:cNvSpPr>
            <a:spLocks noChangeShapeType="1"/>
          </xdr:cNvSpPr>
        </xdr:nvSpPr>
        <xdr:spPr bwMode="auto">
          <a:xfrm>
            <a:off x="6709172" y="898994"/>
            <a:ext cx="630917" cy="17393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1" name="Line 60"/>
          <xdr:cNvSpPr>
            <a:spLocks noChangeShapeType="1"/>
          </xdr:cNvSpPr>
        </xdr:nvSpPr>
        <xdr:spPr bwMode="auto">
          <a:xfrm>
            <a:off x="6709172" y="908447"/>
            <a:ext cx="630917" cy="193783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2" name="Line 61"/>
          <xdr:cNvSpPr>
            <a:spLocks noChangeShapeType="1"/>
          </xdr:cNvSpPr>
        </xdr:nvSpPr>
        <xdr:spPr bwMode="auto">
          <a:xfrm>
            <a:off x="6709172" y="908447"/>
            <a:ext cx="636984" cy="21457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" name="Line 62"/>
          <xdr:cNvSpPr>
            <a:spLocks noChangeShapeType="1"/>
          </xdr:cNvSpPr>
        </xdr:nvSpPr>
        <xdr:spPr bwMode="auto">
          <a:xfrm>
            <a:off x="6709172" y="908447"/>
            <a:ext cx="636984" cy="23632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4" name="Line 63"/>
          <xdr:cNvSpPr>
            <a:spLocks noChangeShapeType="1"/>
          </xdr:cNvSpPr>
        </xdr:nvSpPr>
        <xdr:spPr bwMode="auto">
          <a:xfrm flipV="1">
            <a:off x="6715239" y="917899"/>
            <a:ext cx="624851" cy="15124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5" name="Line 64"/>
          <xdr:cNvSpPr>
            <a:spLocks noChangeShapeType="1"/>
          </xdr:cNvSpPr>
        </xdr:nvSpPr>
        <xdr:spPr bwMode="auto">
          <a:xfrm>
            <a:off x="6709172" y="1069145"/>
            <a:ext cx="630917" cy="756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6" name="Line 65"/>
          <xdr:cNvSpPr>
            <a:spLocks noChangeShapeType="1"/>
          </xdr:cNvSpPr>
        </xdr:nvSpPr>
        <xdr:spPr bwMode="auto">
          <a:xfrm>
            <a:off x="6715239" y="1069145"/>
            <a:ext cx="624851" cy="28358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7" name="Line 66"/>
          <xdr:cNvSpPr>
            <a:spLocks noChangeShapeType="1"/>
          </xdr:cNvSpPr>
        </xdr:nvSpPr>
        <xdr:spPr bwMode="auto">
          <a:xfrm>
            <a:off x="6709172" y="1069145"/>
            <a:ext cx="624851" cy="501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8" name="Line 67"/>
          <xdr:cNvSpPr>
            <a:spLocks noChangeShapeType="1"/>
          </xdr:cNvSpPr>
        </xdr:nvSpPr>
        <xdr:spPr bwMode="auto">
          <a:xfrm>
            <a:off x="6709172" y="1069145"/>
            <a:ext cx="630917" cy="7184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9" name="Line 68"/>
          <xdr:cNvSpPr>
            <a:spLocks noChangeShapeType="1"/>
          </xdr:cNvSpPr>
        </xdr:nvSpPr>
        <xdr:spPr bwMode="auto">
          <a:xfrm>
            <a:off x="6709172" y="1069145"/>
            <a:ext cx="624851" cy="90747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0" name="Line 69"/>
          <xdr:cNvSpPr>
            <a:spLocks noChangeShapeType="1"/>
          </xdr:cNvSpPr>
        </xdr:nvSpPr>
        <xdr:spPr bwMode="auto">
          <a:xfrm>
            <a:off x="6709172" y="1069145"/>
            <a:ext cx="630917" cy="113434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1" name="Line 70"/>
          <xdr:cNvSpPr>
            <a:spLocks noChangeShapeType="1"/>
          </xdr:cNvSpPr>
        </xdr:nvSpPr>
        <xdr:spPr bwMode="auto">
          <a:xfrm>
            <a:off x="6709172" y="1069145"/>
            <a:ext cx="630917" cy="13423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" name="Line 71"/>
          <xdr:cNvSpPr>
            <a:spLocks noChangeShapeType="1"/>
          </xdr:cNvSpPr>
        </xdr:nvSpPr>
        <xdr:spPr bwMode="auto">
          <a:xfrm flipH="1" flipV="1">
            <a:off x="6709172" y="1069145"/>
            <a:ext cx="630917" cy="155971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3" name="Line 72"/>
          <xdr:cNvSpPr>
            <a:spLocks noChangeShapeType="1"/>
          </xdr:cNvSpPr>
        </xdr:nvSpPr>
        <xdr:spPr bwMode="auto">
          <a:xfrm>
            <a:off x="6709172" y="1069145"/>
            <a:ext cx="630917" cy="177713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4" name="Line 73"/>
          <xdr:cNvSpPr>
            <a:spLocks noChangeShapeType="1"/>
          </xdr:cNvSpPr>
        </xdr:nvSpPr>
        <xdr:spPr bwMode="auto">
          <a:xfrm>
            <a:off x="6709172" y="1069145"/>
            <a:ext cx="636984" cy="198509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" name="Line 74"/>
          <xdr:cNvSpPr>
            <a:spLocks noChangeShapeType="1"/>
          </xdr:cNvSpPr>
        </xdr:nvSpPr>
        <xdr:spPr bwMode="auto">
          <a:xfrm>
            <a:off x="6709172" y="1069145"/>
            <a:ext cx="636984" cy="221196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6" name="Line 75"/>
          <xdr:cNvSpPr>
            <a:spLocks noChangeShapeType="1"/>
          </xdr:cNvSpPr>
        </xdr:nvSpPr>
        <xdr:spPr bwMode="auto">
          <a:xfrm>
            <a:off x="6709172" y="1069145"/>
            <a:ext cx="636984" cy="241047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7" name="Line 76"/>
          <xdr:cNvSpPr>
            <a:spLocks noChangeShapeType="1"/>
          </xdr:cNvSpPr>
        </xdr:nvSpPr>
        <xdr:spPr bwMode="auto">
          <a:xfrm>
            <a:off x="6709172" y="1069145"/>
            <a:ext cx="636984" cy="262789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8" name="Line 77"/>
          <xdr:cNvSpPr>
            <a:spLocks noChangeShapeType="1"/>
          </xdr:cNvSpPr>
        </xdr:nvSpPr>
        <xdr:spPr bwMode="auto">
          <a:xfrm flipH="1" flipV="1">
            <a:off x="6709172" y="1069145"/>
            <a:ext cx="636984" cy="283585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9" name="Line 78"/>
          <xdr:cNvSpPr>
            <a:spLocks noChangeShapeType="1"/>
          </xdr:cNvSpPr>
        </xdr:nvSpPr>
        <xdr:spPr bwMode="auto">
          <a:xfrm flipH="1" flipV="1">
            <a:off x="6709172" y="1069145"/>
            <a:ext cx="636984" cy="305326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0" name="Line 79"/>
          <xdr:cNvSpPr>
            <a:spLocks noChangeShapeType="1"/>
          </xdr:cNvSpPr>
        </xdr:nvSpPr>
        <xdr:spPr bwMode="auto">
          <a:xfrm flipH="1" flipV="1">
            <a:off x="6709172" y="1069145"/>
            <a:ext cx="636984" cy="326123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1" name="Line 80"/>
          <xdr:cNvSpPr>
            <a:spLocks noChangeShapeType="1"/>
          </xdr:cNvSpPr>
        </xdr:nvSpPr>
        <xdr:spPr bwMode="auto">
          <a:xfrm flipV="1">
            <a:off x="6709172" y="284559"/>
            <a:ext cx="630917" cy="94528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2" name="Line 81"/>
          <xdr:cNvSpPr>
            <a:spLocks noChangeShapeType="1"/>
          </xdr:cNvSpPr>
        </xdr:nvSpPr>
        <xdr:spPr bwMode="auto">
          <a:xfrm flipV="1">
            <a:off x="6709172" y="501974"/>
            <a:ext cx="624851" cy="72786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3" name="Line 82"/>
          <xdr:cNvSpPr>
            <a:spLocks noChangeShapeType="1"/>
          </xdr:cNvSpPr>
        </xdr:nvSpPr>
        <xdr:spPr bwMode="auto">
          <a:xfrm flipV="1">
            <a:off x="6709172" y="709937"/>
            <a:ext cx="630917" cy="51990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" name="Line 83"/>
          <xdr:cNvSpPr>
            <a:spLocks noChangeShapeType="1"/>
          </xdr:cNvSpPr>
        </xdr:nvSpPr>
        <xdr:spPr bwMode="auto">
          <a:xfrm flipV="1">
            <a:off x="6709172" y="917899"/>
            <a:ext cx="630917" cy="31194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" name="Line 84"/>
          <xdr:cNvSpPr>
            <a:spLocks noChangeShapeType="1"/>
          </xdr:cNvSpPr>
        </xdr:nvSpPr>
        <xdr:spPr bwMode="auto">
          <a:xfrm flipV="1">
            <a:off x="6709172" y="1144768"/>
            <a:ext cx="630917" cy="850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6" name="Line 85"/>
          <xdr:cNvSpPr>
            <a:spLocks noChangeShapeType="1"/>
          </xdr:cNvSpPr>
        </xdr:nvSpPr>
        <xdr:spPr bwMode="auto">
          <a:xfrm>
            <a:off x="6709172" y="1229843"/>
            <a:ext cx="630917" cy="12288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" name="Line 86"/>
          <xdr:cNvSpPr>
            <a:spLocks noChangeShapeType="1"/>
          </xdr:cNvSpPr>
        </xdr:nvSpPr>
        <xdr:spPr bwMode="auto">
          <a:xfrm>
            <a:off x="6709172" y="1229843"/>
            <a:ext cx="630917" cy="3403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8" name="Line 87"/>
          <xdr:cNvSpPr>
            <a:spLocks noChangeShapeType="1"/>
          </xdr:cNvSpPr>
        </xdr:nvSpPr>
        <xdr:spPr bwMode="auto">
          <a:xfrm>
            <a:off x="6709172" y="1229843"/>
            <a:ext cx="630917" cy="55771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9" name="Line 88"/>
          <xdr:cNvSpPr>
            <a:spLocks noChangeShapeType="1"/>
          </xdr:cNvSpPr>
        </xdr:nvSpPr>
        <xdr:spPr bwMode="auto">
          <a:xfrm>
            <a:off x="6709172" y="1229843"/>
            <a:ext cx="630917" cy="97364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0" name="Line 89"/>
          <xdr:cNvSpPr>
            <a:spLocks noChangeShapeType="1"/>
          </xdr:cNvSpPr>
        </xdr:nvSpPr>
        <xdr:spPr bwMode="auto">
          <a:xfrm>
            <a:off x="6709172" y="1229843"/>
            <a:ext cx="630917" cy="118160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1" name="Line 90"/>
          <xdr:cNvSpPr>
            <a:spLocks noChangeShapeType="1"/>
          </xdr:cNvSpPr>
        </xdr:nvSpPr>
        <xdr:spPr bwMode="auto">
          <a:xfrm>
            <a:off x="6709172" y="1229843"/>
            <a:ext cx="630917" cy="140847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2" name="Line 91"/>
          <xdr:cNvSpPr>
            <a:spLocks noChangeShapeType="1"/>
          </xdr:cNvSpPr>
        </xdr:nvSpPr>
        <xdr:spPr bwMode="auto">
          <a:xfrm flipH="1" flipV="1">
            <a:off x="6709172" y="1229843"/>
            <a:ext cx="630917" cy="16164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3" name="Line 92"/>
          <xdr:cNvSpPr>
            <a:spLocks noChangeShapeType="1"/>
          </xdr:cNvSpPr>
        </xdr:nvSpPr>
        <xdr:spPr bwMode="auto">
          <a:xfrm flipH="1" flipV="1">
            <a:off x="6709172" y="1229843"/>
            <a:ext cx="636984" cy="18243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4" name="Line 93"/>
          <xdr:cNvSpPr>
            <a:spLocks noChangeShapeType="1"/>
          </xdr:cNvSpPr>
        </xdr:nvSpPr>
        <xdr:spPr bwMode="auto">
          <a:xfrm flipH="1" flipV="1">
            <a:off x="6709172" y="1229843"/>
            <a:ext cx="636984" cy="20323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" name="Line 94"/>
          <xdr:cNvSpPr>
            <a:spLocks noChangeShapeType="1"/>
          </xdr:cNvSpPr>
        </xdr:nvSpPr>
        <xdr:spPr bwMode="auto">
          <a:xfrm>
            <a:off x="6709172" y="1229843"/>
            <a:ext cx="630917" cy="22403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6" name="Line 95"/>
          <xdr:cNvSpPr>
            <a:spLocks noChangeShapeType="1"/>
          </xdr:cNvSpPr>
        </xdr:nvSpPr>
        <xdr:spPr bwMode="auto">
          <a:xfrm flipH="1" flipV="1">
            <a:off x="6709172" y="1220390"/>
            <a:ext cx="636984" cy="246719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7" name="Line 96"/>
          <xdr:cNvSpPr>
            <a:spLocks noChangeShapeType="1"/>
          </xdr:cNvSpPr>
        </xdr:nvSpPr>
        <xdr:spPr bwMode="auto">
          <a:xfrm>
            <a:off x="6709172" y="1220390"/>
            <a:ext cx="636984" cy="268460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" name="Line 97"/>
          <xdr:cNvSpPr>
            <a:spLocks noChangeShapeType="1"/>
          </xdr:cNvSpPr>
        </xdr:nvSpPr>
        <xdr:spPr bwMode="auto">
          <a:xfrm flipH="1" flipV="1">
            <a:off x="6709172" y="1220390"/>
            <a:ext cx="636984" cy="290202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9" name="Line 98"/>
          <xdr:cNvSpPr>
            <a:spLocks noChangeShapeType="1"/>
          </xdr:cNvSpPr>
        </xdr:nvSpPr>
        <xdr:spPr bwMode="auto">
          <a:xfrm>
            <a:off x="6709172" y="1220390"/>
            <a:ext cx="636984" cy="311943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0" name="Line 99"/>
          <xdr:cNvSpPr>
            <a:spLocks noChangeShapeType="1"/>
          </xdr:cNvSpPr>
        </xdr:nvSpPr>
        <xdr:spPr bwMode="auto">
          <a:xfrm flipV="1">
            <a:off x="6709172" y="284559"/>
            <a:ext cx="630917" cy="109653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1" name="Line 100"/>
          <xdr:cNvSpPr>
            <a:spLocks noChangeShapeType="1"/>
          </xdr:cNvSpPr>
        </xdr:nvSpPr>
        <xdr:spPr bwMode="auto">
          <a:xfrm flipV="1">
            <a:off x="6709172" y="511427"/>
            <a:ext cx="624851" cy="8696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2" name="Line 101"/>
          <xdr:cNvSpPr>
            <a:spLocks noChangeShapeType="1"/>
          </xdr:cNvSpPr>
        </xdr:nvSpPr>
        <xdr:spPr bwMode="auto">
          <a:xfrm flipV="1">
            <a:off x="6715239" y="709937"/>
            <a:ext cx="624851" cy="66169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3" name="Line 102"/>
          <xdr:cNvSpPr>
            <a:spLocks noChangeShapeType="1"/>
          </xdr:cNvSpPr>
        </xdr:nvSpPr>
        <xdr:spPr bwMode="auto">
          <a:xfrm flipV="1">
            <a:off x="6709172" y="917899"/>
            <a:ext cx="630917" cy="46318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4" name="Line 103"/>
          <xdr:cNvSpPr>
            <a:spLocks noChangeShapeType="1"/>
          </xdr:cNvSpPr>
        </xdr:nvSpPr>
        <xdr:spPr bwMode="auto">
          <a:xfrm flipV="1">
            <a:off x="6709172" y="1144768"/>
            <a:ext cx="624851" cy="2363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5" name="Line 104"/>
          <xdr:cNvSpPr>
            <a:spLocks noChangeShapeType="1"/>
          </xdr:cNvSpPr>
        </xdr:nvSpPr>
        <xdr:spPr bwMode="auto">
          <a:xfrm flipV="1">
            <a:off x="6709172" y="1352730"/>
            <a:ext cx="630917" cy="283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6" name="Line 105"/>
          <xdr:cNvSpPr>
            <a:spLocks noChangeShapeType="1"/>
          </xdr:cNvSpPr>
        </xdr:nvSpPr>
        <xdr:spPr bwMode="auto">
          <a:xfrm>
            <a:off x="6709172" y="1381089"/>
            <a:ext cx="630917" cy="1890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" name="Line 106"/>
          <xdr:cNvSpPr>
            <a:spLocks noChangeShapeType="1"/>
          </xdr:cNvSpPr>
        </xdr:nvSpPr>
        <xdr:spPr bwMode="auto">
          <a:xfrm>
            <a:off x="6709172" y="1381089"/>
            <a:ext cx="624851" cy="38756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8" name="Line 107"/>
          <xdr:cNvSpPr>
            <a:spLocks noChangeShapeType="1"/>
          </xdr:cNvSpPr>
        </xdr:nvSpPr>
        <xdr:spPr bwMode="auto">
          <a:xfrm>
            <a:off x="6709172" y="1381089"/>
            <a:ext cx="630917" cy="60498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9" name="Line 108"/>
          <xdr:cNvSpPr>
            <a:spLocks noChangeShapeType="1"/>
          </xdr:cNvSpPr>
        </xdr:nvSpPr>
        <xdr:spPr bwMode="auto">
          <a:xfrm>
            <a:off x="6709172" y="1381089"/>
            <a:ext cx="624851" cy="81294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" name="Line 109"/>
          <xdr:cNvSpPr>
            <a:spLocks noChangeShapeType="1"/>
          </xdr:cNvSpPr>
        </xdr:nvSpPr>
        <xdr:spPr bwMode="auto">
          <a:xfrm>
            <a:off x="6709172" y="1381089"/>
            <a:ext cx="630917" cy="103036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1" name="Line 110"/>
          <xdr:cNvSpPr>
            <a:spLocks noChangeShapeType="1"/>
          </xdr:cNvSpPr>
        </xdr:nvSpPr>
        <xdr:spPr bwMode="auto">
          <a:xfrm>
            <a:off x="6709172" y="1381089"/>
            <a:ext cx="630917" cy="125722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2" name="Line 111"/>
          <xdr:cNvSpPr>
            <a:spLocks noChangeShapeType="1"/>
          </xdr:cNvSpPr>
        </xdr:nvSpPr>
        <xdr:spPr bwMode="auto">
          <a:xfrm>
            <a:off x="6709172" y="1381089"/>
            <a:ext cx="630917" cy="145573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3" name="Line 112"/>
          <xdr:cNvSpPr>
            <a:spLocks noChangeShapeType="1"/>
          </xdr:cNvSpPr>
        </xdr:nvSpPr>
        <xdr:spPr bwMode="auto">
          <a:xfrm>
            <a:off x="6709172" y="1381089"/>
            <a:ext cx="636984" cy="167315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4" name="Line 113"/>
          <xdr:cNvSpPr>
            <a:spLocks noChangeShapeType="1"/>
          </xdr:cNvSpPr>
        </xdr:nvSpPr>
        <xdr:spPr bwMode="auto">
          <a:xfrm>
            <a:off x="6709172" y="1371636"/>
            <a:ext cx="630917" cy="189056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5" name="Line 114"/>
          <xdr:cNvSpPr>
            <a:spLocks noChangeShapeType="1"/>
          </xdr:cNvSpPr>
        </xdr:nvSpPr>
        <xdr:spPr bwMode="auto">
          <a:xfrm>
            <a:off x="6715239" y="1381089"/>
            <a:ext cx="630917" cy="209853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6" name="Line 115"/>
          <xdr:cNvSpPr>
            <a:spLocks noChangeShapeType="1"/>
          </xdr:cNvSpPr>
        </xdr:nvSpPr>
        <xdr:spPr bwMode="auto">
          <a:xfrm>
            <a:off x="6715239" y="1381089"/>
            <a:ext cx="630917" cy="231594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7" name="Line 116"/>
          <xdr:cNvSpPr>
            <a:spLocks noChangeShapeType="1"/>
          </xdr:cNvSpPr>
        </xdr:nvSpPr>
        <xdr:spPr bwMode="auto">
          <a:xfrm>
            <a:off x="6715239" y="1381089"/>
            <a:ext cx="624851" cy="25050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8" name="Line 117"/>
          <xdr:cNvSpPr>
            <a:spLocks noChangeShapeType="1"/>
          </xdr:cNvSpPr>
        </xdr:nvSpPr>
        <xdr:spPr bwMode="auto">
          <a:xfrm>
            <a:off x="6715239" y="1371636"/>
            <a:ext cx="624851" cy="274132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9" name="Line 118"/>
          <xdr:cNvSpPr>
            <a:spLocks noChangeShapeType="1"/>
          </xdr:cNvSpPr>
        </xdr:nvSpPr>
        <xdr:spPr bwMode="auto">
          <a:xfrm>
            <a:off x="6715239" y="1381089"/>
            <a:ext cx="624851" cy="294928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0" name="Line 119"/>
          <xdr:cNvSpPr>
            <a:spLocks noChangeShapeType="1"/>
          </xdr:cNvSpPr>
        </xdr:nvSpPr>
        <xdr:spPr bwMode="auto">
          <a:xfrm flipV="1">
            <a:off x="6709172" y="294012"/>
            <a:ext cx="624851" cy="125722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1" name="Line 120"/>
          <xdr:cNvSpPr>
            <a:spLocks noChangeShapeType="1"/>
          </xdr:cNvSpPr>
        </xdr:nvSpPr>
        <xdr:spPr bwMode="auto">
          <a:xfrm flipV="1">
            <a:off x="6715239" y="501974"/>
            <a:ext cx="624851" cy="103981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2" name="Line 121"/>
          <xdr:cNvSpPr>
            <a:spLocks noChangeShapeType="1"/>
          </xdr:cNvSpPr>
        </xdr:nvSpPr>
        <xdr:spPr bwMode="auto">
          <a:xfrm flipV="1">
            <a:off x="6709172" y="709937"/>
            <a:ext cx="630917" cy="83185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3" name="Line 122"/>
          <xdr:cNvSpPr>
            <a:spLocks noChangeShapeType="1"/>
          </xdr:cNvSpPr>
        </xdr:nvSpPr>
        <xdr:spPr bwMode="auto">
          <a:xfrm flipV="1">
            <a:off x="6709172" y="917899"/>
            <a:ext cx="630917" cy="62388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4" name="Line 123"/>
          <xdr:cNvSpPr>
            <a:spLocks noChangeShapeType="1"/>
          </xdr:cNvSpPr>
        </xdr:nvSpPr>
        <xdr:spPr bwMode="auto">
          <a:xfrm flipV="1">
            <a:off x="6709172" y="1144768"/>
            <a:ext cx="624851" cy="39701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5" name="Line 124"/>
          <xdr:cNvSpPr>
            <a:spLocks noChangeShapeType="1"/>
          </xdr:cNvSpPr>
        </xdr:nvSpPr>
        <xdr:spPr bwMode="auto">
          <a:xfrm flipV="1">
            <a:off x="6709172" y="1352730"/>
            <a:ext cx="624851" cy="1890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6" name="Line 125"/>
          <xdr:cNvSpPr>
            <a:spLocks noChangeShapeType="1"/>
          </xdr:cNvSpPr>
        </xdr:nvSpPr>
        <xdr:spPr bwMode="auto">
          <a:xfrm>
            <a:off x="6709172" y="1541787"/>
            <a:ext cx="630917" cy="283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7" name="Line 126"/>
          <xdr:cNvSpPr>
            <a:spLocks noChangeShapeType="1"/>
          </xdr:cNvSpPr>
        </xdr:nvSpPr>
        <xdr:spPr bwMode="auto">
          <a:xfrm>
            <a:off x="6709172" y="1541787"/>
            <a:ext cx="630917" cy="24577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8" name="Line 127"/>
          <xdr:cNvSpPr>
            <a:spLocks noChangeShapeType="1"/>
          </xdr:cNvSpPr>
        </xdr:nvSpPr>
        <xdr:spPr bwMode="auto">
          <a:xfrm>
            <a:off x="6709172" y="1551240"/>
            <a:ext cx="624851" cy="43483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9" name="Line 128"/>
          <xdr:cNvSpPr>
            <a:spLocks noChangeShapeType="1"/>
          </xdr:cNvSpPr>
        </xdr:nvSpPr>
        <xdr:spPr bwMode="auto">
          <a:xfrm>
            <a:off x="6709172" y="1541787"/>
            <a:ext cx="630917" cy="66169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0" name="Line 129"/>
          <xdr:cNvSpPr>
            <a:spLocks noChangeShapeType="1"/>
          </xdr:cNvSpPr>
        </xdr:nvSpPr>
        <xdr:spPr bwMode="auto">
          <a:xfrm>
            <a:off x="6715239" y="1551240"/>
            <a:ext cx="618784" cy="86020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1" name="Line 130"/>
          <xdr:cNvSpPr>
            <a:spLocks noChangeShapeType="1"/>
          </xdr:cNvSpPr>
        </xdr:nvSpPr>
        <xdr:spPr bwMode="auto">
          <a:xfrm flipH="1" flipV="1">
            <a:off x="6709172" y="1541787"/>
            <a:ext cx="630917" cy="108707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31"/>
          <xdr:cNvSpPr>
            <a:spLocks noChangeShapeType="1"/>
          </xdr:cNvSpPr>
        </xdr:nvSpPr>
        <xdr:spPr bwMode="auto">
          <a:xfrm flipH="1" flipV="1">
            <a:off x="6709172" y="1541787"/>
            <a:ext cx="624851" cy="129503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3" name="Line 132"/>
          <xdr:cNvSpPr>
            <a:spLocks noChangeShapeType="1"/>
          </xdr:cNvSpPr>
        </xdr:nvSpPr>
        <xdr:spPr bwMode="auto">
          <a:xfrm flipH="1" flipV="1">
            <a:off x="6709172" y="1541787"/>
            <a:ext cx="636984" cy="151245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4" name="Line 133"/>
          <xdr:cNvSpPr>
            <a:spLocks noChangeShapeType="1"/>
          </xdr:cNvSpPr>
        </xdr:nvSpPr>
        <xdr:spPr bwMode="auto">
          <a:xfrm flipH="1" flipV="1">
            <a:off x="6709172" y="1541787"/>
            <a:ext cx="636984" cy="17204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5" name="Line 134"/>
          <xdr:cNvSpPr>
            <a:spLocks noChangeShapeType="1"/>
          </xdr:cNvSpPr>
        </xdr:nvSpPr>
        <xdr:spPr bwMode="auto">
          <a:xfrm flipH="1" flipV="1">
            <a:off x="6709172" y="1541787"/>
            <a:ext cx="636984" cy="192838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6" name="Line 135"/>
          <xdr:cNvSpPr>
            <a:spLocks noChangeShapeType="1"/>
          </xdr:cNvSpPr>
        </xdr:nvSpPr>
        <xdr:spPr bwMode="auto">
          <a:xfrm flipH="1" flipV="1">
            <a:off x="6709172" y="1541787"/>
            <a:ext cx="630917" cy="215524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7" name="Line 136"/>
          <xdr:cNvSpPr>
            <a:spLocks noChangeShapeType="1"/>
          </xdr:cNvSpPr>
        </xdr:nvSpPr>
        <xdr:spPr bwMode="auto">
          <a:xfrm flipH="1" flipV="1">
            <a:off x="6709172" y="1541787"/>
            <a:ext cx="636984" cy="23632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8" name="Line 137"/>
          <xdr:cNvSpPr>
            <a:spLocks noChangeShapeType="1"/>
          </xdr:cNvSpPr>
        </xdr:nvSpPr>
        <xdr:spPr bwMode="auto">
          <a:xfrm flipH="1" flipV="1">
            <a:off x="6715239" y="1541787"/>
            <a:ext cx="630917" cy="257117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" name="Line 138"/>
          <xdr:cNvSpPr>
            <a:spLocks noChangeShapeType="1"/>
          </xdr:cNvSpPr>
        </xdr:nvSpPr>
        <xdr:spPr bwMode="auto">
          <a:xfrm flipH="1" flipV="1">
            <a:off x="6715239" y="1551240"/>
            <a:ext cx="624851" cy="277913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" name="Line 139"/>
          <xdr:cNvSpPr>
            <a:spLocks noChangeShapeType="1"/>
          </xdr:cNvSpPr>
        </xdr:nvSpPr>
        <xdr:spPr bwMode="auto">
          <a:xfrm flipV="1">
            <a:off x="6709172" y="284559"/>
            <a:ext cx="630917" cy="142737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1" name="Line 140"/>
          <xdr:cNvSpPr>
            <a:spLocks noChangeShapeType="1"/>
          </xdr:cNvSpPr>
        </xdr:nvSpPr>
        <xdr:spPr bwMode="auto">
          <a:xfrm flipV="1">
            <a:off x="6709172" y="501974"/>
            <a:ext cx="630917" cy="12099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2" name="Line 141"/>
          <xdr:cNvSpPr>
            <a:spLocks noChangeShapeType="1"/>
          </xdr:cNvSpPr>
        </xdr:nvSpPr>
        <xdr:spPr bwMode="auto">
          <a:xfrm flipV="1">
            <a:off x="6709172" y="709937"/>
            <a:ext cx="624851" cy="1002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3" name="Line 142"/>
          <xdr:cNvSpPr>
            <a:spLocks noChangeShapeType="1"/>
          </xdr:cNvSpPr>
        </xdr:nvSpPr>
        <xdr:spPr bwMode="auto">
          <a:xfrm flipV="1">
            <a:off x="6709172" y="917899"/>
            <a:ext cx="630917" cy="79403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4" name="Line 143"/>
          <xdr:cNvSpPr>
            <a:spLocks noChangeShapeType="1"/>
          </xdr:cNvSpPr>
        </xdr:nvSpPr>
        <xdr:spPr bwMode="auto">
          <a:xfrm flipV="1">
            <a:off x="6715239" y="1144768"/>
            <a:ext cx="624851" cy="56717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5" name="Line 144"/>
          <xdr:cNvSpPr>
            <a:spLocks noChangeShapeType="1"/>
          </xdr:cNvSpPr>
        </xdr:nvSpPr>
        <xdr:spPr bwMode="auto">
          <a:xfrm flipV="1">
            <a:off x="6715239" y="1352730"/>
            <a:ext cx="618784" cy="35920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6" name="Line 145"/>
          <xdr:cNvSpPr>
            <a:spLocks noChangeShapeType="1"/>
          </xdr:cNvSpPr>
        </xdr:nvSpPr>
        <xdr:spPr bwMode="auto">
          <a:xfrm flipV="1">
            <a:off x="6709172" y="1570145"/>
            <a:ext cx="624851" cy="15124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7" name="Line 146"/>
          <xdr:cNvSpPr>
            <a:spLocks noChangeShapeType="1"/>
          </xdr:cNvSpPr>
        </xdr:nvSpPr>
        <xdr:spPr bwMode="auto">
          <a:xfrm>
            <a:off x="6715239" y="1711938"/>
            <a:ext cx="624851" cy="756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8" name="Line 147"/>
          <xdr:cNvSpPr>
            <a:spLocks noChangeShapeType="1"/>
          </xdr:cNvSpPr>
        </xdr:nvSpPr>
        <xdr:spPr bwMode="auto">
          <a:xfrm>
            <a:off x="6709172" y="1711938"/>
            <a:ext cx="630917" cy="27413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9" name="Line 148"/>
          <xdr:cNvSpPr>
            <a:spLocks noChangeShapeType="1"/>
          </xdr:cNvSpPr>
        </xdr:nvSpPr>
        <xdr:spPr bwMode="auto">
          <a:xfrm>
            <a:off x="6715239" y="1711938"/>
            <a:ext cx="624851" cy="49154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0" name="Line 149"/>
          <xdr:cNvSpPr>
            <a:spLocks noChangeShapeType="1"/>
          </xdr:cNvSpPr>
        </xdr:nvSpPr>
        <xdr:spPr bwMode="auto">
          <a:xfrm>
            <a:off x="6709172" y="1711938"/>
            <a:ext cx="630917" cy="6995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1" name="Line 150"/>
          <xdr:cNvSpPr>
            <a:spLocks noChangeShapeType="1"/>
          </xdr:cNvSpPr>
        </xdr:nvSpPr>
        <xdr:spPr bwMode="auto">
          <a:xfrm>
            <a:off x="6715239" y="1711938"/>
            <a:ext cx="618784" cy="91692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2" name="Line 151"/>
          <xdr:cNvSpPr>
            <a:spLocks noChangeShapeType="1"/>
          </xdr:cNvSpPr>
        </xdr:nvSpPr>
        <xdr:spPr bwMode="auto">
          <a:xfrm>
            <a:off x="6715239" y="1711938"/>
            <a:ext cx="618784" cy="112488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3" name="Line 152"/>
          <xdr:cNvSpPr>
            <a:spLocks noChangeShapeType="1"/>
          </xdr:cNvSpPr>
        </xdr:nvSpPr>
        <xdr:spPr bwMode="auto">
          <a:xfrm>
            <a:off x="6709172" y="1711938"/>
            <a:ext cx="636984" cy="13423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4" name="Line 153"/>
          <xdr:cNvSpPr>
            <a:spLocks noChangeShapeType="1"/>
          </xdr:cNvSpPr>
        </xdr:nvSpPr>
        <xdr:spPr bwMode="auto">
          <a:xfrm>
            <a:off x="6709172" y="1711938"/>
            <a:ext cx="630917" cy="155971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5" name="Line 154"/>
          <xdr:cNvSpPr>
            <a:spLocks noChangeShapeType="1"/>
          </xdr:cNvSpPr>
        </xdr:nvSpPr>
        <xdr:spPr bwMode="auto">
          <a:xfrm>
            <a:off x="6709172" y="1711938"/>
            <a:ext cx="630917" cy="176768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6" name="Line 155"/>
          <xdr:cNvSpPr>
            <a:spLocks noChangeShapeType="1"/>
          </xdr:cNvSpPr>
        </xdr:nvSpPr>
        <xdr:spPr bwMode="auto">
          <a:xfrm>
            <a:off x="6709172" y="1711938"/>
            <a:ext cx="630917" cy="198509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7" name="Line 156"/>
          <xdr:cNvSpPr>
            <a:spLocks noChangeShapeType="1"/>
          </xdr:cNvSpPr>
        </xdr:nvSpPr>
        <xdr:spPr bwMode="auto">
          <a:xfrm>
            <a:off x="6709172" y="1711938"/>
            <a:ext cx="636984" cy="21930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8" name="Line 157"/>
          <xdr:cNvSpPr>
            <a:spLocks noChangeShapeType="1"/>
          </xdr:cNvSpPr>
        </xdr:nvSpPr>
        <xdr:spPr bwMode="auto">
          <a:xfrm>
            <a:off x="6709172" y="1711938"/>
            <a:ext cx="630917" cy="240102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9" name="Line 158"/>
          <xdr:cNvSpPr>
            <a:spLocks noChangeShapeType="1"/>
          </xdr:cNvSpPr>
        </xdr:nvSpPr>
        <xdr:spPr bwMode="auto">
          <a:xfrm>
            <a:off x="6709172" y="1711938"/>
            <a:ext cx="636984" cy="261843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0" name="Line 159"/>
          <xdr:cNvSpPr>
            <a:spLocks noChangeShapeType="1"/>
          </xdr:cNvSpPr>
        </xdr:nvSpPr>
        <xdr:spPr bwMode="auto">
          <a:xfrm flipV="1">
            <a:off x="6709172" y="284559"/>
            <a:ext cx="630917" cy="158807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1" name="Line 160"/>
          <xdr:cNvSpPr>
            <a:spLocks noChangeShapeType="1"/>
          </xdr:cNvSpPr>
        </xdr:nvSpPr>
        <xdr:spPr bwMode="auto">
          <a:xfrm flipV="1">
            <a:off x="6709172" y="501974"/>
            <a:ext cx="630917" cy="137066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2" name="Line 161"/>
          <xdr:cNvSpPr>
            <a:spLocks noChangeShapeType="1"/>
          </xdr:cNvSpPr>
        </xdr:nvSpPr>
        <xdr:spPr bwMode="auto">
          <a:xfrm flipV="1">
            <a:off x="6715239" y="709937"/>
            <a:ext cx="618784" cy="116270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62"/>
          <xdr:cNvSpPr>
            <a:spLocks noChangeShapeType="1"/>
          </xdr:cNvSpPr>
        </xdr:nvSpPr>
        <xdr:spPr bwMode="auto">
          <a:xfrm flipV="1">
            <a:off x="6715239" y="917899"/>
            <a:ext cx="624851" cy="95473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4" name="Line 163"/>
          <xdr:cNvSpPr>
            <a:spLocks noChangeShapeType="1"/>
          </xdr:cNvSpPr>
        </xdr:nvSpPr>
        <xdr:spPr bwMode="auto">
          <a:xfrm flipH="1">
            <a:off x="6709172" y="1125862"/>
            <a:ext cx="630917" cy="75622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5" name="Line 164"/>
          <xdr:cNvSpPr>
            <a:spLocks noChangeShapeType="1"/>
          </xdr:cNvSpPr>
        </xdr:nvSpPr>
        <xdr:spPr bwMode="auto">
          <a:xfrm flipV="1">
            <a:off x="6709172" y="1343277"/>
            <a:ext cx="624851" cy="5293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6" name="Line 165"/>
          <xdr:cNvSpPr>
            <a:spLocks noChangeShapeType="1"/>
          </xdr:cNvSpPr>
        </xdr:nvSpPr>
        <xdr:spPr bwMode="auto">
          <a:xfrm flipV="1">
            <a:off x="6709172" y="1570145"/>
            <a:ext cx="624851" cy="30249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7" name="Line 166"/>
          <xdr:cNvSpPr>
            <a:spLocks noChangeShapeType="1"/>
          </xdr:cNvSpPr>
        </xdr:nvSpPr>
        <xdr:spPr bwMode="auto">
          <a:xfrm flipV="1">
            <a:off x="6709172" y="1787561"/>
            <a:ext cx="624851" cy="850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8" name="Line 167"/>
          <xdr:cNvSpPr>
            <a:spLocks noChangeShapeType="1"/>
          </xdr:cNvSpPr>
        </xdr:nvSpPr>
        <xdr:spPr bwMode="auto">
          <a:xfrm>
            <a:off x="6709172" y="1872636"/>
            <a:ext cx="624851" cy="11343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9" name="Line 168"/>
          <xdr:cNvSpPr>
            <a:spLocks noChangeShapeType="1"/>
          </xdr:cNvSpPr>
        </xdr:nvSpPr>
        <xdr:spPr bwMode="auto">
          <a:xfrm>
            <a:off x="6709172" y="1872636"/>
            <a:ext cx="624851" cy="33084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0" name="Line 169"/>
          <xdr:cNvSpPr>
            <a:spLocks noChangeShapeType="1"/>
          </xdr:cNvSpPr>
        </xdr:nvSpPr>
        <xdr:spPr bwMode="auto">
          <a:xfrm>
            <a:off x="6709172" y="1882089"/>
            <a:ext cx="630917" cy="5293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1" name="Line 170"/>
          <xdr:cNvSpPr>
            <a:spLocks noChangeShapeType="1"/>
          </xdr:cNvSpPr>
        </xdr:nvSpPr>
        <xdr:spPr bwMode="auto">
          <a:xfrm>
            <a:off x="6709172" y="1872636"/>
            <a:ext cx="624851" cy="75622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2" name="Line 171"/>
          <xdr:cNvSpPr>
            <a:spLocks noChangeShapeType="1"/>
          </xdr:cNvSpPr>
        </xdr:nvSpPr>
        <xdr:spPr bwMode="auto">
          <a:xfrm>
            <a:off x="6709172" y="1872636"/>
            <a:ext cx="624851" cy="96419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3" name="Line 172"/>
          <xdr:cNvSpPr>
            <a:spLocks noChangeShapeType="1"/>
          </xdr:cNvSpPr>
        </xdr:nvSpPr>
        <xdr:spPr bwMode="auto">
          <a:xfrm>
            <a:off x="6709172" y="1872636"/>
            <a:ext cx="636984" cy="118160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4" name="Line 173"/>
          <xdr:cNvSpPr>
            <a:spLocks noChangeShapeType="1"/>
          </xdr:cNvSpPr>
        </xdr:nvSpPr>
        <xdr:spPr bwMode="auto">
          <a:xfrm>
            <a:off x="6709172" y="1872636"/>
            <a:ext cx="636984" cy="140847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5" name="Line 174"/>
          <xdr:cNvSpPr>
            <a:spLocks noChangeShapeType="1"/>
          </xdr:cNvSpPr>
        </xdr:nvSpPr>
        <xdr:spPr bwMode="auto">
          <a:xfrm flipH="1" flipV="1">
            <a:off x="6709172" y="1872636"/>
            <a:ext cx="636984" cy="160698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6" name="Line 175"/>
          <xdr:cNvSpPr>
            <a:spLocks noChangeShapeType="1"/>
          </xdr:cNvSpPr>
        </xdr:nvSpPr>
        <xdr:spPr bwMode="auto">
          <a:xfrm>
            <a:off x="6709172" y="1872636"/>
            <a:ext cx="630917" cy="18243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7" name="Line 176"/>
          <xdr:cNvSpPr>
            <a:spLocks noChangeShapeType="1"/>
          </xdr:cNvSpPr>
        </xdr:nvSpPr>
        <xdr:spPr bwMode="auto">
          <a:xfrm flipH="1" flipV="1">
            <a:off x="6709172" y="1872636"/>
            <a:ext cx="636984" cy="201345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8" name="Line 177"/>
          <xdr:cNvSpPr>
            <a:spLocks noChangeShapeType="1"/>
          </xdr:cNvSpPr>
        </xdr:nvSpPr>
        <xdr:spPr bwMode="auto">
          <a:xfrm>
            <a:off x="6709172" y="1863184"/>
            <a:ext cx="636984" cy="204181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9" name="Line 178"/>
          <xdr:cNvSpPr>
            <a:spLocks noChangeShapeType="1"/>
          </xdr:cNvSpPr>
        </xdr:nvSpPr>
        <xdr:spPr bwMode="auto">
          <a:xfrm flipH="1" flipV="1">
            <a:off x="6709172" y="1872636"/>
            <a:ext cx="636984" cy="22497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0" name="Line 179"/>
          <xdr:cNvSpPr>
            <a:spLocks noChangeShapeType="1"/>
          </xdr:cNvSpPr>
        </xdr:nvSpPr>
        <xdr:spPr bwMode="auto">
          <a:xfrm>
            <a:off x="6715239" y="1872636"/>
            <a:ext cx="630917" cy="246719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1" name="Line 180"/>
          <xdr:cNvSpPr>
            <a:spLocks noChangeShapeType="1"/>
          </xdr:cNvSpPr>
        </xdr:nvSpPr>
        <xdr:spPr bwMode="auto">
          <a:xfrm flipV="1">
            <a:off x="6709172" y="1787561"/>
            <a:ext cx="630917" cy="24577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2" name="Line 181"/>
          <xdr:cNvSpPr>
            <a:spLocks noChangeShapeType="1"/>
          </xdr:cNvSpPr>
        </xdr:nvSpPr>
        <xdr:spPr bwMode="auto">
          <a:xfrm flipV="1">
            <a:off x="6709172" y="1560693"/>
            <a:ext cx="630917" cy="4820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3" name="Line 182"/>
          <xdr:cNvSpPr>
            <a:spLocks noChangeShapeType="1"/>
          </xdr:cNvSpPr>
        </xdr:nvSpPr>
        <xdr:spPr bwMode="auto">
          <a:xfrm flipV="1">
            <a:off x="6709172" y="1343277"/>
            <a:ext cx="630917" cy="6900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4" name="Line 183"/>
          <xdr:cNvSpPr>
            <a:spLocks noChangeShapeType="1"/>
          </xdr:cNvSpPr>
        </xdr:nvSpPr>
        <xdr:spPr bwMode="auto">
          <a:xfrm flipV="1">
            <a:off x="6709172" y="1144768"/>
            <a:ext cx="630917" cy="88856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5" name="Line 184"/>
          <xdr:cNvSpPr>
            <a:spLocks noChangeShapeType="1"/>
          </xdr:cNvSpPr>
        </xdr:nvSpPr>
        <xdr:spPr bwMode="auto">
          <a:xfrm flipV="1">
            <a:off x="6709172" y="1986070"/>
            <a:ext cx="630917" cy="472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6" name="Line 185"/>
          <xdr:cNvSpPr>
            <a:spLocks noChangeShapeType="1"/>
          </xdr:cNvSpPr>
        </xdr:nvSpPr>
        <xdr:spPr bwMode="auto">
          <a:xfrm flipH="1" flipV="1">
            <a:off x="6709172" y="2033335"/>
            <a:ext cx="624851" cy="17015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7" name="Line 186"/>
          <xdr:cNvSpPr>
            <a:spLocks noChangeShapeType="1"/>
          </xdr:cNvSpPr>
        </xdr:nvSpPr>
        <xdr:spPr bwMode="auto">
          <a:xfrm flipH="1" flipV="1">
            <a:off x="6709172" y="2033335"/>
            <a:ext cx="630917" cy="37811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8" name="Line 187"/>
          <xdr:cNvSpPr>
            <a:spLocks noChangeShapeType="1"/>
          </xdr:cNvSpPr>
        </xdr:nvSpPr>
        <xdr:spPr bwMode="auto">
          <a:xfrm flipH="1" flipV="1">
            <a:off x="6709172" y="2033335"/>
            <a:ext cx="630917" cy="60498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9" name="Line 188"/>
          <xdr:cNvSpPr>
            <a:spLocks noChangeShapeType="1"/>
          </xdr:cNvSpPr>
        </xdr:nvSpPr>
        <xdr:spPr bwMode="auto">
          <a:xfrm flipH="1" flipV="1">
            <a:off x="6709172" y="2033335"/>
            <a:ext cx="630917" cy="80349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0" name="Line 189"/>
          <xdr:cNvSpPr>
            <a:spLocks noChangeShapeType="1"/>
          </xdr:cNvSpPr>
        </xdr:nvSpPr>
        <xdr:spPr bwMode="auto">
          <a:xfrm flipH="1" flipV="1">
            <a:off x="6715239" y="2033335"/>
            <a:ext cx="630917" cy="102090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1" name="Line 190"/>
          <xdr:cNvSpPr>
            <a:spLocks noChangeShapeType="1"/>
          </xdr:cNvSpPr>
        </xdr:nvSpPr>
        <xdr:spPr bwMode="auto">
          <a:xfrm flipH="1" flipV="1">
            <a:off x="6715239" y="2033335"/>
            <a:ext cx="630917" cy="123832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2" name="Line 191"/>
          <xdr:cNvSpPr>
            <a:spLocks noChangeShapeType="1"/>
          </xdr:cNvSpPr>
        </xdr:nvSpPr>
        <xdr:spPr bwMode="auto">
          <a:xfrm flipH="1" flipV="1">
            <a:off x="6715239" y="2033335"/>
            <a:ext cx="630917" cy="144628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3" name="Line 192"/>
          <xdr:cNvSpPr>
            <a:spLocks noChangeShapeType="1"/>
          </xdr:cNvSpPr>
        </xdr:nvSpPr>
        <xdr:spPr bwMode="auto">
          <a:xfrm flipH="1" flipV="1">
            <a:off x="6715239" y="2033335"/>
            <a:ext cx="630917" cy="166370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4" name="Line 193"/>
          <xdr:cNvSpPr>
            <a:spLocks noChangeShapeType="1"/>
          </xdr:cNvSpPr>
        </xdr:nvSpPr>
        <xdr:spPr bwMode="auto">
          <a:xfrm>
            <a:off x="6709172" y="2033335"/>
            <a:ext cx="636984" cy="230649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5" name="Line 194"/>
          <xdr:cNvSpPr>
            <a:spLocks noChangeShapeType="1"/>
          </xdr:cNvSpPr>
        </xdr:nvSpPr>
        <xdr:spPr bwMode="auto">
          <a:xfrm flipH="1" flipV="1">
            <a:off x="6709172" y="2042788"/>
            <a:ext cx="636984" cy="207962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6" name="Line 195"/>
          <xdr:cNvSpPr>
            <a:spLocks noChangeShapeType="1"/>
          </xdr:cNvSpPr>
        </xdr:nvSpPr>
        <xdr:spPr bwMode="auto">
          <a:xfrm>
            <a:off x="6709172" y="2042788"/>
            <a:ext cx="636984" cy="18622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7" name="Line 196"/>
          <xdr:cNvSpPr>
            <a:spLocks noChangeShapeType="1"/>
          </xdr:cNvSpPr>
        </xdr:nvSpPr>
        <xdr:spPr bwMode="auto">
          <a:xfrm flipV="1">
            <a:off x="6709172" y="917899"/>
            <a:ext cx="624851" cy="111543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8" name="Line 197"/>
          <xdr:cNvSpPr>
            <a:spLocks noChangeShapeType="1"/>
          </xdr:cNvSpPr>
        </xdr:nvSpPr>
        <xdr:spPr bwMode="auto">
          <a:xfrm flipV="1">
            <a:off x="6709172" y="284559"/>
            <a:ext cx="630917" cy="17393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9" name="Line 198"/>
          <xdr:cNvSpPr>
            <a:spLocks noChangeShapeType="1"/>
          </xdr:cNvSpPr>
        </xdr:nvSpPr>
        <xdr:spPr bwMode="auto">
          <a:xfrm flipH="1">
            <a:off x="6709172" y="483069"/>
            <a:ext cx="630917" cy="155026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0" name="Line 199"/>
          <xdr:cNvSpPr>
            <a:spLocks noChangeShapeType="1"/>
          </xdr:cNvSpPr>
        </xdr:nvSpPr>
        <xdr:spPr bwMode="auto">
          <a:xfrm flipV="1">
            <a:off x="6709172" y="709937"/>
            <a:ext cx="630917" cy="13233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1" name="Line 200"/>
          <xdr:cNvSpPr>
            <a:spLocks noChangeShapeType="1"/>
          </xdr:cNvSpPr>
        </xdr:nvSpPr>
        <xdr:spPr bwMode="auto">
          <a:xfrm>
            <a:off x="6709172" y="2194033"/>
            <a:ext cx="630917" cy="945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2" name="Line 201"/>
          <xdr:cNvSpPr>
            <a:spLocks noChangeShapeType="1"/>
          </xdr:cNvSpPr>
        </xdr:nvSpPr>
        <xdr:spPr bwMode="auto">
          <a:xfrm flipV="1">
            <a:off x="6709172" y="1986070"/>
            <a:ext cx="630917" cy="20796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3" name="Line 202"/>
          <xdr:cNvSpPr>
            <a:spLocks noChangeShapeType="1"/>
          </xdr:cNvSpPr>
        </xdr:nvSpPr>
        <xdr:spPr bwMode="auto">
          <a:xfrm flipV="1">
            <a:off x="6715239" y="1787561"/>
            <a:ext cx="624851" cy="40647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4" name="Line 203"/>
          <xdr:cNvSpPr>
            <a:spLocks noChangeShapeType="1"/>
          </xdr:cNvSpPr>
        </xdr:nvSpPr>
        <xdr:spPr bwMode="auto">
          <a:xfrm flipV="1">
            <a:off x="6709172" y="1560693"/>
            <a:ext cx="624851" cy="63334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5" name="Line 204"/>
          <xdr:cNvSpPr>
            <a:spLocks noChangeShapeType="1"/>
          </xdr:cNvSpPr>
        </xdr:nvSpPr>
        <xdr:spPr bwMode="auto">
          <a:xfrm flipV="1">
            <a:off x="6709172" y="1343277"/>
            <a:ext cx="630917" cy="85075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6" name="Line 205"/>
          <xdr:cNvSpPr>
            <a:spLocks noChangeShapeType="1"/>
          </xdr:cNvSpPr>
        </xdr:nvSpPr>
        <xdr:spPr bwMode="auto">
          <a:xfrm>
            <a:off x="6709172" y="2194033"/>
            <a:ext cx="624851" cy="21741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7" name="Line 206"/>
          <xdr:cNvSpPr>
            <a:spLocks noChangeShapeType="1"/>
          </xdr:cNvSpPr>
        </xdr:nvSpPr>
        <xdr:spPr bwMode="auto">
          <a:xfrm>
            <a:off x="6709172" y="2194033"/>
            <a:ext cx="630917" cy="65224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8" name="Line 207"/>
          <xdr:cNvSpPr>
            <a:spLocks noChangeShapeType="1"/>
          </xdr:cNvSpPr>
        </xdr:nvSpPr>
        <xdr:spPr bwMode="auto">
          <a:xfrm>
            <a:off x="6715239" y="2184580"/>
            <a:ext cx="624851" cy="8696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9" name="Line 208"/>
          <xdr:cNvSpPr>
            <a:spLocks noChangeShapeType="1"/>
          </xdr:cNvSpPr>
        </xdr:nvSpPr>
        <xdr:spPr bwMode="auto">
          <a:xfrm>
            <a:off x="6715239" y="2194033"/>
            <a:ext cx="630917" cy="108707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0" name="Line 209"/>
          <xdr:cNvSpPr>
            <a:spLocks noChangeShapeType="1"/>
          </xdr:cNvSpPr>
        </xdr:nvSpPr>
        <xdr:spPr bwMode="auto">
          <a:xfrm>
            <a:off x="6709172" y="2194033"/>
            <a:ext cx="636984" cy="129503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1" name="Line 210"/>
          <xdr:cNvSpPr>
            <a:spLocks noChangeShapeType="1"/>
          </xdr:cNvSpPr>
        </xdr:nvSpPr>
        <xdr:spPr bwMode="auto">
          <a:xfrm>
            <a:off x="6709172" y="2194033"/>
            <a:ext cx="636984" cy="15030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2" name="Line 211"/>
          <xdr:cNvSpPr>
            <a:spLocks noChangeShapeType="1"/>
          </xdr:cNvSpPr>
        </xdr:nvSpPr>
        <xdr:spPr bwMode="auto">
          <a:xfrm>
            <a:off x="6709172" y="2194033"/>
            <a:ext cx="636984" cy="17109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3" name="Line 212"/>
          <xdr:cNvSpPr>
            <a:spLocks noChangeShapeType="1"/>
          </xdr:cNvSpPr>
        </xdr:nvSpPr>
        <xdr:spPr bwMode="auto">
          <a:xfrm flipH="1" flipV="1">
            <a:off x="6709172" y="2194033"/>
            <a:ext cx="636984" cy="191892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" name="Line 213"/>
          <xdr:cNvSpPr>
            <a:spLocks noChangeShapeType="1"/>
          </xdr:cNvSpPr>
        </xdr:nvSpPr>
        <xdr:spPr bwMode="auto">
          <a:xfrm>
            <a:off x="6709172" y="2194033"/>
            <a:ext cx="636984" cy="21457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5" name="Line 214"/>
          <xdr:cNvSpPr>
            <a:spLocks noChangeShapeType="1"/>
          </xdr:cNvSpPr>
        </xdr:nvSpPr>
        <xdr:spPr bwMode="auto">
          <a:xfrm flipV="1">
            <a:off x="6709172" y="1144768"/>
            <a:ext cx="624851" cy="105871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6" name="Line 215"/>
          <xdr:cNvSpPr>
            <a:spLocks noChangeShapeType="1"/>
          </xdr:cNvSpPr>
        </xdr:nvSpPr>
        <xdr:spPr bwMode="auto">
          <a:xfrm flipV="1">
            <a:off x="6709172" y="917899"/>
            <a:ext cx="624851" cy="127613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7" name="Line 216"/>
          <xdr:cNvSpPr>
            <a:spLocks noChangeShapeType="1"/>
          </xdr:cNvSpPr>
        </xdr:nvSpPr>
        <xdr:spPr bwMode="auto">
          <a:xfrm flipV="1">
            <a:off x="6709172" y="709937"/>
            <a:ext cx="624851" cy="147464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8" name="Line 217"/>
          <xdr:cNvSpPr>
            <a:spLocks noChangeShapeType="1"/>
          </xdr:cNvSpPr>
        </xdr:nvSpPr>
        <xdr:spPr bwMode="auto">
          <a:xfrm flipV="1">
            <a:off x="6715239" y="501974"/>
            <a:ext cx="618784" cy="16920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9" name="Line 218"/>
          <xdr:cNvSpPr>
            <a:spLocks noChangeShapeType="1"/>
          </xdr:cNvSpPr>
        </xdr:nvSpPr>
        <xdr:spPr bwMode="auto">
          <a:xfrm flipV="1">
            <a:off x="6709172" y="294012"/>
            <a:ext cx="624851" cy="19000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0" name="Line 219"/>
          <xdr:cNvSpPr>
            <a:spLocks noChangeShapeType="1"/>
          </xdr:cNvSpPr>
        </xdr:nvSpPr>
        <xdr:spPr bwMode="auto">
          <a:xfrm flipV="1">
            <a:off x="6709172" y="284559"/>
            <a:ext cx="624851" cy="207017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1" name="Line 220"/>
          <xdr:cNvSpPr>
            <a:spLocks noChangeShapeType="1"/>
          </xdr:cNvSpPr>
        </xdr:nvSpPr>
        <xdr:spPr bwMode="auto">
          <a:xfrm flipV="1">
            <a:off x="6709172" y="501974"/>
            <a:ext cx="624851" cy="18527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2" name="Line 221"/>
          <xdr:cNvSpPr>
            <a:spLocks noChangeShapeType="1"/>
          </xdr:cNvSpPr>
        </xdr:nvSpPr>
        <xdr:spPr bwMode="auto">
          <a:xfrm flipV="1">
            <a:off x="6709172" y="700484"/>
            <a:ext cx="630917" cy="165424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3" name="Line 222"/>
          <xdr:cNvSpPr>
            <a:spLocks noChangeShapeType="1"/>
          </xdr:cNvSpPr>
        </xdr:nvSpPr>
        <xdr:spPr bwMode="auto">
          <a:xfrm flipV="1">
            <a:off x="6709172" y="917899"/>
            <a:ext cx="630917" cy="143683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" name="Line 223"/>
          <xdr:cNvSpPr>
            <a:spLocks noChangeShapeType="1"/>
          </xdr:cNvSpPr>
        </xdr:nvSpPr>
        <xdr:spPr bwMode="auto">
          <a:xfrm flipV="1">
            <a:off x="6709172" y="1125862"/>
            <a:ext cx="630917" cy="12194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5" name="Line 224"/>
          <xdr:cNvSpPr>
            <a:spLocks noChangeShapeType="1"/>
          </xdr:cNvSpPr>
        </xdr:nvSpPr>
        <xdr:spPr bwMode="auto">
          <a:xfrm flipV="1">
            <a:off x="6709172" y="1343277"/>
            <a:ext cx="630917" cy="1002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6" name="Line 225"/>
          <xdr:cNvSpPr>
            <a:spLocks noChangeShapeType="1"/>
          </xdr:cNvSpPr>
        </xdr:nvSpPr>
        <xdr:spPr bwMode="auto">
          <a:xfrm flipV="1">
            <a:off x="6709172" y="1570145"/>
            <a:ext cx="624851" cy="77513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7" name="Line 226"/>
          <xdr:cNvSpPr>
            <a:spLocks noChangeShapeType="1"/>
          </xdr:cNvSpPr>
        </xdr:nvSpPr>
        <xdr:spPr bwMode="auto">
          <a:xfrm flipV="1">
            <a:off x="6709172" y="1787561"/>
            <a:ext cx="630917" cy="5766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8" name="Line 227"/>
          <xdr:cNvSpPr>
            <a:spLocks noChangeShapeType="1"/>
          </xdr:cNvSpPr>
        </xdr:nvSpPr>
        <xdr:spPr bwMode="auto">
          <a:xfrm flipV="1">
            <a:off x="6709172" y="1986070"/>
            <a:ext cx="624851" cy="35920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9" name="Line 228"/>
          <xdr:cNvSpPr>
            <a:spLocks noChangeShapeType="1"/>
          </xdr:cNvSpPr>
        </xdr:nvSpPr>
        <xdr:spPr bwMode="auto">
          <a:xfrm flipV="1">
            <a:off x="6709172" y="2203486"/>
            <a:ext cx="630917" cy="14179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0" name="Line 229"/>
          <xdr:cNvSpPr>
            <a:spLocks noChangeShapeType="1"/>
          </xdr:cNvSpPr>
        </xdr:nvSpPr>
        <xdr:spPr bwMode="auto">
          <a:xfrm>
            <a:off x="6709172" y="2354731"/>
            <a:ext cx="624851" cy="567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1" name="Line 230"/>
          <xdr:cNvSpPr>
            <a:spLocks noChangeShapeType="1"/>
          </xdr:cNvSpPr>
        </xdr:nvSpPr>
        <xdr:spPr bwMode="auto">
          <a:xfrm>
            <a:off x="6709172" y="2345278"/>
            <a:ext cx="624851" cy="29303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2" name="Line 231"/>
          <xdr:cNvSpPr>
            <a:spLocks noChangeShapeType="1"/>
          </xdr:cNvSpPr>
        </xdr:nvSpPr>
        <xdr:spPr bwMode="auto">
          <a:xfrm>
            <a:off x="6709172" y="2354731"/>
            <a:ext cx="630917" cy="4820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3" name="Line 232"/>
          <xdr:cNvSpPr>
            <a:spLocks noChangeShapeType="1"/>
          </xdr:cNvSpPr>
        </xdr:nvSpPr>
        <xdr:spPr bwMode="auto">
          <a:xfrm>
            <a:off x="6709172" y="2354731"/>
            <a:ext cx="636984" cy="6995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4" name="Line 233"/>
          <xdr:cNvSpPr>
            <a:spLocks noChangeShapeType="1"/>
          </xdr:cNvSpPr>
        </xdr:nvSpPr>
        <xdr:spPr bwMode="auto">
          <a:xfrm>
            <a:off x="6709172" y="2345278"/>
            <a:ext cx="636984" cy="93583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5" name="Line 234"/>
          <xdr:cNvSpPr>
            <a:spLocks noChangeShapeType="1"/>
          </xdr:cNvSpPr>
        </xdr:nvSpPr>
        <xdr:spPr bwMode="auto">
          <a:xfrm>
            <a:off x="6709172" y="2345278"/>
            <a:ext cx="636984" cy="114379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6" name="Line 235"/>
          <xdr:cNvSpPr>
            <a:spLocks noChangeShapeType="1"/>
          </xdr:cNvSpPr>
        </xdr:nvSpPr>
        <xdr:spPr bwMode="auto">
          <a:xfrm>
            <a:off x="6709172" y="2345278"/>
            <a:ext cx="636984" cy="135175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7" name="Line 236"/>
          <xdr:cNvSpPr>
            <a:spLocks noChangeShapeType="1"/>
          </xdr:cNvSpPr>
        </xdr:nvSpPr>
        <xdr:spPr bwMode="auto">
          <a:xfrm>
            <a:off x="6709172" y="2354731"/>
            <a:ext cx="636984" cy="198509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8" name="Line 237"/>
          <xdr:cNvSpPr>
            <a:spLocks noChangeShapeType="1"/>
          </xdr:cNvSpPr>
        </xdr:nvSpPr>
        <xdr:spPr bwMode="auto">
          <a:xfrm>
            <a:off x="6709172" y="2345278"/>
            <a:ext cx="636984" cy="177713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9" name="Line 238"/>
          <xdr:cNvSpPr>
            <a:spLocks noChangeShapeType="1"/>
          </xdr:cNvSpPr>
        </xdr:nvSpPr>
        <xdr:spPr bwMode="auto">
          <a:xfrm>
            <a:off x="6709172" y="2354731"/>
            <a:ext cx="636984" cy="155026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0" name="Line 239"/>
          <xdr:cNvSpPr>
            <a:spLocks noChangeShapeType="1"/>
          </xdr:cNvSpPr>
        </xdr:nvSpPr>
        <xdr:spPr bwMode="auto">
          <a:xfrm>
            <a:off x="6715239" y="3640318"/>
            <a:ext cx="630917" cy="6995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1" name="Line 240"/>
          <xdr:cNvSpPr>
            <a:spLocks noChangeShapeType="1"/>
          </xdr:cNvSpPr>
        </xdr:nvSpPr>
        <xdr:spPr bwMode="auto">
          <a:xfrm>
            <a:off x="6715239" y="3640318"/>
            <a:ext cx="630917" cy="4820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2" name="Line 241"/>
          <xdr:cNvSpPr>
            <a:spLocks noChangeShapeType="1"/>
          </xdr:cNvSpPr>
        </xdr:nvSpPr>
        <xdr:spPr bwMode="auto">
          <a:xfrm>
            <a:off x="6715239" y="3640318"/>
            <a:ext cx="630917" cy="26468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3" name="Line 242"/>
          <xdr:cNvSpPr>
            <a:spLocks noChangeShapeType="1"/>
          </xdr:cNvSpPr>
        </xdr:nvSpPr>
        <xdr:spPr bwMode="auto">
          <a:xfrm>
            <a:off x="6715239" y="3640318"/>
            <a:ext cx="630917" cy="567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4" name="Line 243"/>
          <xdr:cNvSpPr>
            <a:spLocks noChangeShapeType="1"/>
          </xdr:cNvSpPr>
        </xdr:nvSpPr>
        <xdr:spPr bwMode="auto">
          <a:xfrm flipV="1">
            <a:off x="6715239" y="3479619"/>
            <a:ext cx="630917" cy="1606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5" name="Line 244"/>
          <xdr:cNvSpPr>
            <a:spLocks noChangeShapeType="1"/>
          </xdr:cNvSpPr>
        </xdr:nvSpPr>
        <xdr:spPr bwMode="auto">
          <a:xfrm flipV="1">
            <a:off x="6715239" y="3271657"/>
            <a:ext cx="630917" cy="3686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6" name="Line 245"/>
          <xdr:cNvSpPr>
            <a:spLocks noChangeShapeType="1"/>
          </xdr:cNvSpPr>
        </xdr:nvSpPr>
        <xdr:spPr bwMode="auto">
          <a:xfrm flipV="1">
            <a:off x="6715239" y="2836826"/>
            <a:ext cx="624851" cy="80349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7" name="Line 246"/>
          <xdr:cNvSpPr>
            <a:spLocks noChangeShapeType="1"/>
          </xdr:cNvSpPr>
        </xdr:nvSpPr>
        <xdr:spPr bwMode="auto">
          <a:xfrm flipV="1">
            <a:off x="6715239" y="3054242"/>
            <a:ext cx="630917" cy="5860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8" name="Line 247"/>
          <xdr:cNvSpPr>
            <a:spLocks noChangeShapeType="1"/>
          </xdr:cNvSpPr>
        </xdr:nvSpPr>
        <xdr:spPr bwMode="auto">
          <a:xfrm flipV="1">
            <a:off x="6721305" y="2628864"/>
            <a:ext cx="618784" cy="1002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9" name="Line 248"/>
          <xdr:cNvSpPr>
            <a:spLocks noChangeShapeType="1"/>
          </xdr:cNvSpPr>
        </xdr:nvSpPr>
        <xdr:spPr bwMode="auto">
          <a:xfrm flipV="1">
            <a:off x="6715239" y="2411448"/>
            <a:ext cx="618784" cy="122886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49"/>
          <xdr:cNvSpPr>
            <a:spLocks noChangeShapeType="1"/>
          </xdr:cNvSpPr>
        </xdr:nvSpPr>
        <xdr:spPr bwMode="auto">
          <a:xfrm flipV="1">
            <a:off x="6715239" y="2194033"/>
            <a:ext cx="624851" cy="144628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1" name="Line 250"/>
          <xdr:cNvSpPr>
            <a:spLocks noChangeShapeType="1"/>
          </xdr:cNvSpPr>
        </xdr:nvSpPr>
        <xdr:spPr bwMode="auto">
          <a:xfrm flipV="1">
            <a:off x="6715239" y="1986070"/>
            <a:ext cx="624851" cy="165424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2" name="Line 251"/>
          <xdr:cNvSpPr>
            <a:spLocks noChangeShapeType="1"/>
          </xdr:cNvSpPr>
        </xdr:nvSpPr>
        <xdr:spPr bwMode="auto">
          <a:xfrm flipV="1">
            <a:off x="6715239" y="284559"/>
            <a:ext cx="618784" cy="334630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3" name="Line 252"/>
          <xdr:cNvSpPr>
            <a:spLocks noChangeShapeType="1"/>
          </xdr:cNvSpPr>
        </xdr:nvSpPr>
        <xdr:spPr bwMode="auto">
          <a:xfrm flipH="1">
            <a:off x="6715239" y="1768655"/>
            <a:ext cx="624851" cy="18622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4" name="Line 253"/>
          <xdr:cNvSpPr>
            <a:spLocks noChangeShapeType="1"/>
          </xdr:cNvSpPr>
        </xdr:nvSpPr>
        <xdr:spPr bwMode="auto">
          <a:xfrm flipV="1">
            <a:off x="6715239" y="501974"/>
            <a:ext cx="624851" cy="313834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5" name="Line 254"/>
          <xdr:cNvSpPr>
            <a:spLocks noChangeShapeType="1"/>
          </xdr:cNvSpPr>
        </xdr:nvSpPr>
        <xdr:spPr bwMode="auto">
          <a:xfrm flipH="1">
            <a:off x="6715239" y="1560693"/>
            <a:ext cx="618784" cy="207017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6" name="Line 255"/>
          <xdr:cNvSpPr>
            <a:spLocks noChangeShapeType="1"/>
          </xdr:cNvSpPr>
        </xdr:nvSpPr>
        <xdr:spPr bwMode="auto">
          <a:xfrm flipH="1">
            <a:off x="6721305" y="709937"/>
            <a:ext cx="612718" cy="292092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7" name="Line 256"/>
          <xdr:cNvSpPr>
            <a:spLocks noChangeShapeType="1"/>
          </xdr:cNvSpPr>
        </xdr:nvSpPr>
        <xdr:spPr bwMode="auto">
          <a:xfrm flipV="1">
            <a:off x="6715239" y="917899"/>
            <a:ext cx="624851" cy="272241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8" name="Line 257"/>
          <xdr:cNvSpPr>
            <a:spLocks noChangeShapeType="1"/>
          </xdr:cNvSpPr>
        </xdr:nvSpPr>
        <xdr:spPr bwMode="auto">
          <a:xfrm flipV="1">
            <a:off x="6715239" y="1125862"/>
            <a:ext cx="624851" cy="251445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9" name="Line 258"/>
          <xdr:cNvSpPr>
            <a:spLocks noChangeShapeType="1"/>
          </xdr:cNvSpPr>
        </xdr:nvSpPr>
        <xdr:spPr bwMode="auto">
          <a:xfrm flipV="1">
            <a:off x="6715239" y="1352730"/>
            <a:ext cx="624851" cy="228758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0" name="Line 259"/>
          <xdr:cNvSpPr>
            <a:spLocks noChangeShapeType="1"/>
          </xdr:cNvSpPr>
        </xdr:nvSpPr>
        <xdr:spPr bwMode="auto">
          <a:xfrm>
            <a:off x="6715239" y="3479619"/>
            <a:ext cx="630917" cy="21741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1" name="Line 260"/>
          <xdr:cNvSpPr>
            <a:spLocks noChangeShapeType="1"/>
          </xdr:cNvSpPr>
        </xdr:nvSpPr>
        <xdr:spPr bwMode="auto">
          <a:xfrm>
            <a:off x="6715239" y="3479619"/>
            <a:ext cx="630917" cy="42537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2" name="Line 261"/>
          <xdr:cNvSpPr>
            <a:spLocks noChangeShapeType="1"/>
          </xdr:cNvSpPr>
        </xdr:nvSpPr>
        <xdr:spPr bwMode="auto">
          <a:xfrm>
            <a:off x="6715239" y="3479619"/>
            <a:ext cx="630917" cy="64279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3" name="Line 262"/>
          <xdr:cNvSpPr>
            <a:spLocks noChangeShapeType="1"/>
          </xdr:cNvSpPr>
        </xdr:nvSpPr>
        <xdr:spPr bwMode="auto">
          <a:xfrm>
            <a:off x="6715239" y="3479619"/>
            <a:ext cx="630917" cy="86020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4" name="Line 263"/>
          <xdr:cNvSpPr>
            <a:spLocks noChangeShapeType="1"/>
          </xdr:cNvSpPr>
        </xdr:nvSpPr>
        <xdr:spPr bwMode="auto">
          <a:xfrm>
            <a:off x="6715239" y="3479619"/>
            <a:ext cx="63091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5" name="Line 264"/>
          <xdr:cNvSpPr>
            <a:spLocks noChangeShapeType="1"/>
          </xdr:cNvSpPr>
        </xdr:nvSpPr>
        <xdr:spPr bwMode="auto">
          <a:xfrm flipV="1">
            <a:off x="6715239" y="3271657"/>
            <a:ext cx="630917" cy="20796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6" name="Line 265"/>
          <xdr:cNvSpPr>
            <a:spLocks noChangeShapeType="1"/>
          </xdr:cNvSpPr>
        </xdr:nvSpPr>
        <xdr:spPr bwMode="auto">
          <a:xfrm flipV="1">
            <a:off x="6715239" y="3054242"/>
            <a:ext cx="630917" cy="42537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7" name="Line 266"/>
          <xdr:cNvSpPr>
            <a:spLocks noChangeShapeType="1"/>
          </xdr:cNvSpPr>
        </xdr:nvSpPr>
        <xdr:spPr bwMode="auto">
          <a:xfrm flipV="1">
            <a:off x="6715239" y="284559"/>
            <a:ext cx="624851" cy="319506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8" name="Line 267"/>
          <xdr:cNvSpPr>
            <a:spLocks noChangeShapeType="1"/>
          </xdr:cNvSpPr>
        </xdr:nvSpPr>
        <xdr:spPr bwMode="auto">
          <a:xfrm flipV="1">
            <a:off x="6715239" y="483069"/>
            <a:ext cx="624851" cy="299655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9" name="Line 268"/>
          <xdr:cNvSpPr>
            <a:spLocks noChangeShapeType="1"/>
          </xdr:cNvSpPr>
        </xdr:nvSpPr>
        <xdr:spPr bwMode="auto">
          <a:xfrm flipV="1">
            <a:off x="6715239" y="709937"/>
            <a:ext cx="624851" cy="276968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0" name="Line 269"/>
          <xdr:cNvSpPr>
            <a:spLocks noChangeShapeType="1"/>
          </xdr:cNvSpPr>
        </xdr:nvSpPr>
        <xdr:spPr bwMode="auto">
          <a:xfrm flipV="1">
            <a:off x="6715239" y="917899"/>
            <a:ext cx="624851" cy="256172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1" name="Line 270"/>
          <xdr:cNvSpPr>
            <a:spLocks noChangeShapeType="1"/>
          </xdr:cNvSpPr>
        </xdr:nvSpPr>
        <xdr:spPr bwMode="auto">
          <a:xfrm flipV="1">
            <a:off x="6715239" y="1125862"/>
            <a:ext cx="624851" cy="234430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2" name="Line 271"/>
          <xdr:cNvSpPr>
            <a:spLocks noChangeShapeType="1"/>
          </xdr:cNvSpPr>
        </xdr:nvSpPr>
        <xdr:spPr bwMode="auto">
          <a:xfrm flipH="1">
            <a:off x="6715239" y="1352730"/>
            <a:ext cx="624851" cy="212688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3" name="Line 272"/>
          <xdr:cNvSpPr>
            <a:spLocks noChangeShapeType="1"/>
          </xdr:cNvSpPr>
        </xdr:nvSpPr>
        <xdr:spPr bwMode="auto">
          <a:xfrm flipV="1">
            <a:off x="6715239" y="1570145"/>
            <a:ext cx="618784" cy="19000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4" name="Line 273"/>
          <xdr:cNvSpPr>
            <a:spLocks noChangeShapeType="1"/>
          </xdr:cNvSpPr>
        </xdr:nvSpPr>
        <xdr:spPr bwMode="auto">
          <a:xfrm flipV="1">
            <a:off x="6715239" y="1768655"/>
            <a:ext cx="624851" cy="17109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5" name="Line 274"/>
          <xdr:cNvSpPr>
            <a:spLocks noChangeShapeType="1"/>
          </xdr:cNvSpPr>
        </xdr:nvSpPr>
        <xdr:spPr bwMode="auto">
          <a:xfrm flipV="1">
            <a:off x="6715239" y="1986070"/>
            <a:ext cx="618784" cy="149354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6" name="Line 275"/>
          <xdr:cNvSpPr>
            <a:spLocks noChangeShapeType="1"/>
          </xdr:cNvSpPr>
        </xdr:nvSpPr>
        <xdr:spPr bwMode="auto">
          <a:xfrm flipV="1">
            <a:off x="6715239" y="2194033"/>
            <a:ext cx="624851" cy="128558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" name="Line 276"/>
          <xdr:cNvSpPr>
            <a:spLocks noChangeShapeType="1"/>
          </xdr:cNvSpPr>
        </xdr:nvSpPr>
        <xdr:spPr bwMode="auto">
          <a:xfrm flipV="1">
            <a:off x="6715239" y="2411448"/>
            <a:ext cx="618784" cy="106817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8" name="Line 277"/>
          <xdr:cNvSpPr>
            <a:spLocks noChangeShapeType="1"/>
          </xdr:cNvSpPr>
        </xdr:nvSpPr>
        <xdr:spPr bwMode="auto">
          <a:xfrm flipV="1">
            <a:off x="6721305" y="2638317"/>
            <a:ext cx="618784" cy="8413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9" name="Line 278"/>
          <xdr:cNvSpPr>
            <a:spLocks noChangeShapeType="1"/>
          </xdr:cNvSpPr>
        </xdr:nvSpPr>
        <xdr:spPr bwMode="auto">
          <a:xfrm flipV="1">
            <a:off x="6715239" y="2836826"/>
            <a:ext cx="624851" cy="64279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0" name="Line 279"/>
          <xdr:cNvSpPr>
            <a:spLocks noChangeShapeType="1"/>
          </xdr:cNvSpPr>
        </xdr:nvSpPr>
        <xdr:spPr bwMode="auto">
          <a:xfrm>
            <a:off x="6715239" y="3309468"/>
            <a:ext cx="630917" cy="103036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280"/>
          <xdr:cNvSpPr>
            <a:spLocks noChangeShapeType="1"/>
          </xdr:cNvSpPr>
        </xdr:nvSpPr>
        <xdr:spPr bwMode="auto">
          <a:xfrm>
            <a:off x="6715239" y="3309468"/>
            <a:ext cx="630917" cy="82239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2" name="Line 281"/>
          <xdr:cNvSpPr>
            <a:spLocks noChangeShapeType="1"/>
          </xdr:cNvSpPr>
        </xdr:nvSpPr>
        <xdr:spPr bwMode="auto">
          <a:xfrm>
            <a:off x="6721305" y="3309468"/>
            <a:ext cx="624851" cy="59552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3" name="Line 282"/>
          <xdr:cNvSpPr>
            <a:spLocks noChangeShapeType="1"/>
          </xdr:cNvSpPr>
        </xdr:nvSpPr>
        <xdr:spPr bwMode="auto">
          <a:xfrm flipV="1">
            <a:off x="6715239" y="284559"/>
            <a:ext cx="624851" cy="303436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4" name="Line 283"/>
          <xdr:cNvSpPr>
            <a:spLocks noChangeShapeType="1"/>
          </xdr:cNvSpPr>
        </xdr:nvSpPr>
        <xdr:spPr bwMode="auto">
          <a:xfrm flipV="1">
            <a:off x="6715239" y="501974"/>
            <a:ext cx="618784" cy="280749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5" name="Line 284"/>
          <xdr:cNvSpPr>
            <a:spLocks noChangeShapeType="1"/>
          </xdr:cNvSpPr>
        </xdr:nvSpPr>
        <xdr:spPr bwMode="auto">
          <a:xfrm flipH="1">
            <a:off x="6715239" y="709937"/>
            <a:ext cx="624851" cy="259953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6" name="Line 285"/>
          <xdr:cNvSpPr>
            <a:spLocks noChangeShapeType="1"/>
          </xdr:cNvSpPr>
        </xdr:nvSpPr>
        <xdr:spPr bwMode="auto">
          <a:xfrm>
            <a:off x="6715239" y="3309468"/>
            <a:ext cx="630917" cy="38756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7" name="Line 286"/>
          <xdr:cNvSpPr>
            <a:spLocks noChangeShapeType="1"/>
          </xdr:cNvSpPr>
        </xdr:nvSpPr>
        <xdr:spPr bwMode="auto">
          <a:xfrm>
            <a:off x="6715239" y="3309468"/>
            <a:ext cx="624851" cy="17960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8" name="Line 287"/>
          <xdr:cNvSpPr>
            <a:spLocks noChangeShapeType="1"/>
          </xdr:cNvSpPr>
        </xdr:nvSpPr>
        <xdr:spPr bwMode="auto">
          <a:xfrm flipV="1">
            <a:off x="6715239" y="3271657"/>
            <a:ext cx="630917" cy="3781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9" name="Line 288"/>
          <xdr:cNvSpPr>
            <a:spLocks noChangeShapeType="1"/>
          </xdr:cNvSpPr>
        </xdr:nvSpPr>
        <xdr:spPr bwMode="auto">
          <a:xfrm flipV="1">
            <a:off x="6715239" y="1768655"/>
            <a:ext cx="624851" cy="154081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0" name="Line 289"/>
          <xdr:cNvSpPr>
            <a:spLocks noChangeShapeType="1"/>
          </xdr:cNvSpPr>
        </xdr:nvSpPr>
        <xdr:spPr bwMode="auto">
          <a:xfrm flipH="1">
            <a:off x="6715239" y="917899"/>
            <a:ext cx="624851" cy="239156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1" name="Line 290"/>
          <xdr:cNvSpPr>
            <a:spLocks noChangeShapeType="1"/>
          </xdr:cNvSpPr>
        </xdr:nvSpPr>
        <xdr:spPr bwMode="auto">
          <a:xfrm flipV="1">
            <a:off x="6715239" y="3054242"/>
            <a:ext cx="630917" cy="24577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2" name="Line 291"/>
          <xdr:cNvSpPr>
            <a:spLocks noChangeShapeType="1"/>
          </xdr:cNvSpPr>
        </xdr:nvSpPr>
        <xdr:spPr bwMode="auto">
          <a:xfrm flipV="1">
            <a:off x="6715239" y="2836826"/>
            <a:ext cx="624851" cy="4820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3" name="Line 292"/>
          <xdr:cNvSpPr>
            <a:spLocks noChangeShapeType="1"/>
          </xdr:cNvSpPr>
        </xdr:nvSpPr>
        <xdr:spPr bwMode="auto">
          <a:xfrm flipV="1">
            <a:off x="6721305" y="2628864"/>
            <a:ext cx="612718" cy="6900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4" name="Line 293"/>
          <xdr:cNvSpPr>
            <a:spLocks noChangeShapeType="1"/>
          </xdr:cNvSpPr>
        </xdr:nvSpPr>
        <xdr:spPr bwMode="auto">
          <a:xfrm flipV="1">
            <a:off x="6715239" y="2411448"/>
            <a:ext cx="624851" cy="89802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5" name="Line 294"/>
          <xdr:cNvSpPr>
            <a:spLocks noChangeShapeType="1"/>
          </xdr:cNvSpPr>
        </xdr:nvSpPr>
        <xdr:spPr bwMode="auto">
          <a:xfrm flipV="1">
            <a:off x="6715239" y="2212939"/>
            <a:ext cx="624851" cy="109653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6" name="Line 295"/>
          <xdr:cNvSpPr>
            <a:spLocks noChangeShapeType="1"/>
          </xdr:cNvSpPr>
        </xdr:nvSpPr>
        <xdr:spPr bwMode="auto">
          <a:xfrm flipV="1">
            <a:off x="6715239" y="1986070"/>
            <a:ext cx="624851" cy="13233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7" name="Line 296"/>
          <xdr:cNvSpPr>
            <a:spLocks noChangeShapeType="1"/>
          </xdr:cNvSpPr>
        </xdr:nvSpPr>
        <xdr:spPr bwMode="auto">
          <a:xfrm flipV="1">
            <a:off x="6721305" y="1560693"/>
            <a:ext cx="618784" cy="17487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8" name="Line 297"/>
          <xdr:cNvSpPr>
            <a:spLocks noChangeShapeType="1"/>
          </xdr:cNvSpPr>
        </xdr:nvSpPr>
        <xdr:spPr bwMode="auto">
          <a:xfrm flipV="1">
            <a:off x="6721305" y="1125862"/>
            <a:ext cx="618784" cy="218360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9" name="Line 298"/>
          <xdr:cNvSpPr>
            <a:spLocks noChangeShapeType="1"/>
          </xdr:cNvSpPr>
        </xdr:nvSpPr>
        <xdr:spPr bwMode="auto">
          <a:xfrm flipH="1">
            <a:off x="6715239" y="1352730"/>
            <a:ext cx="624851" cy="195673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0" name="Line 299"/>
          <xdr:cNvSpPr>
            <a:spLocks noChangeShapeType="1"/>
          </xdr:cNvSpPr>
        </xdr:nvSpPr>
        <xdr:spPr bwMode="auto">
          <a:xfrm>
            <a:off x="6715239" y="3158223"/>
            <a:ext cx="630917" cy="118160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1" name="Line 300"/>
          <xdr:cNvSpPr>
            <a:spLocks noChangeShapeType="1"/>
          </xdr:cNvSpPr>
        </xdr:nvSpPr>
        <xdr:spPr bwMode="auto">
          <a:xfrm>
            <a:off x="6715239" y="3148770"/>
            <a:ext cx="630917" cy="97364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2" name="Line 301"/>
          <xdr:cNvSpPr>
            <a:spLocks noChangeShapeType="1"/>
          </xdr:cNvSpPr>
        </xdr:nvSpPr>
        <xdr:spPr bwMode="auto">
          <a:xfrm>
            <a:off x="6715239" y="3148770"/>
            <a:ext cx="630917" cy="75622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3" name="Line 302"/>
          <xdr:cNvSpPr>
            <a:spLocks noChangeShapeType="1"/>
          </xdr:cNvSpPr>
        </xdr:nvSpPr>
        <xdr:spPr bwMode="auto">
          <a:xfrm>
            <a:off x="6715239" y="3148770"/>
            <a:ext cx="630917" cy="53881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4" name="Line 303"/>
          <xdr:cNvSpPr>
            <a:spLocks noChangeShapeType="1"/>
          </xdr:cNvSpPr>
        </xdr:nvSpPr>
        <xdr:spPr bwMode="auto">
          <a:xfrm>
            <a:off x="6715239" y="3148770"/>
            <a:ext cx="630917" cy="33084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5" name="Line 304"/>
          <xdr:cNvSpPr>
            <a:spLocks noChangeShapeType="1"/>
          </xdr:cNvSpPr>
        </xdr:nvSpPr>
        <xdr:spPr bwMode="auto">
          <a:xfrm>
            <a:off x="6715239" y="3148770"/>
            <a:ext cx="630917" cy="12288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6" name="Line 305"/>
          <xdr:cNvSpPr>
            <a:spLocks noChangeShapeType="1"/>
          </xdr:cNvSpPr>
        </xdr:nvSpPr>
        <xdr:spPr bwMode="auto">
          <a:xfrm flipV="1">
            <a:off x="6715239" y="3054242"/>
            <a:ext cx="630917" cy="9452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7" name="Line 306"/>
          <xdr:cNvSpPr>
            <a:spLocks noChangeShapeType="1"/>
          </xdr:cNvSpPr>
        </xdr:nvSpPr>
        <xdr:spPr bwMode="auto">
          <a:xfrm flipV="1">
            <a:off x="6715239" y="2836826"/>
            <a:ext cx="624851" cy="31194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8" name="Line 307"/>
          <xdr:cNvSpPr>
            <a:spLocks noChangeShapeType="1"/>
          </xdr:cNvSpPr>
        </xdr:nvSpPr>
        <xdr:spPr bwMode="auto">
          <a:xfrm flipV="1">
            <a:off x="6715239" y="2638317"/>
            <a:ext cx="618784" cy="51045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9" name="Line 308"/>
          <xdr:cNvSpPr>
            <a:spLocks noChangeShapeType="1"/>
          </xdr:cNvSpPr>
        </xdr:nvSpPr>
        <xdr:spPr bwMode="auto">
          <a:xfrm flipV="1">
            <a:off x="6715239" y="2411448"/>
            <a:ext cx="618784" cy="73732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0" name="Line 309"/>
          <xdr:cNvSpPr>
            <a:spLocks noChangeShapeType="1"/>
          </xdr:cNvSpPr>
        </xdr:nvSpPr>
        <xdr:spPr bwMode="auto">
          <a:xfrm flipV="1">
            <a:off x="6715239" y="2203486"/>
            <a:ext cx="624851" cy="94528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1" name="Line 310"/>
          <xdr:cNvSpPr>
            <a:spLocks noChangeShapeType="1"/>
          </xdr:cNvSpPr>
        </xdr:nvSpPr>
        <xdr:spPr bwMode="auto">
          <a:xfrm flipV="1">
            <a:off x="6715239" y="1986070"/>
            <a:ext cx="624851" cy="116270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2" name="Line 311"/>
          <xdr:cNvSpPr>
            <a:spLocks noChangeShapeType="1"/>
          </xdr:cNvSpPr>
        </xdr:nvSpPr>
        <xdr:spPr bwMode="auto">
          <a:xfrm flipV="1">
            <a:off x="6715239" y="1787561"/>
            <a:ext cx="618784" cy="136120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3" name="Line 312"/>
          <xdr:cNvSpPr>
            <a:spLocks noChangeShapeType="1"/>
          </xdr:cNvSpPr>
        </xdr:nvSpPr>
        <xdr:spPr bwMode="auto">
          <a:xfrm flipV="1">
            <a:off x="6721305" y="284559"/>
            <a:ext cx="618784" cy="286421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4" name="Line 313"/>
          <xdr:cNvSpPr>
            <a:spLocks noChangeShapeType="1"/>
          </xdr:cNvSpPr>
        </xdr:nvSpPr>
        <xdr:spPr bwMode="auto">
          <a:xfrm flipV="1">
            <a:off x="6721305" y="501974"/>
            <a:ext cx="618784" cy="265624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5" name="Line 314"/>
          <xdr:cNvSpPr>
            <a:spLocks noChangeShapeType="1"/>
          </xdr:cNvSpPr>
        </xdr:nvSpPr>
        <xdr:spPr bwMode="auto">
          <a:xfrm flipH="1">
            <a:off x="6721305" y="709937"/>
            <a:ext cx="618784" cy="244828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6" name="Line 315"/>
          <xdr:cNvSpPr>
            <a:spLocks noChangeShapeType="1"/>
          </xdr:cNvSpPr>
        </xdr:nvSpPr>
        <xdr:spPr bwMode="auto">
          <a:xfrm flipH="1">
            <a:off x="6715239" y="917899"/>
            <a:ext cx="624851" cy="223087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7" name="Line 316"/>
          <xdr:cNvSpPr>
            <a:spLocks noChangeShapeType="1"/>
          </xdr:cNvSpPr>
        </xdr:nvSpPr>
        <xdr:spPr bwMode="auto">
          <a:xfrm flipV="1">
            <a:off x="6715239" y="1570145"/>
            <a:ext cx="618784" cy="157862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8" name="Line 317"/>
          <xdr:cNvSpPr>
            <a:spLocks noChangeShapeType="1"/>
          </xdr:cNvSpPr>
        </xdr:nvSpPr>
        <xdr:spPr bwMode="auto">
          <a:xfrm flipV="1">
            <a:off x="6721305" y="1343277"/>
            <a:ext cx="618784" cy="181494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9" name="Line 318"/>
          <xdr:cNvSpPr>
            <a:spLocks noChangeShapeType="1"/>
          </xdr:cNvSpPr>
        </xdr:nvSpPr>
        <xdr:spPr bwMode="auto">
          <a:xfrm flipV="1">
            <a:off x="6721305" y="1125862"/>
            <a:ext cx="618784" cy="202290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0" name="Line 319"/>
          <xdr:cNvSpPr>
            <a:spLocks noChangeShapeType="1"/>
          </xdr:cNvSpPr>
        </xdr:nvSpPr>
        <xdr:spPr bwMode="auto">
          <a:xfrm>
            <a:off x="6715239" y="2997525"/>
            <a:ext cx="624851" cy="567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1" name="Line 320"/>
          <xdr:cNvSpPr>
            <a:spLocks noChangeShapeType="1"/>
          </xdr:cNvSpPr>
        </xdr:nvSpPr>
        <xdr:spPr bwMode="auto">
          <a:xfrm>
            <a:off x="6715239" y="2997525"/>
            <a:ext cx="630917" cy="27413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2" name="Line 321"/>
          <xdr:cNvSpPr>
            <a:spLocks noChangeShapeType="1"/>
          </xdr:cNvSpPr>
        </xdr:nvSpPr>
        <xdr:spPr bwMode="auto">
          <a:xfrm>
            <a:off x="6715239" y="2988072"/>
            <a:ext cx="630917" cy="501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3" name="Line 322"/>
          <xdr:cNvSpPr>
            <a:spLocks noChangeShapeType="1"/>
          </xdr:cNvSpPr>
        </xdr:nvSpPr>
        <xdr:spPr bwMode="auto">
          <a:xfrm>
            <a:off x="6715239" y="2997525"/>
            <a:ext cx="630917" cy="6995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4" name="Line 323"/>
          <xdr:cNvSpPr>
            <a:spLocks noChangeShapeType="1"/>
          </xdr:cNvSpPr>
        </xdr:nvSpPr>
        <xdr:spPr bwMode="auto">
          <a:xfrm>
            <a:off x="6715239" y="2988072"/>
            <a:ext cx="630917" cy="91692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5" name="Line 324"/>
          <xdr:cNvSpPr>
            <a:spLocks noChangeShapeType="1"/>
          </xdr:cNvSpPr>
        </xdr:nvSpPr>
        <xdr:spPr bwMode="auto">
          <a:xfrm>
            <a:off x="6715239" y="2997525"/>
            <a:ext cx="630917" cy="113434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6" name="Line 325"/>
          <xdr:cNvSpPr>
            <a:spLocks noChangeShapeType="1"/>
          </xdr:cNvSpPr>
        </xdr:nvSpPr>
        <xdr:spPr bwMode="auto">
          <a:xfrm>
            <a:off x="6715239" y="2997525"/>
            <a:ext cx="630917" cy="13423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7" name="Line 326"/>
          <xdr:cNvSpPr>
            <a:spLocks noChangeShapeType="1"/>
          </xdr:cNvSpPr>
        </xdr:nvSpPr>
        <xdr:spPr bwMode="auto">
          <a:xfrm flipV="1">
            <a:off x="6721305" y="2836826"/>
            <a:ext cx="618784" cy="1606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8" name="Line 327"/>
          <xdr:cNvSpPr>
            <a:spLocks noChangeShapeType="1"/>
          </xdr:cNvSpPr>
        </xdr:nvSpPr>
        <xdr:spPr bwMode="auto">
          <a:xfrm flipV="1">
            <a:off x="6721305" y="2628864"/>
            <a:ext cx="618784" cy="3686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9" name="Line 328"/>
          <xdr:cNvSpPr>
            <a:spLocks noChangeShapeType="1"/>
          </xdr:cNvSpPr>
        </xdr:nvSpPr>
        <xdr:spPr bwMode="auto">
          <a:xfrm flipV="1">
            <a:off x="6715239" y="2411448"/>
            <a:ext cx="624851" cy="5860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0" name="Line 329"/>
          <xdr:cNvSpPr>
            <a:spLocks noChangeShapeType="1"/>
          </xdr:cNvSpPr>
        </xdr:nvSpPr>
        <xdr:spPr bwMode="auto">
          <a:xfrm flipV="1">
            <a:off x="6715239" y="2212939"/>
            <a:ext cx="624851" cy="78458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1" name="Line 330"/>
          <xdr:cNvSpPr>
            <a:spLocks noChangeShapeType="1"/>
          </xdr:cNvSpPr>
        </xdr:nvSpPr>
        <xdr:spPr bwMode="auto">
          <a:xfrm flipV="1">
            <a:off x="6715239" y="1995523"/>
            <a:ext cx="624851" cy="1002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2" name="Line 331"/>
          <xdr:cNvSpPr>
            <a:spLocks noChangeShapeType="1"/>
          </xdr:cNvSpPr>
        </xdr:nvSpPr>
        <xdr:spPr bwMode="auto">
          <a:xfrm flipV="1">
            <a:off x="6721305" y="1787561"/>
            <a:ext cx="618784" cy="12099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3" name="Line 332"/>
          <xdr:cNvSpPr>
            <a:spLocks noChangeShapeType="1"/>
          </xdr:cNvSpPr>
        </xdr:nvSpPr>
        <xdr:spPr bwMode="auto">
          <a:xfrm flipV="1">
            <a:off x="6715239" y="1570145"/>
            <a:ext cx="624851" cy="143683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4" name="Line 333"/>
          <xdr:cNvSpPr>
            <a:spLocks noChangeShapeType="1"/>
          </xdr:cNvSpPr>
        </xdr:nvSpPr>
        <xdr:spPr bwMode="auto">
          <a:xfrm flipV="1">
            <a:off x="6715239" y="284559"/>
            <a:ext cx="624851" cy="271296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5" name="Line 334"/>
          <xdr:cNvSpPr>
            <a:spLocks noChangeShapeType="1"/>
          </xdr:cNvSpPr>
        </xdr:nvSpPr>
        <xdr:spPr bwMode="auto">
          <a:xfrm flipH="1">
            <a:off x="6715239" y="501974"/>
            <a:ext cx="624851" cy="25050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6" name="Line 335"/>
          <xdr:cNvSpPr>
            <a:spLocks noChangeShapeType="1"/>
          </xdr:cNvSpPr>
        </xdr:nvSpPr>
        <xdr:spPr bwMode="auto">
          <a:xfrm flipV="1">
            <a:off x="6721305" y="1352730"/>
            <a:ext cx="618784" cy="164479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7" name="Line 336"/>
          <xdr:cNvSpPr>
            <a:spLocks noChangeShapeType="1"/>
          </xdr:cNvSpPr>
        </xdr:nvSpPr>
        <xdr:spPr bwMode="auto">
          <a:xfrm flipV="1">
            <a:off x="6715239" y="1144768"/>
            <a:ext cx="624851" cy="18527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8" name="Line 337"/>
          <xdr:cNvSpPr>
            <a:spLocks noChangeShapeType="1"/>
          </xdr:cNvSpPr>
        </xdr:nvSpPr>
        <xdr:spPr bwMode="auto">
          <a:xfrm flipV="1">
            <a:off x="6721305" y="908447"/>
            <a:ext cx="618784" cy="208907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9" name="Line 338"/>
          <xdr:cNvSpPr>
            <a:spLocks noChangeShapeType="1"/>
          </xdr:cNvSpPr>
        </xdr:nvSpPr>
        <xdr:spPr bwMode="auto">
          <a:xfrm flipH="1">
            <a:off x="6715239" y="719390"/>
            <a:ext cx="624851" cy="227813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0" name="Line 339"/>
          <xdr:cNvSpPr>
            <a:spLocks noChangeShapeType="1"/>
          </xdr:cNvSpPr>
        </xdr:nvSpPr>
        <xdr:spPr bwMode="auto">
          <a:xfrm>
            <a:off x="6715239" y="2836826"/>
            <a:ext cx="630917" cy="15030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1" name="Line 340"/>
          <xdr:cNvSpPr>
            <a:spLocks noChangeShapeType="1"/>
          </xdr:cNvSpPr>
        </xdr:nvSpPr>
        <xdr:spPr bwMode="auto">
          <a:xfrm>
            <a:off x="6715239" y="2836826"/>
            <a:ext cx="630917" cy="128558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2" name="Line 341"/>
          <xdr:cNvSpPr>
            <a:spLocks noChangeShapeType="1"/>
          </xdr:cNvSpPr>
        </xdr:nvSpPr>
        <xdr:spPr bwMode="auto">
          <a:xfrm flipV="1">
            <a:off x="6715239" y="294012"/>
            <a:ext cx="624851" cy="255226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3" name="Line 342"/>
          <xdr:cNvSpPr>
            <a:spLocks noChangeShapeType="1"/>
          </xdr:cNvSpPr>
        </xdr:nvSpPr>
        <xdr:spPr bwMode="auto">
          <a:xfrm>
            <a:off x="6721305" y="2836826"/>
            <a:ext cx="618784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4" name="Line 343"/>
          <xdr:cNvSpPr>
            <a:spLocks noChangeShapeType="1"/>
          </xdr:cNvSpPr>
        </xdr:nvSpPr>
        <xdr:spPr bwMode="auto">
          <a:xfrm flipV="1">
            <a:off x="6715239" y="2628864"/>
            <a:ext cx="624851" cy="20796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5" name="Line 344"/>
          <xdr:cNvSpPr>
            <a:spLocks noChangeShapeType="1"/>
          </xdr:cNvSpPr>
        </xdr:nvSpPr>
        <xdr:spPr bwMode="auto">
          <a:xfrm>
            <a:off x="6715239" y="2836826"/>
            <a:ext cx="630917" cy="21741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6" name="Line 345"/>
          <xdr:cNvSpPr>
            <a:spLocks noChangeShapeType="1"/>
          </xdr:cNvSpPr>
        </xdr:nvSpPr>
        <xdr:spPr bwMode="auto">
          <a:xfrm flipV="1">
            <a:off x="6715239" y="501974"/>
            <a:ext cx="624851" cy="233485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7" name="Line 346"/>
          <xdr:cNvSpPr>
            <a:spLocks noChangeShapeType="1"/>
          </xdr:cNvSpPr>
        </xdr:nvSpPr>
        <xdr:spPr bwMode="auto">
          <a:xfrm flipV="1">
            <a:off x="6715239" y="1995523"/>
            <a:ext cx="624851" cy="8413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8" name="Line 347"/>
          <xdr:cNvSpPr>
            <a:spLocks noChangeShapeType="1"/>
          </xdr:cNvSpPr>
        </xdr:nvSpPr>
        <xdr:spPr bwMode="auto">
          <a:xfrm>
            <a:off x="6715239" y="2827373"/>
            <a:ext cx="630917" cy="44428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9" name="Line 348"/>
          <xdr:cNvSpPr>
            <a:spLocks noChangeShapeType="1"/>
          </xdr:cNvSpPr>
        </xdr:nvSpPr>
        <xdr:spPr bwMode="auto">
          <a:xfrm>
            <a:off x="6721305" y="2827373"/>
            <a:ext cx="624851" cy="66169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0" name="Line 349"/>
          <xdr:cNvSpPr>
            <a:spLocks noChangeShapeType="1"/>
          </xdr:cNvSpPr>
        </xdr:nvSpPr>
        <xdr:spPr bwMode="auto">
          <a:xfrm>
            <a:off x="6721305" y="2827373"/>
            <a:ext cx="624851" cy="8696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1" name="Line 350"/>
          <xdr:cNvSpPr>
            <a:spLocks noChangeShapeType="1"/>
          </xdr:cNvSpPr>
        </xdr:nvSpPr>
        <xdr:spPr bwMode="auto">
          <a:xfrm>
            <a:off x="6715239" y="2827373"/>
            <a:ext cx="630917" cy="107762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2" name="Line 351"/>
          <xdr:cNvSpPr>
            <a:spLocks noChangeShapeType="1"/>
          </xdr:cNvSpPr>
        </xdr:nvSpPr>
        <xdr:spPr bwMode="auto">
          <a:xfrm flipV="1">
            <a:off x="6715239" y="2411448"/>
            <a:ext cx="624851" cy="42537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3" name="Line 352"/>
          <xdr:cNvSpPr>
            <a:spLocks noChangeShapeType="1"/>
          </xdr:cNvSpPr>
        </xdr:nvSpPr>
        <xdr:spPr bwMode="auto">
          <a:xfrm flipV="1">
            <a:off x="6721305" y="2203486"/>
            <a:ext cx="618784" cy="63334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4" name="Line 353"/>
          <xdr:cNvSpPr>
            <a:spLocks noChangeShapeType="1"/>
          </xdr:cNvSpPr>
        </xdr:nvSpPr>
        <xdr:spPr bwMode="auto">
          <a:xfrm flipV="1">
            <a:off x="6715239" y="1768655"/>
            <a:ext cx="624851" cy="106817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5" name="Line 354"/>
          <xdr:cNvSpPr>
            <a:spLocks noChangeShapeType="1"/>
          </xdr:cNvSpPr>
        </xdr:nvSpPr>
        <xdr:spPr bwMode="auto">
          <a:xfrm flipV="1">
            <a:off x="6715239" y="1570145"/>
            <a:ext cx="618784" cy="126668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6" name="Line 355"/>
          <xdr:cNvSpPr>
            <a:spLocks noChangeShapeType="1"/>
          </xdr:cNvSpPr>
        </xdr:nvSpPr>
        <xdr:spPr bwMode="auto">
          <a:xfrm flipV="1">
            <a:off x="6715239" y="1343277"/>
            <a:ext cx="624851" cy="148409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7" name="Line 356"/>
          <xdr:cNvSpPr>
            <a:spLocks noChangeShapeType="1"/>
          </xdr:cNvSpPr>
        </xdr:nvSpPr>
        <xdr:spPr bwMode="auto">
          <a:xfrm flipV="1">
            <a:off x="6721305" y="1125862"/>
            <a:ext cx="618784" cy="17109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8" name="Line 357"/>
          <xdr:cNvSpPr>
            <a:spLocks noChangeShapeType="1"/>
          </xdr:cNvSpPr>
        </xdr:nvSpPr>
        <xdr:spPr bwMode="auto">
          <a:xfrm flipV="1">
            <a:off x="6715239" y="917899"/>
            <a:ext cx="624851" cy="190947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9" name="Line 358"/>
          <xdr:cNvSpPr>
            <a:spLocks noChangeShapeType="1"/>
          </xdr:cNvSpPr>
        </xdr:nvSpPr>
        <xdr:spPr bwMode="auto">
          <a:xfrm flipV="1">
            <a:off x="6715239" y="709937"/>
            <a:ext cx="624851" cy="212688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0" name="Line 359"/>
          <xdr:cNvSpPr>
            <a:spLocks noChangeShapeType="1"/>
          </xdr:cNvSpPr>
        </xdr:nvSpPr>
        <xdr:spPr bwMode="auto">
          <a:xfrm>
            <a:off x="6709172" y="2666675"/>
            <a:ext cx="636984" cy="167315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1" name="Line 360"/>
          <xdr:cNvSpPr>
            <a:spLocks noChangeShapeType="1"/>
          </xdr:cNvSpPr>
        </xdr:nvSpPr>
        <xdr:spPr bwMode="auto">
          <a:xfrm>
            <a:off x="6709172" y="2666675"/>
            <a:ext cx="636984" cy="145573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2" name="Line 361"/>
          <xdr:cNvSpPr>
            <a:spLocks noChangeShapeType="1"/>
          </xdr:cNvSpPr>
        </xdr:nvSpPr>
        <xdr:spPr bwMode="auto">
          <a:xfrm>
            <a:off x="6709172" y="2515430"/>
            <a:ext cx="636984" cy="18243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3" name="Line 362"/>
          <xdr:cNvSpPr>
            <a:spLocks noChangeShapeType="1"/>
          </xdr:cNvSpPr>
        </xdr:nvSpPr>
        <xdr:spPr bwMode="auto">
          <a:xfrm>
            <a:off x="6709172" y="2515430"/>
            <a:ext cx="636984" cy="160698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4" name="Line 363"/>
          <xdr:cNvSpPr>
            <a:spLocks noChangeShapeType="1"/>
          </xdr:cNvSpPr>
        </xdr:nvSpPr>
        <xdr:spPr bwMode="auto">
          <a:xfrm>
            <a:off x="6709172" y="2666675"/>
            <a:ext cx="636984" cy="124777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5" name="Line 364"/>
          <xdr:cNvSpPr>
            <a:spLocks noChangeShapeType="1"/>
          </xdr:cNvSpPr>
        </xdr:nvSpPr>
        <xdr:spPr bwMode="auto">
          <a:xfrm>
            <a:off x="6709172" y="2515430"/>
            <a:ext cx="636984" cy="138956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6" name="Line 365"/>
          <xdr:cNvSpPr>
            <a:spLocks noChangeShapeType="1"/>
          </xdr:cNvSpPr>
        </xdr:nvSpPr>
        <xdr:spPr bwMode="auto">
          <a:xfrm flipH="1" flipV="1">
            <a:off x="6709172" y="2666675"/>
            <a:ext cx="636984" cy="103036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7" name="Line 366"/>
          <xdr:cNvSpPr>
            <a:spLocks noChangeShapeType="1"/>
          </xdr:cNvSpPr>
        </xdr:nvSpPr>
        <xdr:spPr bwMode="auto">
          <a:xfrm>
            <a:off x="6709172" y="2515430"/>
            <a:ext cx="636984" cy="120051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67"/>
          <xdr:cNvSpPr>
            <a:spLocks noChangeShapeType="1"/>
          </xdr:cNvSpPr>
        </xdr:nvSpPr>
        <xdr:spPr bwMode="auto">
          <a:xfrm flipH="1" flipV="1">
            <a:off x="6709172" y="2666675"/>
            <a:ext cx="636984" cy="81294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9" name="Line 368"/>
          <xdr:cNvSpPr>
            <a:spLocks noChangeShapeType="1"/>
          </xdr:cNvSpPr>
        </xdr:nvSpPr>
        <xdr:spPr bwMode="auto">
          <a:xfrm flipH="1" flipV="1">
            <a:off x="6709172" y="2666675"/>
            <a:ext cx="636984" cy="60498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0" name="Line 369"/>
          <xdr:cNvSpPr>
            <a:spLocks noChangeShapeType="1"/>
          </xdr:cNvSpPr>
        </xdr:nvSpPr>
        <xdr:spPr bwMode="auto">
          <a:xfrm>
            <a:off x="6709172" y="2524882"/>
            <a:ext cx="636984" cy="94528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1" name="Line 370"/>
          <xdr:cNvSpPr>
            <a:spLocks noChangeShapeType="1"/>
          </xdr:cNvSpPr>
        </xdr:nvSpPr>
        <xdr:spPr bwMode="auto">
          <a:xfrm>
            <a:off x="6709172" y="2515430"/>
            <a:ext cx="630917" cy="75622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2" name="Line 371"/>
          <xdr:cNvSpPr>
            <a:spLocks noChangeShapeType="1"/>
          </xdr:cNvSpPr>
        </xdr:nvSpPr>
        <xdr:spPr bwMode="auto">
          <a:xfrm flipH="1" flipV="1">
            <a:off x="6715239" y="2676128"/>
            <a:ext cx="630917" cy="37811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3" name="Line 372"/>
          <xdr:cNvSpPr>
            <a:spLocks noChangeShapeType="1"/>
          </xdr:cNvSpPr>
        </xdr:nvSpPr>
        <xdr:spPr bwMode="auto">
          <a:xfrm flipH="1" flipV="1">
            <a:off x="6709172" y="2505977"/>
            <a:ext cx="636984" cy="54826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4" name="Line 373"/>
          <xdr:cNvSpPr>
            <a:spLocks noChangeShapeType="1"/>
          </xdr:cNvSpPr>
        </xdr:nvSpPr>
        <xdr:spPr bwMode="auto">
          <a:xfrm>
            <a:off x="6709172" y="2676128"/>
            <a:ext cx="630917" cy="17015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5" name="Line 374"/>
          <xdr:cNvSpPr>
            <a:spLocks noChangeShapeType="1"/>
          </xdr:cNvSpPr>
        </xdr:nvSpPr>
        <xdr:spPr bwMode="auto">
          <a:xfrm flipV="1">
            <a:off x="6715239" y="2638317"/>
            <a:ext cx="624851" cy="3781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6" name="Line 375"/>
          <xdr:cNvSpPr>
            <a:spLocks noChangeShapeType="1"/>
          </xdr:cNvSpPr>
        </xdr:nvSpPr>
        <xdr:spPr bwMode="auto">
          <a:xfrm flipH="1" flipV="1">
            <a:off x="6709172" y="2505977"/>
            <a:ext cx="624851" cy="3403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7" name="Line 376"/>
          <xdr:cNvSpPr>
            <a:spLocks noChangeShapeType="1"/>
          </xdr:cNvSpPr>
        </xdr:nvSpPr>
        <xdr:spPr bwMode="auto">
          <a:xfrm flipH="1" flipV="1">
            <a:off x="6709172" y="2515430"/>
            <a:ext cx="636984" cy="12288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8" name="Line 377"/>
          <xdr:cNvSpPr>
            <a:spLocks noChangeShapeType="1"/>
          </xdr:cNvSpPr>
        </xdr:nvSpPr>
        <xdr:spPr bwMode="auto">
          <a:xfrm flipV="1">
            <a:off x="6709172" y="2411448"/>
            <a:ext cx="630917" cy="26468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9" name="Line 378"/>
          <xdr:cNvSpPr>
            <a:spLocks noChangeShapeType="1"/>
          </xdr:cNvSpPr>
        </xdr:nvSpPr>
        <xdr:spPr bwMode="auto">
          <a:xfrm flipV="1">
            <a:off x="6709172" y="2212939"/>
            <a:ext cx="630917" cy="46318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0" name="Line 379"/>
          <xdr:cNvSpPr>
            <a:spLocks noChangeShapeType="1"/>
          </xdr:cNvSpPr>
        </xdr:nvSpPr>
        <xdr:spPr bwMode="auto">
          <a:xfrm flipV="1">
            <a:off x="6709172" y="1995523"/>
            <a:ext cx="630917" cy="68060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1" name="Line 380"/>
          <xdr:cNvSpPr>
            <a:spLocks noChangeShapeType="1"/>
          </xdr:cNvSpPr>
        </xdr:nvSpPr>
        <xdr:spPr bwMode="auto">
          <a:xfrm flipV="1">
            <a:off x="6709172" y="2411448"/>
            <a:ext cx="624851" cy="10398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2" name="Line 381"/>
          <xdr:cNvSpPr>
            <a:spLocks noChangeShapeType="1"/>
          </xdr:cNvSpPr>
        </xdr:nvSpPr>
        <xdr:spPr bwMode="auto">
          <a:xfrm flipV="1">
            <a:off x="6709172" y="2212939"/>
            <a:ext cx="630917" cy="30249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3" name="Line 382"/>
          <xdr:cNvSpPr>
            <a:spLocks noChangeShapeType="1"/>
          </xdr:cNvSpPr>
        </xdr:nvSpPr>
        <xdr:spPr bwMode="auto">
          <a:xfrm flipV="1">
            <a:off x="6709172" y="1986070"/>
            <a:ext cx="630917" cy="5293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4" name="Line 383"/>
          <xdr:cNvSpPr>
            <a:spLocks noChangeShapeType="1"/>
          </xdr:cNvSpPr>
        </xdr:nvSpPr>
        <xdr:spPr bwMode="auto">
          <a:xfrm flipV="1">
            <a:off x="6715239" y="1787561"/>
            <a:ext cx="624851" cy="88856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5" name="Line 384"/>
          <xdr:cNvSpPr>
            <a:spLocks noChangeShapeType="1"/>
          </xdr:cNvSpPr>
        </xdr:nvSpPr>
        <xdr:spPr bwMode="auto">
          <a:xfrm flipV="1">
            <a:off x="6715239" y="1570145"/>
            <a:ext cx="618784" cy="110598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6" name="Line 385"/>
          <xdr:cNvSpPr>
            <a:spLocks noChangeShapeType="1"/>
          </xdr:cNvSpPr>
        </xdr:nvSpPr>
        <xdr:spPr bwMode="auto">
          <a:xfrm flipV="1">
            <a:off x="6715239" y="1787561"/>
            <a:ext cx="624851" cy="7184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7" name="Line 386"/>
          <xdr:cNvSpPr>
            <a:spLocks noChangeShapeType="1"/>
          </xdr:cNvSpPr>
        </xdr:nvSpPr>
        <xdr:spPr bwMode="auto">
          <a:xfrm flipV="1">
            <a:off x="6715239" y="1560693"/>
            <a:ext cx="618784" cy="95473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8" name="Line 387"/>
          <xdr:cNvSpPr>
            <a:spLocks noChangeShapeType="1"/>
          </xdr:cNvSpPr>
        </xdr:nvSpPr>
        <xdr:spPr bwMode="auto">
          <a:xfrm flipV="1">
            <a:off x="6715239" y="284559"/>
            <a:ext cx="624851" cy="239156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9" name="Line 388"/>
          <xdr:cNvSpPr>
            <a:spLocks noChangeShapeType="1"/>
          </xdr:cNvSpPr>
        </xdr:nvSpPr>
        <xdr:spPr bwMode="auto">
          <a:xfrm flipV="1">
            <a:off x="6709172" y="1352730"/>
            <a:ext cx="630917" cy="131394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0" name="Line 389"/>
          <xdr:cNvSpPr>
            <a:spLocks noChangeShapeType="1"/>
          </xdr:cNvSpPr>
        </xdr:nvSpPr>
        <xdr:spPr bwMode="auto">
          <a:xfrm flipH="1">
            <a:off x="6709172" y="1144768"/>
            <a:ext cx="630917" cy="153136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1" name="Line 390"/>
          <xdr:cNvSpPr>
            <a:spLocks noChangeShapeType="1"/>
          </xdr:cNvSpPr>
        </xdr:nvSpPr>
        <xdr:spPr bwMode="auto">
          <a:xfrm flipH="1">
            <a:off x="6709172" y="927352"/>
            <a:ext cx="630917" cy="17487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2" name="Line 391"/>
          <xdr:cNvSpPr>
            <a:spLocks noChangeShapeType="1"/>
          </xdr:cNvSpPr>
        </xdr:nvSpPr>
        <xdr:spPr bwMode="auto">
          <a:xfrm flipV="1">
            <a:off x="6715239" y="501974"/>
            <a:ext cx="624851" cy="21647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3" name="Line 392"/>
          <xdr:cNvSpPr>
            <a:spLocks noChangeShapeType="1"/>
          </xdr:cNvSpPr>
        </xdr:nvSpPr>
        <xdr:spPr bwMode="auto">
          <a:xfrm flipV="1">
            <a:off x="6709172" y="719390"/>
            <a:ext cx="630917" cy="194728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4" name="Line 393"/>
          <xdr:cNvSpPr>
            <a:spLocks noChangeShapeType="1"/>
          </xdr:cNvSpPr>
        </xdr:nvSpPr>
        <xdr:spPr bwMode="auto">
          <a:xfrm flipV="1">
            <a:off x="6709172" y="1352730"/>
            <a:ext cx="630917" cy="115324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5" name="Line 394"/>
          <xdr:cNvSpPr>
            <a:spLocks noChangeShapeType="1"/>
          </xdr:cNvSpPr>
        </xdr:nvSpPr>
        <xdr:spPr bwMode="auto">
          <a:xfrm flipV="1">
            <a:off x="6709172" y="1144768"/>
            <a:ext cx="630917" cy="136120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6" name="Line 395"/>
          <xdr:cNvSpPr>
            <a:spLocks noChangeShapeType="1"/>
          </xdr:cNvSpPr>
        </xdr:nvSpPr>
        <xdr:spPr bwMode="auto">
          <a:xfrm flipV="1">
            <a:off x="6709172" y="294012"/>
            <a:ext cx="630917" cy="222141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7" name="Line 396"/>
          <xdr:cNvSpPr>
            <a:spLocks noChangeShapeType="1"/>
          </xdr:cNvSpPr>
        </xdr:nvSpPr>
        <xdr:spPr bwMode="auto">
          <a:xfrm flipV="1">
            <a:off x="6715239" y="927352"/>
            <a:ext cx="624851" cy="158807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8" name="Line 397"/>
          <xdr:cNvSpPr>
            <a:spLocks noChangeShapeType="1"/>
          </xdr:cNvSpPr>
        </xdr:nvSpPr>
        <xdr:spPr bwMode="auto">
          <a:xfrm flipV="1">
            <a:off x="6709172" y="501974"/>
            <a:ext cx="630917" cy="20040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398"/>
          <xdr:cNvSpPr>
            <a:spLocks noChangeShapeType="1"/>
          </xdr:cNvSpPr>
        </xdr:nvSpPr>
        <xdr:spPr bwMode="auto">
          <a:xfrm flipV="1">
            <a:off x="6709172" y="719390"/>
            <a:ext cx="630917" cy="178658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oneCellAnchor>
    <xdr:from>
      <xdr:col>10</xdr:col>
      <xdr:colOff>57152</xdr:colOff>
      <xdr:row>25</xdr:row>
      <xdr:rowOff>112985</xdr:rowOff>
    </xdr:from>
    <xdr:ext cx="1228725" cy="238125"/>
    <xdr:sp macro="" textlink="">
      <xdr:nvSpPr>
        <xdr:cNvPr id="445" name="Text Box 444"/>
        <xdr:cNvSpPr txBox="1">
          <a:spLocks noChangeArrowheads="1"/>
        </xdr:cNvSpPr>
      </xdr:nvSpPr>
      <xdr:spPr bwMode="auto">
        <a:xfrm>
          <a:off x="5041902" y="4176985"/>
          <a:ext cx="12287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18288" bIns="0" anchor="t" upright="1">
          <a:noAutofit/>
        </a:bodyPr>
        <a:lstStyle/>
        <a:p>
          <a:pPr algn="ctr" rtl="0">
            <a:defRPr sz="1000"/>
          </a:pPr>
          <a:r>
            <a:rPr lang="es-E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INPUT LAYER</a:t>
          </a:r>
        </a:p>
      </xdr:txBody>
    </xdr:sp>
    <xdr:clientData/>
  </xdr:oneCellAnchor>
  <xdr:oneCellAnchor>
    <xdr:from>
      <xdr:col>17</xdr:col>
      <xdr:colOff>276372</xdr:colOff>
      <xdr:row>25</xdr:row>
      <xdr:rowOff>9525</xdr:rowOff>
    </xdr:from>
    <xdr:ext cx="1209527" cy="318036"/>
    <xdr:sp macro="" textlink="">
      <xdr:nvSpPr>
        <xdr:cNvPr id="446" name="Text Box 446"/>
        <xdr:cNvSpPr txBox="1">
          <a:spLocks noChangeArrowheads="1"/>
        </xdr:cNvSpPr>
      </xdr:nvSpPr>
      <xdr:spPr bwMode="auto">
        <a:xfrm>
          <a:off x="8172597" y="3733800"/>
          <a:ext cx="1209527" cy="3180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18288" bIns="0" anchor="t" upright="1">
          <a:noAutofit/>
        </a:bodyPr>
        <a:lstStyle/>
        <a:p>
          <a:pPr algn="ctr" rtl="0">
            <a:defRPr sz="1000"/>
          </a:pPr>
          <a:r>
            <a:rPr lang="es-E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OUTPUT LAYER</a:t>
          </a:r>
        </a:p>
      </xdr:txBody>
    </xdr:sp>
    <xdr:clientData/>
  </xdr:oneCellAnchor>
  <xdr:twoCellAnchor>
    <xdr:from>
      <xdr:col>17</xdr:col>
      <xdr:colOff>2</xdr:colOff>
      <xdr:row>8</xdr:row>
      <xdr:rowOff>36634</xdr:rowOff>
    </xdr:from>
    <xdr:to>
      <xdr:col>17</xdr:col>
      <xdr:colOff>398586</xdr:colOff>
      <xdr:row>12</xdr:row>
      <xdr:rowOff>0</xdr:rowOff>
    </xdr:to>
    <xdr:sp macro="" textlink="">
      <xdr:nvSpPr>
        <xdr:cNvPr id="837" name="836 Flecha derecha"/>
        <xdr:cNvSpPr/>
      </xdr:nvSpPr>
      <xdr:spPr>
        <a:xfrm>
          <a:off x="7896227" y="1008184"/>
          <a:ext cx="398584" cy="611066"/>
        </a:xfrm>
        <a:prstGeom prst="rightArrow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oneCellAnchor>
    <xdr:from>
      <xdr:col>16</xdr:col>
      <xdr:colOff>313556</xdr:colOff>
      <xdr:row>10</xdr:row>
      <xdr:rowOff>57150</xdr:rowOff>
    </xdr:from>
    <xdr:ext cx="277255" cy="1862048"/>
    <xdr:sp macro="" textlink="">
      <xdr:nvSpPr>
        <xdr:cNvPr id="842" name="841 CuadroTexto"/>
        <xdr:cNvSpPr txBox="1"/>
      </xdr:nvSpPr>
      <xdr:spPr>
        <a:xfrm>
          <a:off x="7447781" y="1352550"/>
          <a:ext cx="277255" cy="18620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H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I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D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D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E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N</a:t>
          </a:r>
        </a:p>
        <a:p>
          <a:pPr algn="ctr"/>
          <a:endParaRPr lang="es-ES" sz="1000" b="1">
            <a:latin typeface="Arial" pitchFamily="34" charset="0"/>
            <a:cs typeface="Arial" pitchFamily="34" charset="0"/>
          </a:endParaRP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L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A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Y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E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R</a:t>
          </a:r>
        </a:p>
      </xdr:txBody>
    </xdr:sp>
    <xdr:clientData/>
  </xdr:oneCellAnchor>
  <xdr:twoCellAnchor>
    <xdr:from>
      <xdr:col>18</xdr:col>
      <xdr:colOff>44036</xdr:colOff>
      <xdr:row>7</xdr:row>
      <xdr:rowOff>147638</xdr:rowOff>
    </xdr:from>
    <xdr:to>
      <xdr:col>19</xdr:col>
      <xdr:colOff>416703</xdr:colOff>
      <xdr:row>12</xdr:row>
      <xdr:rowOff>44053</xdr:rowOff>
    </xdr:to>
    <xdr:sp macro="" textlink="">
      <xdr:nvSpPr>
        <xdr:cNvPr id="843" name="AutoShape 39"/>
        <xdr:cNvSpPr>
          <a:spLocks noChangeArrowheads="1"/>
        </xdr:cNvSpPr>
      </xdr:nvSpPr>
      <xdr:spPr bwMode="auto">
        <a:xfrm>
          <a:off x="8349836" y="957263"/>
          <a:ext cx="820342" cy="706040"/>
        </a:xfrm>
        <a:prstGeom prst="roundRect">
          <a:avLst>
            <a:gd name="adj" fmla="val 16667"/>
          </a:avLst>
        </a:prstGeom>
        <a:noFill/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</xdr:sp>
    <xdr:clientData/>
  </xdr:twoCellAnchor>
  <xdr:twoCellAnchor>
    <xdr:from>
      <xdr:col>18</xdr:col>
      <xdr:colOff>44036</xdr:colOff>
      <xdr:row>19</xdr:row>
      <xdr:rowOff>151213</xdr:rowOff>
    </xdr:from>
    <xdr:to>
      <xdr:col>19</xdr:col>
      <xdr:colOff>416703</xdr:colOff>
      <xdr:row>24</xdr:row>
      <xdr:rowOff>47628</xdr:rowOff>
    </xdr:to>
    <xdr:sp macro="" textlink="">
      <xdr:nvSpPr>
        <xdr:cNvPr id="844" name="AutoShape 39"/>
        <xdr:cNvSpPr>
          <a:spLocks noChangeArrowheads="1"/>
        </xdr:cNvSpPr>
      </xdr:nvSpPr>
      <xdr:spPr bwMode="auto">
        <a:xfrm>
          <a:off x="8349836" y="2903938"/>
          <a:ext cx="820342" cy="706040"/>
        </a:xfrm>
        <a:prstGeom prst="roundRect">
          <a:avLst>
            <a:gd name="adj" fmla="val 16667"/>
          </a:avLst>
        </a:prstGeom>
        <a:noFill/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</xdr:sp>
    <xdr:clientData/>
  </xdr:twoCellAnchor>
  <xdr:twoCellAnchor>
    <xdr:from>
      <xdr:col>18</xdr:col>
      <xdr:colOff>44037</xdr:colOff>
      <xdr:row>13</xdr:row>
      <xdr:rowOff>149426</xdr:rowOff>
    </xdr:from>
    <xdr:to>
      <xdr:col>19</xdr:col>
      <xdr:colOff>416703</xdr:colOff>
      <xdr:row>18</xdr:row>
      <xdr:rowOff>45841</xdr:rowOff>
    </xdr:to>
    <xdr:sp macro="" textlink="">
      <xdr:nvSpPr>
        <xdr:cNvPr id="845" name="AutoShape 39"/>
        <xdr:cNvSpPr>
          <a:spLocks noChangeArrowheads="1"/>
        </xdr:cNvSpPr>
      </xdr:nvSpPr>
      <xdr:spPr bwMode="auto">
        <a:xfrm>
          <a:off x="8349837" y="1930601"/>
          <a:ext cx="820341" cy="706040"/>
        </a:xfrm>
        <a:prstGeom prst="roundRect">
          <a:avLst>
            <a:gd name="adj" fmla="val 16667"/>
          </a:avLst>
        </a:prstGeom>
        <a:noFill/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</xdr:sp>
    <xdr:clientData/>
  </xdr:twoCellAnchor>
  <xdr:twoCellAnchor>
    <xdr:from>
      <xdr:col>17</xdr:col>
      <xdr:colOff>2</xdr:colOff>
      <xdr:row>20</xdr:row>
      <xdr:rowOff>57149</xdr:rowOff>
    </xdr:from>
    <xdr:to>
      <xdr:col>17</xdr:col>
      <xdr:colOff>398586</xdr:colOff>
      <xdr:row>24</xdr:row>
      <xdr:rowOff>20515</xdr:rowOff>
    </xdr:to>
    <xdr:sp macro="" textlink="">
      <xdr:nvSpPr>
        <xdr:cNvPr id="846" name="845 Flecha derecha"/>
        <xdr:cNvSpPr/>
      </xdr:nvSpPr>
      <xdr:spPr>
        <a:xfrm>
          <a:off x="7896227" y="2971799"/>
          <a:ext cx="398584" cy="611066"/>
        </a:xfrm>
        <a:prstGeom prst="rightArrow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17</xdr:col>
      <xdr:colOff>2</xdr:colOff>
      <xdr:row>14</xdr:row>
      <xdr:rowOff>46891</xdr:rowOff>
    </xdr:from>
    <xdr:to>
      <xdr:col>17</xdr:col>
      <xdr:colOff>398586</xdr:colOff>
      <xdr:row>18</xdr:row>
      <xdr:rowOff>10257</xdr:rowOff>
    </xdr:to>
    <xdr:sp macro="" textlink="">
      <xdr:nvSpPr>
        <xdr:cNvPr id="848" name="847 Flecha derecha"/>
        <xdr:cNvSpPr/>
      </xdr:nvSpPr>
      <xdr:spPr>
        <a:xfrm>
          <a:off x="7896227" y="1989991"/>
          <a:ext cx="398584" cy="611066"/>
        </a:xfrm>
        <a:prstGeom prst="rightArrow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8</xdr:col>
      <xdr:colOff>463138</xdr:colOff>
      <xdr:row>6</xdr:row>
      <xdr:rowOff>149435</xdr:rowOff>
    </xdr:from>
    <xdr:to>
      <xdr:col>15</xdr:col>
      <xdr:colOff>0</xdr:colOff>
      <xdr:row>25</xdr:row>
      <xdr:rowOff>12709</xdr:rowOff>
    </xdr:to>
    <xdr:sp macro="" textlink="">
      <xdr:nvSpPr>
        <xdr:cNvPr id="849" name="AutoShape 39"/>
        <xdr:cNvSpPr>
          <a:spLocks noChangeArrowheads="1"/>
        </xdr:cNvSpPr>
      </xdr:nvSpPr>
      <xdr:spPr bwMode="auto">
        <a:xfrm>
          <a:off x="4296951" y="1197185"/>
          <a:ext cx="2203862" cy="2879524"/>
        </a:xfrm>
        <a:prstGeom prst="roundRect">
          <a:avLst>
            <a:gd name="adj" fmla="val 6722"/>
          </a:avLst>
        </a:prstGeom>
        <a:noFill/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</xdr:sp>
    <xdr:clientData/>
  </xdr:twoCellAnchor>
  <xdr:twoCellAnchor>
    <xdr:from>
      <xdr:col>7</xdr:col>
      <xdr:colOff>171449</xdr:colOff>
      <xdr:row>13</xdr:row>
      <xdr:rowOff>55684</xdr:rowOff>
    </xdr:from>
    <xdr:to>
      <xdr:col>8</xdr:col>
      <xdr:colOff>331908</xdr:colOff>
      <xdr:row>17</xdr:row>
      <xdr:rowOff>19050</xdr:rowOff>
    </xdr:to>
    <xdr:sp macro="" textlink="">
      <xdr:nvSpPr>
        <xdr:cNvPr id="854" name="853 Flecha derecha"/>
        <xdr:cNvSpPr/>
      </xdr:nvSpPr>
      <xdr:spPr>
        <a:xfrm>
          <a:off x="4010024" y="2246434"/>
          <a:ext cx="360484" cy="611066"/>
        </a:xfrm>
        <a:prstGeom prst="rightArrow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8</xdr:col>
      <xdr:colOff>219075</xdr:colOff>
      <xdr:row>31</xdr:row>
      <xdr:rowOff>28574</xdr:rowOff>
    </xdr:from>
    <xdr:to>
      <xdr:col>20</xdr:col>
      <xdr:colOff>180975</xdr:colOff>
      <xdr:row>31</xdr:row>
      <xdr:rowOff>28574</xdr:rowOff>
    </xdr:to>
    <xdr:cxnSp macro="">
      <xdr:nvCxnSpPr>
        <xdr:cNvPr id="856" name="855 Conector recto"/>
        <xdr:cNvCxnSpPr/>
      </xdr:nvCxnSpPr>
      <xdr:spPr>
        <a:xfrm>
          <a:off x="4057650" y="5133974"/>
          <a:ext cx="51720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32</xdr:row>
      <xdr:rowOff>161924</xdr:rowOff>
    </xdr:from>
    <xdr:to>
      <xdr:col>20</xdr:col>
      <xdr:colOff>200025</xdr:colOff>
      <xdr:row>32</xdr:row>
      <xdr:rowOff>161924</xdr:rowOff>
    </xdr:to>
    <xdr:cxnSp macro="">
      <xdr:nvCxnSpPr>
        <xdr:cNvPr id="858" name="857 Conector recto"/>
        <xdr:cNvCxnSpPr/>
      </xdr:nvCxnSpPr>
      <xdr:spPr>
        <a:xfrm>
          <a:off x="4076700" y="5429249"/>
          <a:ext cx="51720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19</xdr:col>
      <xdr:colOff>396871</xdr:colOff>
      <xdr:row>9</xdr:row>
      <xdr:rowOff>23811</xdr:rowOff>
    </xdr:from>
    <xdr:ext cx="889795" cy="264560"/>
    <xdr:sp macro="" textlink="">
      <xdr:nvSpPr>
        <xdr:cNvPr id="400" name="399 CuadroTexto"/>
        <xdr:cNvSpPr txBox="1"/>
      </xdr:nvSpPr>
      <xdr:spPr>
        <a:xfrm>
          <a:off x="9274171" y="1566861"/>
          <a:ext cx="88979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1100" b="1" i="1"/>
            <a:t>ANN-TMS</a:t>
          </a:r>
          <a:r>
            <a:rPr lang="es-ES" sz="1100" b="1" i="1" baseline="-25000"/>
            <a:t>vac</a:t>
          </a:r>
        </a:p>
      </xdr:txBody>
    </xdr:sp>
    <xdr:clientData/>
  </xdr:oneCellAnchor>
  <xdr:oneCellAnchor>
    <xdr:from>
      <xdr:col>19</xdr:col>
      <xdr:colOff>396871</xdr:colOff>
      <xdr:row>15</xdr:row>
      <xdr:rowOff>31749</xdr:rowOff>
    </xdr:from>
    <xdr:ext cx="956031" cy="264560"/>
    <xdr:sp macro="" textlink="">
      <xdr:nvSpPr>
        <xdr:cNvPr id="401" name="400 CuadroTexto"/>
        <xdr:cNvSpPr txBox="1"/>
      </xdr:nvSpPr>
      <xdr:spPr>
        <a:xfrm>
          <a:off x="9274171" y="2546349"/>
          <a:ext cx="9560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1100" b="1" i="1"/>
            <a:t>ANN-MSTD</a:t>
          </a:r>
          <a:r>
            <a:rPr lang="es-ES" sz="1100" b="1" i="1" baseline="-25000"/>
            <a:t>sol</a:t>
          </a:r>
        </a:p>
      </xdr:txBody>
    </xdr:sp>
    <xdr:clientData/>
  </xdr:oneCellAnchor>
  <xdr:oneCellAnchor>
    <xdr:from>
      <xdr:col>19</xdr:col>
      <xdr:colOff>396871</xdr:colOff>
      <xdr:row>21</xdr:row>
      <xdr:rowOff>31748</xdr:rowOff>
    </xdr:from>
    <xdr:ext cx="711349" cy="264560"/>
    <xdr:sp macro="" textlink="">
      <xdr:nvSpPr>
        <xdr:cNvPr id="402" name="401 CuadroTexto"/>
        <xdr:cNvSpPr txBox="1"/>
      </xdr:nvSpPr>
      <xdr:spPr>
        <a:xfrm>
          <a:off x="9274171" y="3517898"/>
          <a:ext cx="7113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1100" b="1" i="1"/>
            <a:t>ANN-mix</a:t>
          </a:r>
          <a:endParaRPr lang="es-ES" sz="1100" b="1" i="1" baseline="-25000"/>
        </a:p>
      </xdr:txBody>
    </xdr:sp>
    <xdr:clientData/>
  </xdr:oneCellAnchor>
  <xdr:oneCellAnchor>
    <xdr:from>
      <xdr:col>9</xdr:col>
      <xdr:colOff>462636</xdr:colOff>
      <xdr:row>5</xdr:row>
      <xdr:rowOff>139472</xdr:rowOff>
    </xdr:from>
    <xdr:ext cx="1885003" cy="180755"/>
    <xdr:sp macro="" textlink="">
      <xdr:nvSpPr>
        <xdr:cNvPr id="403" name="402 CuadroTexto"/>
        <xdr:cNvSpPr txBox="1"/>
      </xdr:nvSpPr>
      <xdr:spPr>
        <a:xfrm>
          <a:off x="4963199" y="1028472"/>
          <a:ext cx="1885003" cy="1807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600" b="1">
              <a:solidFill>
                <a:schemeClr val="bg1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TMS        MSTD                             TMS       MSTD</a:t>
          </a:r>
        </a:p>
      </xdr:txBody>
    </xdr:sp>
    <xdr:clientData/>
  </xdr:oneCellAnchor>
  <xdr:oneCellAnchor>
    <xdr:from>
      <xdr:col>9</xdr:col>
      <xdr:colOff>357177</xdr:colOff>
      <xdr:row>24</xdr:row>
      <xdr:rowOff>142875</xdr:rowOff>
    </xdr:from>
    <xdr:ext cx="1620187" cy="180755"/>
    <xdr:sp macro="" textlink="">
      <xdr:nvSpPr>
        <xdr:cNvPr id="405" name="404 CuadroTexto"/>
        <xdr:cNvSpPr txBox="1"/>
      </xdr:nvSpPr>
      <xdr:spPr>
        <a:xfrm>
          <a:off x="4857740" y="4048125"/>
          <a:ext cx="1620187" cy="1807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600" b="1" baseline="30000">
              <a:solidFill>
                <a:schemeClr val="bg1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1</a:t>
          </a:r>
          <a:r>
            <a:rPr lang="es-ES" sz="600" b="1">
              <a:solidFill>
                <a:schemeClr val="bg1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H &amp; </a:t>
          </a:r>
          <a:r>
            <a:rPr lang="es-ES" sz="600" b="1" baseline="30000">
              <a:solidFill>
                <a:schemeClr val="bg1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13</a:t>
          </a:r>
          <a:r>
            <a:rPr lang="es-ES" sz="600" b="1">
              <a:solidFill>
                <a:schemeClr val="bg1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C                                           HSQC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2</xdr:row>
          <xdr:rowOff>133350</xdr:rowOff>
        </xdr:from>
        <xdr:to>
          <xdr:col>19</xdr:col>
          <xdr:colOff>266700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4</xdr:row>
          <xdr:rowOff>85725</xdr:rowOff>
        </xdr:from>
        <xdr:to>
          <xdr:col>19</xdr:col>
          <xdr:colOff>276225</xdr:colOff>
          <xdr:row>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CG70"/>
  <sheetViews>
    <sheetView showGridLines="0" tabSelected="1" zoomScaleNormal="100" workbookViewId="0">
      <selection activeCell="A5" sqref="A5"/>
    </sheetView>
  </sheetViews>
  <sheetFormatPr defaultColWidth="0" defaultRowHeight="5.0999999999999996" customHeight="1"/>
  <cols>
    <col min="1" max="1" width="8.7109375" style="111" customWidth="1"/>
    <col min="2" max="2" width="8.7109375" style="112" customWidth="1"/>
    <col min="3" max="3" width="8.7109375" style="113" customWidth="1"/>
    <col min="4" max="4" width="10" style="114" customWidth="1"/>
    <col min="5" max="5" width="3.7109375" style="113" customWidth="1"/>
    <col min="6" max="6" width="8.7109375" style="113" customWidth="1"/>
    <col min="7" max="7" width="9" style="114" bestFit="1" customWidth="1"/>
    <col min="8" max="8" width="3" style="28" customWidth="1"/>
    <col min="9" max="9" width="7" style="1" customWidth="1"/>
    <col min="10" max="10" width="7.28515625" style="4" customWidth="1"/>
    <col min="11" max="11" width="5" style="4" customWidth="1"/>
    <col min="12" max="12" width="5" style="11" customWidth="1"/>
    <col min="13" max="13" width="7.28515625" style="7" customWidth="1"/>
    <col min="14" max="15" width="5" style="4" customWidth="1"/>
    <col min="16" max="16" width="6.7109375" style="4" customWidth="1"/>
    <col min="17" max="17" width="11.42578125" style="1" customWidth="1"/>
    <col min="18" max="18" width="6.140625" style="1" customWidth="1"/>
    <col min="19" max="22" width="6.7109375" style="1" customWidth="1"/>
    <col min="23" max="23" width="6.7109375" style="121" customWidth="1"/>
    <col min="24" max="27" width="5.7109375" style="123" hidden="1" customWidth="1"/>
    <col min="28" max="35" width="5.7109375" style="29" hidden="1" customWidth="1"/>
    <col min="36" max="41" width="5.7109375" style="58" hidden="1" customWidth="1"/>
    <col min="42" max="64" width="5.7109375" style="29" hidden="1" customWidth="1"/>
    <col min="65" max="65" width="5.7109375" style="58" hidden="1" customWidth="1"/>
    <col min="66" max="85" width="5.7109375" style="29" hidden="1" customWidth="1"/>
    <col min="86" max="16384" width="5.7109375" hidden="1"/>
  </cols>
  <sheetData>
    <row r="1" spans="1:73" ht="15">
      <c r="A1" s="134" t="s">
        <v>48</v>
      </c>
      <c r="B1" s="135"/>
      <c r="C1" s="138" t="s">
        <v>74</v>
      </c>
      <c r="D1" s="133"/>
      <c r="E1" s="132" t="s">
        <v>75</v>
      </c>
      <c r="F1" s="132"/>
      <c r="G1" s="133"/>
      <c r="H1" s="26"/>
      <c r="J1" s="139" t="str">
        <f>AR1</f>
        <v>Please enter the data</v>
      </c>
      <c r="K1" s="140"/>
      <c r="L1" s="140"/>
      <c r="M1" s="140"/>
      <c r="N1" s="140"/>
      <c r="O1" s="140"/>
      <c r="P1" s="140"/>
      <c r="Q1" s="140"/>
      <c r="R1" s="140"/>
      <c r="S1" s="140"/>
      <c r="T1" s="141"/>
      <c r="AE1" s="29">
        <f>R3</f>
        <v>0</v>
      </c>
      <c r="AJ1" s="123">
        <f>IF(AJ2=0,0,IF(OR(N4=N5,N4=N6),1,0))</f>
        <v>0</v>
      </c>
      <c r="AR1" s="29" t="str">
        <f>IF(AJ1=0,AP6,IF(R3=0,IF($AJ$2=0,AP6,IF(AR3=0,AP6,IF(AR3=2,AP9,IF(AQ3=1,AP8,AP7)))),IF(AH4="",IF(OR(AF4&gt;AF5,AG4&gt;AG5),AP11,AP12),IF(AH4&gt;AH5,AP11,AP12))))</f>
        <v>Please enter the data</v>
      </c>
      <c r="BP1" s="29">
        <f>SUM(BP4:BP70)</f>
        <v>0</v>
      </c>
      <c r="BQ1" s="29">
        <f>SUM(BQ4:BQ70)</f>
        <v>0</v>
      </c>
    </row>
    <row r="2" spans="1:73" ht="15" customHeight="1">
      <c r="A2" s="136"/>
      <c r="B2" s="137"/>
      <c r="C2" s="146" t="s">
        <v>76</v>
      </c>
      <c r="D2" s="147"/>
      <c r="E2" s="148" t="s">
        <v>77</v>
      </c>
      <c r="F2" s="148"/>
      <c r="G2" s="147"/>
      <c r="H2" s="26"/>
      <c r="J2" s="142"/>
      <c r="K2" s="143"/>
      <c r="L2" s="143"/>
      <c r="M2" s="143"/>
      <c r="N2" s="143"/>
      <c r="O2" s="143"/>
      <c r="P2" s="143"/>
      <c r="Q2" s="143"/>
      <c r="R2" s="143"/>
      <c r="S2" s="143"/>
      <c r="T2" s="144"/>
      <c r="AJ2" s="58">
        <f>SUM(AJ3:AJ66)</f>
        <v>0</v>
      </c>
      <c r="AK2" s="58">
        <f t="shared" ref="AK2:AO2" si="0">SUM(AK3:AK66)</f>
        <v>0</v>
      </c>
      <c r="AL2" s="58">
        <f t="shared" si="0"/>
        <v>0</v>
      </c>
      <c r="AM2" s="58">
        <f t="shared" si="0"/>
        <v>0</v>
      </c>
      <c r="AN2" s="58">
        <f t="shared" si="0"/>
        <v>0</v>
      </c>
      <c r="AO2" s="58">
        <f t="shared" si="0"/>
        <v>0</v>
      </c>
      <c r="AP2" s="58" t="str">
        <f>IF(AL2=AJ2,IF(AM2=AK2,"A","B"),"B")</f>
        <v>A</v>
      </c>
      <c r="AQ2" s="58" t="str">
        <f>IF(AN2=AJ2,IF(AO2=AK2,"A","B"),"B")</f>
        <v>A</v>
      </c>
    </row>
    <row r="3" spans="1:73" ht="15" customHeight="1" thickBot="1">
      <c r="A3" s="16" t="s">
        <v>70</v>
      </c>
      <c r="B3" s="17" t="s">
        <v>71</v>
      </c>
      <c r="C3" s="18" t="s">
        <v>72</v>
      </c>
      <c r="D3" s="17" t="s">
        <v>73</v>
      </c>
      <c r="E3" s="18" t="s">
        <v>2</v>
      </c>
      <c r="F3" s="18" t="s">
        <v>72</v>
      </c>
      <c r="G3" s="17" t="s">
        <v>73</v>
      </c>
      <c r="H3" s="26"/>
      <c r="J3" s="3"/>
      <c r="K3" s="3"/>
      <c r="L3" s="10"/>
      <c r="N3" s="8"/>
      <c r="O3" s="9"/>
      <c r="P3" s="8"/>
      <c r="Q3" s="2"/>
      <c r="R3" s="115">
        <v>0</v>
      </c>
      <c r="S3" s="2"/>
      <c r="T3" s="2"/>
      <c r="U3" s="2"/>
      <c r="AJ3" s="58" t="str">
        <f>IF(A4=0,"0",1)</f>
        <v>0</v>
      </c>
      <c r="AK3" s="58" t="str">
        <f>IF(B4=0,"0",1)</f>
        <v>0</v>
      </c>
      <c r="AL3" s="58" t="str">
        <f>IF(C4=0,"0",1)</f>
        <v>0</v>
      </c>
      <c r="AM3" s="58" t="str">
        <f>IF(D4=0,"0",1)</f>
        <v>0</v>
      </c>
      <c r="AN3" s="58" t="str">
        <f t="shared" ref="AN3:AN34" si="1">IF(F4=0,"0",1)</f>
        <v>0</v>
      </c>
      <c r="AO3" s="58" t="str">
        <f t="shared" ref="AO3:AO34" si="2">IF(G4=0,"0",1)</f>
        <v>0</v>
      </c>
      <c r="AP3" s="29">
        <f>IF(AP2="A",1,0)</f>
        <v>1</v>
      </c>
      <c r="AQ3" s="29">
        <f>IF(AQ2="A",1,0)</f>
        <v>1</v>
      </c>
      <c r="AR3" s="29">
        <f>SUM(AP3:AQ3)</f>
        <v>2</v>
      </c>
      <c r="BI3" s="59"/>
      <c r="BJ3" s="59"/>
      <c r="BK3" s="59"/>
    </row>
    <row r="4" spans="1:73" ht="12.75" customHeight="1">
      <c r="A4" s="118"/>
      <c r="B4" s="117"/>
      <c r="C4" s="118"/>
      <c r="D4" s="117"/>
      <c r="E4" s="35"/>
      <c r="F4" s="35"/>
      <c r="G4" s="32"/>
      <c r="H4" s="27" t="s">
        <v>82</v>
      </c>
      <c r="J4" s="129" t="s">
        <v>81</v>
      </c>
      <c r="K4" s="129"/>
      <c r="L4" s="129"/>
      <c r="M4" s="129"/>
      <c r="N4" s="20">
        <f>AJ2+AK2</f>
        <v>0</v>
      </c>
      <c r="O4" s="9"/>
      <c r="P4" s="8"/>
      <c r="Q4" s="2"/>
      <c r="R4" s="30"/>
      <c r="S4" s="2"/>
      <c r="T4" s="2"/>
      <c r="U4" s="2"/>
      <c r="W4" s="122"/>
      <c r="AF4" s="29" t="str">
        <f t="shared" ref="AF4:AH5" si="3">IF($AJ$2=0,"",IF($AE$1=0,"",AF16))</f>
        <v/>
      </c>
      <c r="AG4" s="29" t="str">
        <f t="shared" si="3"/>
        <v/>
      </c>
      <c r="AH4" s="29" t="str">
        <f t="shared" si="3"/>
        <v/>
      </c>
      <c r="AJ4" s="58" t="str">
        <f t="shared" ref="AJ4:AM67" si="4">IF(A5=0,"0",1)</f>
        <v>0</v>
      </c>
      <c r="AK4" s="58" t="str">
        <f t="shared" si="4"/>
        <v>0</v>
      </c>
      <c r="AL4" s="58" t="str">
        <f t="shared" si="4"/>
        <v>0</v>
      </c>
      <c r="AM4" s="58" t="str">
        <f t="shared" si="4"/>
        <v>0</v>
      </c>
      <c r="AN4" s="58" t="str">
        <f t="shared" si="1"/>
        <v>0</v>
      </c>
      <c r="AO4" s="58" t="str">
        <f t="shared" si="2"/>
        <v>0</v>
      </c>
      <c r="AQ4" s="58"/>
      <c r="BI4" s="60"/>
      <c r="BJ4" s="60"/>
      <c r="BK4" s="60"/>
      <c r="BP4" s="29">
        <f>IF(F4=0,0,IF(AND(E4=0,F4&lt;80),1,0))</f>
        <v>0</v>
      </c>
      <c r="BQ4" s="29">
        <f>IF(F4=0,0,IF(AND(E4="x",F4&gt;109),1,0))</f>
        <v>0</v>
      </c>
      <c r="BU4" s="29">
        <f>IF(A4=0,0,1)</f>
        <v>0</v>
      </c>
    </row>
    <row r="5" spans="1:73" ht="12.75" customHeight="1">
      <c r="A5" s="118"/>
      <c r="B5" s="117"/>
      <c r="C5" s="118"/>
      <c r="D5" s="117"/>
      <c r="E5" s="35"/>
      <c r="F5" s="35"/>
      <c r="G5" s="32"/>
      <c r="H5" s="27" t="s">
        <v>82</v>
      </c>
      <c r="J5" s="129" t="s">
        <v>79</v>
      </c>
      <c r="K5" s="129"/>
      <c r="L5" s="129"/>
      <c r="M5" s="129"/>
      <c r="N5" s="20">
        <f>AL2+AM2</f>
        <v>0</v>
      </c>
      <c r="O5" s="9"/>
      <c r="P5" s="8"/>
      <c r="Q5" s="2"/>
      <c r="R5" s="2"/>
      <c r="S5" s="2"/>
      <c r="T5" s="2"/>
      <c r="U5" s="2"/>
      <c r="AF5" s="29" t="str">
        <f t="shared" si="3"/>
        <v/>
      </c>
      <c r="AG5" s="29" t="str">
        <f t="shared" si="3"/>
        <v/>
      </c>
      <c r="AH5" s="29" t="str">
        <f t="shared" si="3"/>
        <v/>
      </c>
      <c r="AJ5" s="58" t="str">
        <f t="shared" si="4"/>
        <v>0</v>
      </c>
      <c r="AK5" s="58" t="str">
        <f t="shared" si="4"/>
        <v>0</v>
      </c>
      <c r="AL5" s="58" t="str">
        <f t="shared" si="4"/>
        <v>0</v>
      </c>
      <c r="AM5" s="58" t="str">
        <f t="shared" si="4"/>
        <v>0</v>
      </c>
      <c r="AN5" s="58" t="str">
        <f t="shared" si="1"/>
        <v>0</v>
      </c>
      <c r="AO5" s="58" t="str">
        <f t="shared" si="2"/>
        <v>0</v>
      </c>
      <c r="AQ5" s="58"/>
      <c r="BL5" s="29">
        <f>COUNTIF(E4:E70,"x")</f>
        <v>0</v>
      </c>
      <c r="BM5" s="58">
        <f>IF(G4=0,0,E4)</f>
        <v>0</v>
      </c>
      <c r="BN5" s="29">
        <f>COUNTIF(BM4:BM70,"x")</f>
        <v>0</v>
      </c>
      <c r="BP5" s="29">
        <f t="shared" ref="BP5:BP68" si="5">IF(F5=0,0,IF(AND(E5=0,F5&lt;80),1,0))</f>
        <v>0</v>
      </c>
      <c r="BQ5" s="29">
        <f t="shared" ref="BQ5:BQ68" si="6">IF(F5=0,0,IF(AND(E5="x",F5&gt;109),1,0))</f>
        <v>0</v>
      </c>
    </row>
    <row r="6" spans="1:73" ht="12.75" customHeight="1">
      <c r="A6" s="118"/>
      <c r="B6" s="117"/>
      <c r="C6" s="118"/>
      <c r="D6" s="117"/>
      <c r="E6" s="35"/>
      <c r="F6" s="35"/>
      <c r="G6" s="32"/>
      <c r="H6" s="27" t="s">
        <v>82</v>
      </c>
      <c r="J6" s="129" t="s">
        <v>80</v>
      </c>
      <c r="K6" s="129"/>
      <c r="L6" s="129"/>
      <c r="M6" s="129"/>
      <c r="N6" s="19">
        <f>AN2+AO2</f>
        <v>0</v>
      </c>
      <c r="P6" s="5"/>
      <c r="Q6" s="2"/>
      <c r="R6" s="2"/>
      <c r="S6" s="2"/>
      <c r="T6" s="2"/>
      <c r="U6" s="2"/>
      <c r="AJ6" s="58" t="str">
        <f t="shared" si="4"/>
        <v>0</v>
      </c>
      <c r="AK6" s="58" t="str">
        <f t="shared" si="4"/>
        <v>0</v>
      </c>
      <c r="AL6" s="58" t="str">
        <f t="shared" si="4"/>
        <v>0</v>
      </c>
      <c r="AM6" s="58" t="str">
        <f t="shared" si="4"/>
        <v>0</v>
      </c>
      <c r="AN6" s="58" t="str">
        <f t="shared" si="1"/>
        <v>0</v>
      </c>
      <c r="AO6" s="58" t="str">
        <f t="shared" si="2"/>
        <v>0</v>
      </c>
      <c r="AP6" s="29" t="s">
        <v>83</v>
      </c>
      <c r="AQ6" s="58"/>
      <c r="BM6" s="58">
        <f t="shared" ref="BM6:BM69" si="7">IF(G5=0,0,E5)</f>
        <v>0</v>
      </c>
      <c r="BP6" s="29">
        <f t="shared" si="5"/>
        <v>0</v>
      </c>
      <c r="BQ6" s="29">
        <f t="shared" si="6"/>
        <v>0</v>
      </c>
    </row>
    <row r="7" spans="1:73" ht="12.75" customHeight="1">
      <c r="A7" s="118"/>
      <c r="B7" s="117"/>
      <c r="C7" s="119"/>
      <c r="D7" s="120"/>
      <c r="E7" s="35"/>
      <c r="F7" s="35"/>
      <c r="G7" s="32"/>
      <c r="H7" s="27" t="s">
        <v>82</v>
      </c>
      <c r="P7" s="6"/>
      <c r="Q7" s="2"/>
      <c r="R7" s="2"/>
      <c r="S7" s="2"/>
      <c r="T7" s="2"/>
      <c r="U7" s="2"/>
      <c r="AJ7" s="58" t="str">
        <f t="shared" si="4"/>
        <v>0</v>
      </c>
      <c r="AK7" s="58" t="str">
        <f t="shared" si="4"/>
        <v>0</v>
      </c>
      <c r="AL7" s="58" t="str">
        <f t="shared" si="4"/>
        <v>0</v>
      </c>
      <c r="AM7" s="58" t="str">
        <f t="shared" si="4"/>
        <v>0</v>
      </c>
      <c r="AN7" s="58" t="str">
        <f t="shared" si="1"/>
        <v>0</v>
      </c>
      <c r="AO7" s="58" t="str">
        <f t="shared" si="2"/>
        <v>0</v>
      </c>
      <c r="AP7" s="29" t="s">
        <v>84</v>
      </c>
      <c r="AQ7" s="58"/>
      <c r="BM7" s="58">
        <f t="shared" si="7"/>
        <v>0</v>
      </c>
      <c r="BP7" s="29">
        <f t="shared" si="5"/>
        <v>0</v>
      </c>
      <c r="BQ7" s="29">
        <f t="shared" si="6"/>
        <v>0</v>
      </c>
    </row>
    <row r="8" spans="1:73" ht="12.75" customHeight="1">
      <c r="A8" s="118"/>
      <c r="B8" s="117"/>
      <c r="C8" s="119"/>
      <c r="D8" s="120"/>
      <c r="E8" s="35"/>
      <c r="F8" s="35"/>
      <c r="G8" s="32"/>
      <c r="H8" s="27" t="s">
        <v>82</v>
      </c>
      <c r="J8" s="12" t="s">
        <v>21</v>
      </c>
      <c r="K8" s="25" t="str">
        <f>BB8</f>
        <v/>
      </c>
      <c r="L8" s="25" t="str">
        <f t="shared" ref="L8:L25" si="8">BC8</f>
        <v/>
      </c>
      <c r="M8" s="21" t="s">
        <v>52</v>
      </c>
      <c r="N8" s="25" t="str">
        <f>BD8</f>
        <v/>
      </c>
      <c r="O8" s="25" t="str">
        <f t="shared" ref="O8:O25" si="9">BE8</f>
        <v/>
      </c>
      <c r="P8" s="5"/>
      <c r="Q8" s="2"/>
      <c r="R8" s="2"/>
      <c r="S8" s="2"/>
      <c r="T8" s="2"/>
      <c r="U8" s="2"/>
      <c r="AJ8" s="58" t="str">
        <f t="shared" si="4"/>
        <v>0</v>
      </c>
      <c r="AK8" s="58" t="str">
        <f t="shared" si="4"/>
        <v>0</v>
      </c>
      <c r="AL8" s="58" t="str">
        <f t="shared" si="4"/>
        <v>0</v>
      </c>
      <c r="AM8" s="58" t="str">
        <f t="shared" si="4"/>
        <v>0</v>
      </c>
      <c r="AN8" s="58" t="str">
        <f t="shared" si="1"/>
        <v>0</v>
      </c>
      <c r="AO8" s="58" t="str">
        <f t="shared" si="2"/>
        <v>0</v>
      </c>
      <c r="AP8" s="29" t="s">
        <v>85</v>
      </c>
      <c r="AQ8" s="58"/>
      <c r="AU8" s="61" t="e">
        <f>'4'!R19</f>
        <v>#DIV/0!</v>
      </c>
      <c r="AV8" s="62" t="e">
        <f>'5'!R6</f>
        <v>#DIV/0!</v>
      </c>
      <c r="AX8" s="61" t="e">
        <f>'4'!T19</f>
        <v>#DIV/0!</v>
      </c>
      <c r="AY8" s="61" t="e">
        <f>'5'!T6</f>
        <v>#DIV/0!</v>
      </c>
      <c r="BB8" s="29" t="str">
        <f t="shared" ref="BB8:BB25" si="10">IF($AJ$2=0,"",IF($AE$1=0,"",IF($AP$2="A",AU8,"")))</f>
        <v/>
      </c>
      <c r="BC8" s="29" t="str">
        <f t="shared" ref="BC8:BC25" si="11">IF($AJ$2=0,"",IF($AE$1=0,"",IF($AQ$2="A",AV8,"")))</f>
        <v/>
      </c>
      <c r="BD8" s="29" t="str">
        <f t="shared" ref="BD8:BD25" si="12">IF($AJ$2=0,"",IF($AE$1=0,"",IF($AP$2="A",AX8,"")))</f>
        <v/>
      </c>
      <c r="BE8" s="29" t="str">
        <f t="shared" ref="BE8:BE25" si="13">IF($AJ$2=0,"",IF($AE$1=0,"",IF($AQ$2="A",AY8,"")))</f>
        <v/>
      </c>
      <c r="BM8" s="58">
        <f t="shared" si="7"/>
        <v>0</v>
      </c>
      <c r="BP8" s="29">
        <f t="shared" si="5"/>
        <v>0</v>
      </c>
      <c r="BQ8" s="29">
        <f t="shared" si="6"/>
        <v>0</v>
      </c>
    </row>
    <row r="9" spans="1:73" ht="12.75" customHeight="1">
      <c r="A9" s="118"/>
      <c r="B9" s="117"/>
      <c r="C9" s="119"/>
      <c r="D9" s="120"/>
      <c r="E9" s="35"/>
      <c r="F9" s="35"/>
      <c r="G9" s="32"/>
      <c r="H9" s="27" t="s">
        <v>82</v>
      </c>
      <c r="J9" s="13" t="s">
        <v>49</v>
      </c>
      <c r="K9" s="25" t="str">
        <f t="shared" ref="K9:K25" si="14">BB9</f>
        <v/>
      </c>
      <c r="L9" s="25" t="str">
        <f t="shared" si="8"/>
        <v/>
      </c>
      <c r="M9" s="22" t="s">
        <v>66</v>
      </c>
      <c r="N9" s="25" t="str">
        <f t="shared" ref="N9:N25" si="15">BD9</f>
        <v/>
      </c>
      <c r="O9" s="25" t="str">
        <f t="shared" si="9"/>
        <v/>
      </c>
      <c r="P9" s="5"/>
      <c r="Q9" s="2"/>
      <c r="R9" s="2"/>
      <c r="S9" s="130" t="str">
        <f>AF4</f>
        <v/>
      </c>
      <c r="T9" s="130"/>
      <c r="U9" s="2"/>
      <c r="AJ9" s="58" t="str">
        <f t="shared" si="4"/>
        <v>0</v>
      </c>
      <c r="AK9" s="58" t="str">
        <f t="shared" si="4"/>
        <v>0</v>
      </c>
      <c r="AL9" s="58" t="str">
        <f t="shared" si="4"/>
        <v>0</v>
      </c>
      <c r="AM9" s="58" t="str">
        <f t="shared" si="4"/>
        <v>0</v>
      </c>
      <c r="AN9" s="58" t="str">
        <f t="shared" si="1"/>
        <v>0</v>
      </c>
      <c r="AO9" s="58" t="str">
        <f t="shared" si="2"/>
        <v>0</v>
      </c>
      <c r="AP9" s="29" t="s">
        <v>86</v>
      </c>
      <c r="AQ9" s="58"/>
      <c r="AU9" s="63" t="e">
        <f>'4'!R20</f>
        <v>#DIV/0!</v>
      </c>
      <c r="AV9" s="64" t="e">
        <f>'5'!R7</f>
        <v>#DIV/0!</v>
      </c>
      <c r="AX9" s="63" t="e">
        <f>'4'!T29</f>
        <v>#DIV/0!</v>
      </c>
      <c r="AY9" s="63" t="e">
        <f>'5'!T16</f>
        <v>#DIV/0!</v>
      </c>
      <c r="BB9" s="29" t="str">
        <f t="shared" si="10"/>
        <v/>
      </c>
      <c r="BC9" s="29" t="str">
        <f t="shared" si="11"/>
        <v/>
      </c>
      <c r="BD9" s="29" t="str">
        <f t="shared" si="12"/>
        <v/>
      </c>
      <c r="BE9" s="29" t="str">
        <f t="shared" si="13"/>
        <v/>
      </c>
      <c r="BM9" s="58">
        <f t="shared" si="7"/>
        <v>0</v>
      </c>
      <c r="BP9" s="29">
        <f t="shared" si="5"/>
        <v>0</v>
      </c>
      <c r="BQ9" s="29">
        <f t="shared" si="6"/>
        <v>0</v>
      </c>
    </row>
    <row r="10" spans="1:73" ht="12.75" customHeight="1">
      <c r="A10" s="118"/>
      <c r="B10" s="117"/>
      <c r="C10" s="119"/>
      <c r="D10" s="120"/>
      <c r="E10" s="35"/>
      <c r="F10" s="35"/>
      <c r="G10" s="32"/>
      <c r="H10" s="27" t="s">
        <v>82</v>
      </c>
      <c r="J10" s="14" t="s">
        <v>50</v>
      </c>
      <c r="K10" s="25" t="str">
        <f t="shared" si="14"/>
        <v/>
      </c>
      <c r="L10" s="25" t="str">
        <f t="shared" si="8"/>
        <v/>
      </c>
      <c r="M10" s="23" t="s">
        <v>67</v>
      </c>
      <c r="N10" s="25" t="str">
        <f t="shared" si="15"/>
        <v/>
      </c>
      <c r="O10" s="25" t="str">
        <f t="shared" si="9"/>
        <v/>
      </c>
      <c r="P10" s="5"/>
      <c r="Q10" s="2"/>
      <c r="R10" s="2"/>
      <c r="S10" s="130"/>
      <c r="T10" s="130"/>
      <c r="U10" s="2"/>
      <c r="AJ10" s="58" t="str">
        <f t="shared" si="4"/>
        <v>0</v>
      </c>
      <c r="AK10" s="58" t="str">
        <f t="shared" si="4"/>
        <v>0</v>
      </c>
      <c r="AL10" s="58" t="str">
        <f t="shared" si="4"/>
        <v>0</v>
      </c>
      <c r="AM10" s="58" t="str">
        <f t="shared" si="4"/>
        <v>0</v>
      </c>
      <c r="AN10" s="58" t="str">
        <f t="shared" si="1"/>
        <v>0</v>
      </c>
      <c r="AO10" s="58" t="str">
        <f t="shared" si="2"/>
        <v>0</v>
      </c>
      <c r="AQ10" s="58"/>
      <c r="AU10" s="63">
        <f>'4'!R21</f>
        <v>0</v>
      </c>
      <c r="AV10" s="64">
        <f>'5'!R8</f>
        <v>0</v>
      </c>
      <c r="AX10" s="63" t="e">
        <f>'4'!T20</f>
        <v>#DIV/0!</v>
      </c>
      <c r="AY10" s="63" t="e">
        <f>'5'!T7</f>
        <v>#DIV/0!</v>
      </c>
      <c r="BB10" s="29" t="str">
        <f t="shared" si="10"/>
        <v/>
      </c>
      <c r="BC10" s="29" t="str">
        <f t="shared" si="11"/>
        <v/>
      </c>
      <c r="BD10" s="29" t="str">
        <f t="shared" si="12"/>
        <v/>
      </c>
      <c r="BE10" s="29" t="str">
        <f t="shared" si="13"/>
        <v/>
      </c>
      <c r="BM10" s="58">
        <f t="shared" si="7"/>
        <v>0</v>
      </c>
      <c r="BP10" s="29">
        <f t="shared" si="5"/>
        <v>0</v>
      </c>
      <c r="BQ10" s="29">
        <f t="shared" si="6"/>
        <v>0</v>
      </c>
    </row>
    <row r="11" spans="1:73" ht="12.75" customHeight="1">
      <c r="A11" s="118"/>
      <c r="B11" s="117"/>
      <c r="C11" s="119"/>
      <c r="D11" s="120"/>
      <c r="E11" s="35"/>
      <c r="F11" s="35"/>
      <c r="G11" s="32"/>
      <c r="H11" s="27" t="s">
        <v>82</v>
      </c>
      <c r="J11" s="14" t="s">
        <v>26</v>
      </c>
      <c r="K11" s="25" t="str">
        <f t="shared" si="14"/>
        <v/>
      </c>
      <c r="L11" s="25" t="str">
        <f t="shared" si="8"/>
        <v/>
      </c>
      <c r="M11" s="23" t="s">
        <v>53</v>
      </c>
      <c r="N11" s="25" t="str">
        <f t="shared" si="15"/>
        <v/>
      </c>
      <c r="O11" s="25" t="str">
        <f t="shared" si="9"/>
        <v/>
      </c>
      <c r="P11" s="6"/>
      <c r="Q11" s="2"/>
      <c r="R11" s="2"/>
      <c r="S11" s="130" t="str">
        <f>AF5</f>
        <v/>
      </c>
      <c r="T11" s="131"/>
      <c r="U11" s="2"/>
      <c r="AJ11" s="58" t="str">
        <f t="shared" si="4"/>
        <v>0</v>
      </c>
      <c r="AK11" s="58" t="str">
        <f t="shared" si="4"/>
        <v>0</v>
      </c>
      <c r="AL11" s="58" t="str">
        <f t="shared" si="4"/>
        <v>0</v>
      </c>
      <c r="AM11" s="58" t="str">
        <f t="shared" si="4"/>
        <v>0</v>
      </c>
      <c r="AN11" s="58" t="str">
        <f t="shared" si="1"/>
        <v>0</v>
      </c>
      <c r="AO11" s="58" t="str">
        <f t="shared" si="2"/>
        <v>0</v>
      </c>
      <c r="AP11" s="29" t="s">
        <v>87</v>
      </c>
      <c r="AQ11" s="58"/>
      <c r="AU11" s="63" t="e">
        <f>'4'!R22</f>
        <v>#DIV/0!</v>
      </c>
      <c r="AV11" s="64" t="e">
        <f>'5'!R9</f>
        <v>#DIV/0!</v>
      </c>
      <c r="AX11" s="63">
        <f>'4'!T21</f>
        <v>0</v>
      </c>
      <c r="AY11" s="63">
        <f>'5'!T8</f>
        <v>0</v>
      </c>
      <c r="BB11" s="29" t="str">
        <f t="shared" si="10"/>
        <v/>
      </c>
      <c r="BC11" s="29" t="str">
        <f t="shared" si="11"/>
        <v/>
      </c>
      <c r="BD11" s="29" t="str">
        <f t="shared" si="12"/>
        <v/>
      </c>
      <c r="BE11" s="29" t="str">
        <f t="shared" si="13"/>
        <v/>
      </c>
      <c r="BM11" s="58">
        <f t="shared" si="7"/>
        <v>0</v>
      </c>
      <c r="BP11" s="29">
        <f t="shared" si="5"/>
        <v>0</v>
      </c>
      <c r="BQ11" s="29">
        <f t="shared" si="6"/>
        <v>0</v>
      </c>
    </row>
    <row r="12" spans="1:73" ht="12.75" customHeight="1">
      <c r="A12" s="118"/>
      <c r="B12" s="117"/>
      <c r="C12" s="119"/>
      <c r="D12" s="120"/>
      <c r="E12" s="35"/>
      <c r="F12" s="35"/>
      <c r="G12" s="32"/>
      <c r="H12" s="27" t="s">
        <v>82</v>
      </c>
      <c r="J12" s="14" t="s">
        <v>17</v>
      </c>
      <c r="K12" s="25" t="str">
        <f t="shared" si="14"/>
        <v/>
      </c>
      <c r="L12" s="25" t="str">
        <f t="shared" si="8"/>
        <v/>
      </c>
      <c r="M12" s="23" t="s">
        <v>54</v>
      </c>
      <c r="N12" s="25" t="str">
        <f t="shared" si="15"/>
        <v/>
      </c>
      <c r="O12" s="25" t="str">
        <f t="shared" si="9"/>
        <v/>
      </c>
      <c r="P12" s="5"/>
      <c r="Q12" s="2"/>
      <c r="R12" s="2"/>
      <c r="S12" s="131"/>
      <c r="T12" s="131"/>
      <c r="U12" s="2"/>
      <c r="AJ12" s="58" t="str">
        <f t="shared" si="4"/>
        <v>0</v>
      </c>
      <c r="AK12" s="58" t="str">
        <f t="shared" si="4"/>
        <v>0</v>
      </c>
      <c r="AL12" s="58" t="str">
        <f t="shared" si="4"/>
        <v>0</v>
      </c>
      <c r="AM12" s="58" t="str">
        <f t="shared" si="4"/>
        <v>0</v>
      </c>
      <c r="AN12" s="58" t="str">
        <f t="shared" si="1"/>
        <v>0</v>
      </c>
      <c r="AO12" s="58" t="str">
        <f t="shared" si="2"/>
        <v>0</v>
      </c>
      <c r="AP12" s="29" t="s">
        <v>88</v>
      </c>
      <c r="AQ12" s="58"/>
      <c r="AU12" s="63" t="e">
        <f>'4'!R23</f>
        <v>#DIV/0!</v>
      </c>
      <c r="AV12" s="64" t="e">
        <f>'5'!R10</f>
        <v>#DIV/0!</v>
      </c>
      <c r="AX12" s="63" t="e">
        <f>'4'!T25</f>
        <v>#DIV/0!</v>
      </c>
      <c r="AY12" s="63" t="e">
        <f>'5'!T12</f>
        <v>#DIV/0!</v>
      </c>
      <c r="BB12" s="29" t="str">
        <f t="shared" si="10"/>
        <v/>
      </c>
      <c r="BC12" s="29" t="str">
        <f t="shared" si="11"/>
        <v/>
      </c>
      <c r="BD12" s="29" t="str">
        <f t="shared" si="12"/>
        <v/>
      </c>
      <c r="BE12" s="29" t="str">
        <f t="shared" si="13"/>
        <v/>
      </c>
      <c r="BM12" s="58">
        <f t="shared" si="7"/>
        <v>0</v>
      </c>
      <c r="BP12" s="29">
        <f t="shared" si="5"/>
        <v>0</v>
      </c>
      <c r="BQ12" s="29">
        <f t="shared" si="6"/>
        <v>0</v>
      </c>
    </row>
    <row r="13" spans="1:73" ht="12.75" customHeight="1">
      <c r="A13" s="118"/>
      <c r="B13" s="117"/>
      <c r="C13" s="119"/>
      <c r="D13" s="120"/>
      <c r="E13" s="35"/>
      <c r="F13" s="35"/>
      <c r="G13" s="32"/>
      <c r="H13" s="27" t="s">
        <v>82</v>
      </c>
      <c r="J13" s="14" t="s">
        <v>18</v>
      </c>
      <c r="K13" s="25" t="str">
        <f t="shared" si="14"/>
        <v/>
      </c>
      <c r="L13" s="25" t="str">
        <f t="shared" si="8"/>
        <v/>
      </c>
      <c r="M13" s="22" t="s">
        <v>68</v>
      </c>
      <c r="N13" s="25" t="str">
        <f t="shared" si="15"/>
        <v/>
      </c>
      <c r="O13" s="25" t="str">
        <f t="shared" si="9"/>
        <v/>
      </c>
      <c r="P13" s="5"/>
      <c r="Q13" s="2"/>
      <c r="R13" s="2"/>
      <c r="S13" s="2"/>
      <c r="T13" s="2"/>
      <c r="U13" s="2"/>
      <c r="AF13" s="65" t="e">
        <f>'7'!A1</f>
        <v>#DIV/0!</v>
      </c>
      <c r="AG13" s="66" t="e">
        <f>'8'!A1</f>
        <v>#DIV/0!</v>
      </c>
      <c r="AH13" s="66" t="e">
        <f>'9'!A1</f>
        <v>#DIV/0!</v>
      </c>
      <c r="AI13" s="67"/>
      <c r="AJ13" s="58" t="str">
        <f t="shared" si="4"/>
        <v>0</v>
      </c>
      <c r="AK13" s="58" t="str">
        <f t="shared" si="4"/>
        <v>0</v>
      </c>
      <c r="AL13" s="58" t="str">
        <f t="shared" si="4"/>
        <v>0</v>
      </c>
      <c r="AM13" s="58" t="str">
        <f t="shared" si="4"/>
        <v>0</v>
      </c>
      <c r="AN13" s="58" t="str">
        <f t="shared" si="1"/>
        <v>0</v>
      </c>
      <c r="AO13" s="58" t="str">
        <f t="shared" si="2"/>
        <v>0</v>
      </c>
      <c r="AQ13" s="58"/>
      <c r="AU13" s="63" t="e">
        <f>'4'!R24</f>
        <v>#DIV/0!</v>
      </c>
      <c r="AV13" s="64" t="e">
        <f>'5'!R11</f>
        <v>#DIV/0!</v>
      </c>
      <c r="AX13" s="63" t="e">
        <f>'4'!T31</f>
        <v>#DIV/0!</v>
      </c>
      <c r="AY13" s="63" t="e">
        <f>'5'!T18</f>
        <v>#DIV/0!</v>
      </c>
      <c r="BB13" s="29" t="str">
        <f t="shared" si="10"/>
        <v/>
      </c>
      <c r="BC13" s="29" t="str">
        <f t="shared" si="11"/>
        <v/>
      </c>
      <c r="BD13" s="29" t="str">
        <f t="shared" si="12"/>
        <v/>
      </c>
      <c r="BE13" s="29" t="str">
        <f t="shared" si="13"/>
        <v/>
      </c>
      <c r="BM13" s="58">
        <f t="shared" si="7"/>
        <v>0</v>
      </c>
      <c r="BP13" s="29">
        <f t="shared" si="5"/>
        <v>0</v>
      </c>
      <c r="BQ13" s="29">
        <f t="shared" si="6"/>
        <v>0</v>
      </c>
    </row>
    <row r="14" spans="1:73" ht="12.75" customHeight="1">
      <c r="A14" s="118"/>
      <c r="B14" s="117"/>
      <c r="C14" s="119"/>
      <c r="D14" s="120"/>
      <c r="E14" s="35"/>
      <c r="F14" s="35"/>
      <c r="G14" s="32"/>
      <c r="H14" s="27" t="s">
        <v>82</v>
      </c>
      <c r="J14" s="14" t="s">
        <v>27</v>
      </c>
      <c r="K14" s="25" t="str">
        <f t="shared" si="14"/>
        <v/>
      </c>
      <c r="L14" s="25" t="str">
        <f t="shared" si="8"/>
        <v/>
      </c>
      <c r="M14" s="23" t="s">
        <v>69</v>
      </c>
      <c r="N14" s="25" t="str">
        <f t="shared" si="15"/>
        <v/>
      </c>
      <c r="O14" s="25" t="str">
        <f t="shared" si="9"/>
        <v/>
      </c>
      <c r="P14" s="5"/>
      <c r="Q14" s="2"/>
      <c r="R14" s="2"/>
      <c r="S14" s="2"/>
      <c r="T14" s="2"/>
      <c r="U14" s="2"/>
      <c r="AF14" s="65" t="e">
        <f>'7'!A2</f>
        <v>#DIV/0!</v>
      </c>
      <c r="AG14" s="66" t="e">
        <f>'8'!A2</f>
        <v>#DIV/0!</v>
      </c>
      <c r="AH14" s="66" t="e">
        <f>'9'!A2</f>
        <v>#DIV/0!</v>
      </c>
      <c r="AI14" s="67"/>
      <c r="AJ14" s="58" t="str">
        <f t="shared" si="4"/>
        <v>0</v>
      </c>
      <c r="AK14" s="58" t="str">
        <f t="shared" si="4"/>
        <v>0</v>
      </c>
      <c r="AL14" s="58" t="str">
        <f t="shared" si="4"/>
        <v>0</v>
      </c>
      <c r="AM14" s="58" t="str">
        <f t="shared" si="4"/>
        <v>0</v>
      </c>
      <c r="AN14" s="58" t="str">
        <f t="shared" si="1"/>
        <v>0</v>
      </c>
      <c r="AO14" s="58" t="str">
        <f t="shared" si="2"/>
        <v>0</v>
      </c>
      <c r="AQ14" s="58"/>
      <c r="AU14" s="63" t="e">
        <f>'4'!R25</f>
        <v>#DIV/0!</v>
      </c>
      <c r="AV14" s="64" t="e">
        <f>'5'!R12</f>
        <v>#DIV/0!</v>
      </c>
      <c r="AX14" s="63" t="e">
        <f>'4'!T26</f>
        <v>#DIV/0!</v>
      </c>
      <c r="AY14" s="63" t="e">
        <f>'5'!T13</f>
        <v>#DIV/0!</v>
      </c>
      <c r="BB14" s="29" t="str">
        <f t="shared" si="10"/>
        <v/>
      </c>
      <c r="BC14" s="29" t="str">
        <f t="shared" si="11"/>
        <v/>
      </c>
      <c r="BD14" s="29" t="str">
        <f t="shared" si="12"/>
        <v/>
      </c>
      <c r="BE14" s="29" t="str">
        <f t="shared" si="13"/>
        <v/>
      </c>
      <c r="BM14" s="58">
        <f t="shared" si="7"/>
        <v>0</v>
      </c>
      <c r="BP14" s="29">
        <f t="shared" si="5"/>
        <v>0</v>
      </c>
      <c r="BQ14" s="29">
        <f t="shared" si="6"/>
        <v>0</v>
      </c>
    </row>
    <row r="15" spans="1:73" ht="12.75" customHeight="1">
      <c r="A15" s="118"/>
      <c r="B15" s="117"/>
      <c r="C15" s="119"/>
      <c r="D15" s="120"/>
      <c r="E15" s="35"/>
      <c r="F15" s="35"/>
      <c r="G15" s="32"/>
      <c r="H15" s="27" t="s">
        <v>82</v>
      </c>
      <c r="J15" s="14" t="s">
        <v>65</v>
      </c>
      <c r="K15" s="25" t="str">
        <f t="shared" si="14"/>
        <v/>
      </c>
      <c r="L15" s="25" t="str">
        <f t="shared" si="8"/>
        <v/>
      </c>
      <c r="M15" s="23" t="s">
        <v>55</v>
      </c>
      <c r="N15" s="25" t="str">
        <f t="shared" si="15"/>
        <v/>
      </c>
      <c r="O15" s="25" t="str">
        <f t="shared" si="9"/>
        <v/>
      </c>
      <c r="P15" s="5"/>
      <c r="Q15" s="2"/>
      <c r="R15" s="2"/>
      <c r="S15" s="130" t="str">
        <f>AG4</f>
        <v/>
      </c>
      <c r="T15" s="130"/>
      <c r="AJ15" s="58" t="str">
        <f t="shared" si="4"/>
        <v>0</v>
      </c>
      <c r="AK15" s="58" t="str">
        <f t="shared" si="4"/>
        <v>0</v>
      </c>
      <c r="AL15" s="58" t="str">
        <f t="shared" si="4"/>
        <v>0</v>
      </c>
      <c r="AM15" s="58" t="str">
        <f t="shared" si="4"/>
        <v>0</v>
      </c>
      <c r="AN15" s="58" t="str">
        <f t="shared" si="1"/>
        <v>0</v>
      </c>
      <c r="AO15" s="58" t="str">
        <f t="shared" si="2"/>
        <v>0</v>
      </c>
      <c r="AQ15" s="58"/>
      <c r="AU15" s="63" t="e">
        <f>'4'!R26</f>
        <v>#DIV/0!</v>
      </c>
      <c r="AV15" s="64" t="e">
        <f>'5'!R13</f>
        <v>#DIV/0!</v>
      </c>
      <c r="AX15" s="63">
        <f>'4'!T27</f>
        <v>0</v>
      </c>
      <c r="AY15" s="63">
        <f>'5'!T14</f>
        <v>0</v>
      </c>
      <c r="BB15" s="29" t="str">
        <f t="shared" si="10"/>
        <v/>
      </c>
      <c r="BC15" s="29" t="str">
        <f t="shared" si="11"/>
        <v/>
      </c>
      <c r="BD15" s="29" t="str">
        <f t="shared" si="12"/>
        <v/>
      </c>
      <c r="BE15" s="29" t="str">
        <f t="shared" si="13"/>
        <v/>
      </c>
      <c r="BM15" s="58">
        <f t="shared" si="7"/>
        <v>0</v>
      </c>
      <c r="BP15" s="29">
        <f t="shared" si="5"/>
        <v>0</v>
      </c>
      <c r="BQ15" s="29">
        <f t="shared" si="6"/>
        <v>0</v>
      </c>
    </row>
    <row r="16" spans="1:73" ht="12.75" customHeight="1">
      <c r="A16" s="118"/>
      <c r="B16" s="117"/>
      <c r="C16" s="119"/>
      <c r="D16" s="120"/>
      <c r="E16" s="35"/>
      <c r="F16" s="35"/>
      <c r="G16" s="32"/>
      <c r="H16" s="27" t="s">
        <v>82</v>
      </c>
      <c r="J16" s="14" t="s">
        <v>51</v>
      </c>
      <c r="K16" s="25" t="str">
        <f t="shared" si="14"/>
        <v/>
      </c>
      <c r="L16" s="25" t="str">
        <f t="shared" si="8"/>
        <v/>
      </c>
      <c r="M16" s="23" t="s">
        <v>56</v>
      </c>
      <c r="N16" s="25" t="str">
        <f t="shared" si="15"/>
        <v/>
      </c>
      <c r="O16" s="25" t="str">
        <f t="shared" si="9"/>
        <v/>
      </c>
      <c r="P16" s="5"/>
      <c r="Q16" s="2"/>
      <c r="R16" s="2"/>
      <c r="S16" s="130"/>
      <c r="T16" s="130"/>
      <c r="AF16" s="29" t="e">
        <f>IF(AP2="A",AF13,"")</f>
        <v>#DIV/0!</v>
      </c>
      <c r="AG16" s="29" t="e">
        <f>IF(AQ2="A",AG13,"")</f>
        <v>#DIV/0!</v>
      </c>
      <c r="AH16" s="29" t="e">
        <f>IF(AR3=2,AH13,"")</f>
        <v>#DIV/0!</v>
      </c>
      <c r="AJ16" s="58" t="str">
        <f t="shared" si="4"/>
        <v>0</v>
      </c>
      <c r="AK16" s="58" t="str">
        <f t="shared" si="4"/>
        <v>0</v>
      </c>
      <c r="AL16" s="58" t="str">
        <f t="shared" si="4"/>
        <v>0</v>
      </c>
      <c r="AM16" s="58" t="str">
        <f t="shared" si="4"/>
        <v>0</v>
      </c>
      <c r="AN16" s="58" t="str">
        <f t="shared" si="1"/>
        <v>0</v>
      </c>
      <c r="AO16" s="58" t="str">
        <f t="shared" si="2"/>
        <v>0</v>
      </c>
      <c r="AQ16" s="58"/>
      <c r="AU16" s="63">
        <f>'4'!R27</f>
        <v>0</v>
      </c>
      <c r="AV16" s="64">
        <f>'5'!R14</f>
        <v>0</v>
      </c>
      <c r="AX16" s="63" t="e">
        <f>'4'!T40</f>
        <v>#DIV/0!</v>
      </c>
      <c r="AY16" s="63" t="e">
        <f>'5'!T32</f>
        <v>#DIV/0!</v>
      </c>
      <c r="BB16" s="29" t="str">
        <f t="shared" si="10"/>
        <v/>
      </c>
      <c r="BC16" s="29" t="str">
        <f t="shared" si="11"/>
        <v/>
      </c>
      <c r="BD16" s="29" t="str">
        <f t="shared" si="12"/>
        <v/>
      </c>
      <c r="BE16" s="29" t="str">
        <f t="shared" si="13"/>
        <v/>
      </c>
      <c r="BM16" s="58">
        <f t="shared" si="7"/>
        <v>0</v>
      </c>
      <c r="BP16" s="29">
        <f t="shared" si="5"/>
        <v>0</v>
      </c>
      <c r="BQ16" s="29">
        <f t="shared" si="6"/>
        <v>0</v>
      </c>
    </row>
    <row r="17" spans="1:69" ht="12.75" customHeight="1">
      <c r="A17" s="118"/>
      <c r="B17" s="117"/>
      <c r="C17" s="119"/>
      <c r="D17" s="120"/>
      <c r="E17" s="35"/>
      <c r="F17" s="35"/>
      <c r="G17" s="32"/>
      <c r="H17" s="27" t="s">
        <v>82</v>
      </c>
      <c r="J17" s="14" t="s">
        <v>21</v>
      </c>
      <c r="K17" s="25" t="str">
        <f t="shared" si="14"/>
        <v/>
      </c>
      <c r="L17" s="25" t="str">
        <f t="shared" si="8"/>
        <v/>
      </c>
      <c r="M17" s="23" t="s">
        <v>58</v>
      </c>
      <c r="N17" s="25" t="str">
        <f t="shared" si="15"/>
        <v/>
      </c>
      <c r="O17" s="25" t="str">
        <f t="shared" si="9"/>
        <v/>
      </c>
      <c r="P17" s="5"/>
      <c r="Q17" s="2"/>
      <c r="R17" s="2"/>
      <c r="S17" s="130" t="str">
        <f>AG5</f>
        <v/>
      </c>
      <c r="T17" s="130"/>
      <c r="AF17" s="29" t="e">
        <f>IF(AP2="A",AF14,"")</f>
        <v>#DIV/0!</v>
      </c>
      <c r="AG17" s="29" t="e">
        <f>IF(AQ2="A",AG14,"")</f>
        <v>#DIV/0!</v>
      </c>
      <c r="AH17" s="29" t="e">
        <f>IF(AR3=2,AH14,"")</f>
        <v>#DIV/0!</v>
      </c>
      <c r="AJ17" s="58" t="str">
        <f t="shared" si="4"/>
        <v>0</v>
      </c>
      <c r="AK17" s="58" t="str">
        <f t="shared" si="4"/>
        <v>0</v>
      </c>
      <c r="AL17" s="58" t="str">
        <f t="shared" si="4"/>
        <v>0</v>
      </c>
      <c r="AM17" s="58" t="str">
        <f t="shared" si="4"/>
        <v>0</v>
      </c>
      <c r="AN17" s="58" t="str">
        <f t="shared" si="1"/>
        <v>0</v>
      </c>
      <c r="AO17" s="58" t="str">
        <f t="shared" si="2"/>
        <v>0</v>
      </c>
      <c r="AQ17" s="58"/>
      <c r="AU17" s="63" t="e">
        <f>'4'!S19</f>
        <v>#DIV/0!</v>
      </c>
      <c r="AV17" s="64" t="e">
        <f>'5'!S6</f>
        <v>#DIV/0!</v>
      </c>
      <c r="AX17" s="63" t="e">
        <f>'4'!T41</f>
        <v>#DIV/0!</v>
      </c>
      <c r="AY17" s="63" t="e">
        <f>'5'!T33</f>
        <v>#DIV/0!</v>
      </c>
      <c r="BB17" s="29" t="str">
        <f t="shared" si="10"/>
        <v/>
      </c>
      <c r="BC17" s="29" t="str">
        <f t="shared" si="11"/>
        <v/>
      </c>
      <c r="BD17" s="29" t="str">
        <f t="shared" si="12"/>
        <v/>
      </c>
      <c r="BE17" s="29" t="str">
        <f t="shared" si="13"/>
        <v/>
      </c>
      <c r="BM17" s="58">
        <f t="shared" si="7"/>
        <v>0</v>
      </c>
      <c r="BP17" s="29">
        <f t="shared" si="5"/>
        <v>0</v>
      </c>
      <c r="BQ17" s="29">
        <f t="shared" si="6"/>
        <v>0</v>
      </c>
    </row>
    <row r="18" spans="1:69" ht="12.75" customHeight="1">
      <c r="A18" s="118"/>
      <c r="B18" s="117"/>
      <c r="C18" s="119"/>
      <c r="D18" s="120"/>
      <c r="E18" s="35"/>
      <c r="F18" s="35"/>
      <c r="G18" s="32"/>
      <c r="H18" s="27" t="s">
        <v>82</v>
      </c>
      <c r="J18" s="13" t="s">
        <v>49</v>
      </c>
      <c r="K18" s="25" t="str">
        <f t="shared" si="14"/>
        <v/>
      </c>
      <c r="L18" s="25" t="str">
        <f t="shared" si="8"/>
        <v/>
      </c>
      <c r="M18" s="23" t="s">
        <v>57</v>
      </c>
      <c r="N18" s="25" t="str">
        <f t="shared" si="15"/>
        <v/>
      </c>
      <c r="O18" s="25" t="str">
        <f t="shared" si="9"/>
        <v/>
      </c>
      <c r="P18" s="5"/>
      <c r="Q18" s="2"/>
      <c r="R18" s="2"/>
      <c r="S18" s="130"/>
      <c r="T18" s="130"/>
      <c r="AJ18" s="58" t="str">
        <f t="shared" si="4"/>
        <v>0</v>
      </c>
      <c r="AK18" s="58" t="str">
        <f t="shared" si="4"/>
        <v>0</v>
      </c>
      <c r="AL18" s="58" t="str">
        <f t="shared" si="4"/>
        <v>0</v>
      </c>
      <c r="AM18" s="58" t="str">
        <f t="shared" si="4"/>
        <v>0</v>
      </c>
      <c r="AN18" s="58" t="str">
        <f t="shared" si="1"/>
        <v>0</v>
      </c>
      <c r="AO18" s="58" t="str">
        <f t="shared" si="2"/>
        <v>0</v>
      </c>
      <c r="AQ18" s="58"/>
      <c r="AU18" s="63" t="e">
        <f>'4'!S20</f>
        <v>#DIV/0!</v>
      </c>
      <c r="AV18" s="64" t="e">
        <f>'5'!S7</f>
        <v>#DIV/0!</v>
      </c>
      <c r="AX18" s="63" t="e">
        <f>'4'!T42</f>
        <v>#DIV/0!</v>
      </c>
      <c r="AY18" s="63" t="e">
        <f>'5'!T34</f>
        <v>#DIV/0!</v>
      </c>
      <c r="BB18" s="29" t="str">
        <f t="shared" si="10"/>
        <v/>
      </c>
      <c r="BC18" s="29" t="str">
        <f t="shared" si="11"/>
        <v/>
      </c>
      <c r="BD18" s="29" t="str">
        <f t="shared" si="12"/>
        <v/>
      </c>
      <c r="BE18" s="29" t="str">
        <f t="shared" si="13"/>
        <v/>
      </c>
      <c r="BM18" s="58">
        <f t="shared" si="7"/>
        <v>0</v>
      </c>
      <c r="BP18" s="29">
        <f t="shared" si="5"/>
        <v>0</v>
      </c>
      <c r="BQ18" s="29">
        <f t="shared" si="6"/>
        <v>0</v>
      </c>
    </row>
    <row r="19" spans="1:69" ht="12.75" customHeight="1">
      <c r="A19" s="118"/>
      <c r="B19" s="116"/>
      <c r="C19" s="119"/>
      <c r="D19" s="120"/>
      <c r="E19" s="35"/>
      <c r="F19" s="35"/>
      <c r="G19" s="32"/>
      <c r="H19" s="27" t="s">
        <v>82</v>
      </c>
      <c r="J19" s="14" t="s">
        <v>50</v>
      </c>
      <c r="K19" s="25" t="str">
        <f t="shared" si="14"/>
        <v/>
      </c>
      <c r="L19" s="25" t="str">
        <f t="shared" si="8"/>
        <v/>
      </c>
      <c r="M19" s="23" t="s">
        <v>59</v>
      </c>
      <c r="N19" s="25" t="str">
        <f t="shared" si="15"/>
        <v/>
      </c>
      <c r="O19" s="25" t="str">
        <f t="shared" si="9"/>
        <v/>
      </c>
      <c r="P19" s="5"/>
      <c r="Q19" s="2"/>
      <c r="R19" s="2"/>
      <c r="S19" s="2"/>
      <c r="T19" s="2"/>
      <c r="U19" s="2"/>
      <c r="AJ19" s="58" t="str">
        <f t="shared" si="4"/>
        <v>0</v>
      </c>
      <c r="AK19" s="58" t="str">
        <f t="shared" si="4"/>
        <v>0</v>
      </c>
      <c r="AL19" s="58" t="str">
        <f t="shared" si="4"/>
        <v>0</v>
      </c>
      <c r="AM19" s="58" t="str">
        <f t="shared" si="4"/>
        <v>0</v>
      </c>
      <c r="AN19" s="58" t="str">
        <f t="shared" si="1"/>
        <v>0</v>
      </c>
      <c r="AO19" s="58" t="str">
        <f t="shared" si="2"/>
        <v>0</v>
      </c>
      <c r="AQ19" s="58"/>
      <c r="AU19" s="63">
        <f>'4'!S21</f>
        <v>0</v>
      </c>
      <c r="AV19" s="64">
        <f>'5'!S8</f>
        <v>0</v>
      </c>
      <c r="AX19" s="63" t="e">
        <f>'4'!T43</f>
        <v>#DIV/0!</v>
      </c>
      <c r="AY19" s="63" t="e">
        <f>'5'!T35</f>
        <v>#DIV/0!</v>
      </c>
      <c r="BB19" s="29" t="str">
        <f t="shared" si="10"/>
        <v/>
      </c>
      <c r="BC19" s="29" t="str">
        <f t="shared" si="11"/>
        <v/>
      </c>
      <c r="BD19" s="29" t="str">
        <f t="shared" si="12"/>
        <v/>
      </c>
      <c r="BE19" s="29" t="str">
        <f t="shared" si="13"/>
        <v/>
      </c>
      <c r="BM19" s="58">
        <f t="shared" si="7"/>
        <v>0</v>
      </c>
      <c r="BP19" s="29">
        <f t="shared" si="5"/>
        <v>0</v>
      </c>
      <c r="BQ19" s="29">
        <f t="shared" si="6"/>
        <v>0</v>
      </c>
    </row>
    <row r="20" spans="1:69" ht="12.75" customHeight="1">
      <c r="A20" s="118"/>
      <c r="B20" s="116"/>
      <c r="C20" s="119"/>
      <c r="D20" s="120"/>
      <c r="E20" s="35"/>
      <c r="F20" s="35"/>
      <c r="G20" s="32"/>
      <c r="H20" s="27" t="s">
        <v>82</v>
      </c>
      <c r="J20" s="14" t="s">
        <v>26</v>
      </c>
      <c r="K20" s="25" t="str">
        <f t="shared" si="14"/>
        <v/>
      </c>
      <c r="L20" s="25" t="str">
        <f t="shared" si="8"/>
        <v/>
      </c>
      <c r="M20" s="23" t="s">
        <v>78</v>
      </c>
      <c r="N20" s="25" t="str">
        <f t="shared" si="15"/>
        <v/>
      </c>
      <c r="O20" s="25" t="str">
        <f t="shared" si="9"/>
        <v/>
      </c>
      <c r="P20" s="5"/>
      <c r="Q20" s="2"/>
      <c r="R20" s="2"/>
      <c r="S20" s="2"/>
      <c r="T20" s="2"/>
      <c r="U20" s="2"/>
      <c r="AJ20" s="58" t="str">
        <f t="shared" si="4"/>
        <v>0</v>
      </c>
      <c r="AK20" s="58" t="str">
        <f t="shared" si="4"/>
        <v>0</v>
      </c>
      <c r="AL20" s="58" t="str">
        <f t="shared" si="4"/>
        <v>0</v>
      </c>
      <c r="AM20" s="58" t="str">
        <f t="shared" si="4"/>
        <v>0</v>
      </c>
      <c r="AN20" s="58" t="str">
        <f t="shared" si="1"/>
        <v>0</v>
      </c>
      <c r="AO20" s="58" t="str">
        <f t="shared" si="2"/>
        <v>0</v>
      </c>
      <c r="AQ20" s="58"/>
      <c r="AU20" s="63" t="e">
        <f>'4'!S22</f>
        <v>#DIV/0!</v>
      </c>
      <c r="AV20" s="64" t="e">
        <f>'5'!S9</f>
        <v>#DIV/0!</v>
      </c>
      <c r="AX20" s="63">
        <f>'4'!T28</f>
        <v>1</v>
      </c>
      <c r="AY20" s="63">
        <f>'5'!T15</f>
        <v>1</v>
      </c>
      <c r="BB20" s="29" t="str">
        <f t="shared" si="10"/>
        <v/>
      </c>
      <c r="BC20" s="29" t="str">
        <f t="shared" si="11"/>
        <v/>
      </c>
      <c r="BD20" s="29" t="str">
        <f t="shared" si="12"/>
        <v/>
      </c>
      <c r="BE20" s="29" t="str">
        <f t="shared" si="13"/>
        <v/>
      </c>
      <c r="BM20" s="58">
        <f t="shared" si="7"/>
        <v>0</v>
      </c>
      <c r="BP20" s="29">
        <f t="shared" si="5"/>
        <v>0</v>
      </c>
      <c r="BQ20" s="29">
        <f t="shared" si="6"/>
        <v>0</v>
      </c>
    </row>
    <row r="21" spans="1:69" ht="12.75" customHeight="1">
      <c r="A21" s="118"/>
      <c r="B21" s="116"/>
      <c r="C21" s="119"/>
      <c r="D21" s="120"/>
      <c r="E21" s="35"/>
      <c r="F21" s="35"/>
      <c r="G21" s="32"/>
      <c r="H21" s="27" t="s">
        <v>82</v>
      </c>
      <c r="J21" s="14" t="s">
        <v>17</v>
      </c>
      <c r="K21" s="25" t="str">
        <f t="shared" si="14"/>
        <v/>
      </c>
      <c r="L21" s="25" t="str">
        <f t="shared" si="8"/>
        <v/>
      </c>
      <c r="M21" s="23" t="s">
        <v>60</v>
      </c>
      <c r="N21" s="25" t="str">
        <f t="shared" si="15"/>
        <v/>
      </c>
      <c r="O21" s="25" t="str">
        <f t="shared" si="9"/>
        <v/>
      </c>
      <c r="P21" s="5"/>
      <c r="Q21" s="2"/>
      <c r="R21" s="2"/>
      <c r="S21" s="130" t="str">
        <f>AH4</f>
        <v/>
      </c>
      <c r="T21" s="131"/>
      <c r="U21" s="2"/>
      <c r="AJ21" s="58" t="str">
        <f t="shared" si="4"/>
        <v>0</v>
      </c>
      <c r="AK21" s="58" t="str">
        <f t="shared" si="4"/>
        <v>0</v>
      </c>
      <c r="AL21" s="58" t="str">
        <f t="shared" si="4"/>
        <v>0</v>
      </c>
      <c r="AM21" s="58" t="str">
        <f t="shared" si="4"/>
        <v>0</v>
      </c>
      <c r="AN21" s="58" t="str">
        <f t="shared" si="1"/>
        <v>0</v>
      </c>
      <c r="AO21" s="58" t="str">
        <f t="shared" si="2"/>
        <v>0</v>
      </c>
      <c r="AQ21" s="58"/>
      <c r="AU21" s="63" t="e">
        <f>'4'!S23</f>
        <v>#DIV/0!</v>
      </c>
      <c r="AV21" s="64" t="e">
        <f>'5'!S10</f>
        <v>#DIV/0!</v>
      </c>
      <c r="AX21" s="63" t="e">
        <f>'4'!T44</f>
        <v>#DIV/0!</v>
      </c>
      <c r="AY21" s="63" t="e">
        <f>'5'!T36</f>
        <v>#DIV/0!</v>
      </c>
      <c r="BB21" s="29" t="str">
        <f t="shared" si="10"/>
        <v/>
      </c>
      <c r="BC21" s="29" t="str">
        <f t="shared" si="11"/>
        <v/>
      </c>
      <c r="BD21" s="29" t="str">
        <f t="shared" si="12"/>
        <v/>
      </c>
      <c r="BE21" s="29" t="str">
        <f t="shared" si="13"/>
        <v/>
      </c>
      <c r="BM21" s="58">
        <f t="shared" si="7"/>
        <v>0</v>
      </c>
      <c r="BP21" s="29">
        <f t="shared" si="5"/>
        <v>0</v>
      </c>
      <c r="BQ21" s="29">
        <f t="shared" si="6"/>
        <v>0</v>
      </c>
    </row>
    <row r="22" spans="1:69" ht="12.75" customHeight="1">
      <c r="A22" s="118"/>
      <c r="B22" s="116"/>
      <c r="C22" s="119"/>
      <c r="D22" s="120"/>
      <c r="E22" s="35"/>
      <c r="F22" s="35"/>
      <c r="G22" s="32"/>
      <c r="H22" s="27" t="s">
        <v>82</v>
      </c>
      <c r="J22" s="14" t="s">
        <v>18</v>
      </c>
      <c r="K22" s="25" t="str">
        <f t="shared" si="14"/>
        <v/>
      </c>
      <c r="L22" s="25" t="str">
        <f t="shared" si="8"/>
        <v/>
      </c>
      <c r="M22" s="23" t="s">
        <v>61</v>
      </c>
      <c r="N22" s="25" t="str">
        <f t="shared" si="15"/>
        <v/>
      </c>
      <c r="O22" s="25" t="str">
        <f t="shared" si="9"/>
        <v/>
      </c>
      <c r="P22" s="5"/>
      <c r="Q22" s="2"/>
      <c r="R22" s="2"/>
      <c r="S22" s="131"/>
      <c r="T22" s="131"/>
      <c r="U22" s="2"/>
      <c r="AJ22" s="58" t="str">
        <f t="shared" si="4"/>
        <v>0</v>
      </c>
      <c r="AK22" s="58" t="str">
        <f t="shared" si="4"/>
        <v>0</v>
      </c>
      <c r="AL22" s="58" t="str">
        <f t="shared" si="4"/>
        <v>0</v>
      </c>
      <c r="AM22" s="58" t="str">
        <f t="shared" si="4"/>
        <v>0</v>
      </c>
      <c r="AN22" s="58" t="str">
        <f t="shared" si="1"/>
        <v>0</v>
      </c>
      <c r="AO22" s="58" t="str">
        <f t="shared" si="2"/>
        <v>0</v>
      </c>
      <c r="AQ22" s="58"/>
      <c r="AU22" s="63" t="e">
        <f>'4'!S24</f>
        <v>#DIV/0!</v>
      </c>
      <c r="AV22" s="64" t="e">
        <f>'5'!S11</f>
        <v>#DIV/0!</v>
      </c>
      <c r="AX22" s="63" t="e">
        <f>'4'!T45</f>
        <v>#DIV/0!</v>
      </c>
      <c r="AY22" s="63" t="e">
        <f>'5'!T37</f>
        <v>#DIV/0!</v>
      </c>
      <c r="BB22" s="29" t="str">
        <f t="shared" si="10"/>
        <v/>
      </c>
      <c r="BC22" s="29" t="str">
        <f t="shared" si="11"/>
        <v/>
      </c>
      <c r="BD22" s="29" t="str">
        <f t="shared" si="12"/>
        <v/>
      </c>
      <c r="BE22" s="29" t="str">
        <f t="shared" si="13"/>
        <v/>
      </c>
      <c r="BM22" s="58">
        <f t="shared" si="7"/>
        <v>0</v>
      </c>
      <c r="BP22" s="29">
        <f t="shared" si="5"/>
        <v>0</v>
      </c>
      <c r="BQ22" s="29">
        <f t="shared" si="6"/>
        <v>0</v>
      </c>
    </row>
    <row r="23" spans="1:69" ht="12.75" customHeight="1">
      <c r="A23" s="118"/>
      <c r="B23" s="116"/>
      <c r="C23" s="119"/>
      <c r="D23" s="120"/>
      <c r="E23" s="35"/>
      <c r="F23" s="35"/>
      <c r="G23" s="32"/>
      <c r="H23" s="27" t="s">
        <v>82</v>
      </c>
      <c r="J23" s="14" t="s">
        <v>27</v>
      </c>
      <c r="K23" s="25" t="str">
        <f t="shared" si="14"/>
        <v/>
      </c>
      <c r="L23" s="25" t="str">
        <f t="shared" si="8"/>
        <v/>
      </c>
      <c r="M23" s="23" t="s">
        <v>62</v>
      </c>
      <c r="N23" s="25" t="str">
        <f t="shared" si="15"/>
        <v/>
      </c>
      <c r="O23" s="25" t="str">
        <f t="shared" si="9"/>
        <v/>
      </c>
      <c r="P23" s="5"/>
      <c r="Q23" s="2"/>
      <c r="R23" s="2"/>
      <c r="S23" s="130" t="str">
        <f>AH5</f>
        <v/>
      </c>
      <c r="T23" s="131"/>
      <c r="U23" s="2"/>
      <c r="AJ23" s="58" t="str">
        <f t="shared" si="4"/>
        <v>0</v>
      </c>
      <c r="AK23" s="58" t="str">
        <f t="shared" si="4"/>
        <v>0</v>
      </c>
      <c r="AL23" s="58" t="str">
        <f t="shared" si="4"/>
        <v>0</v>
      </c>
      <c r="AM23" s="58" t="str">
        <f t="shared" si="4"/>
        <v>0</v>
      </c>
      <c r="AN23" s="58" t="str">
        <f t="shared" si="1"/>
        <v>0</v>
      </c>
      <c r="AO23" s="58" t="str">
        <f t="shared" si="2"/>
        <v>0</v>
      </c>
      <c r="AQ23" s="58"/>
      <c r="AU23" s="63" t="e">
        <f>'4'!S25</f>
        <v>#DIV/0!</v>
      </c>
      <c r="AV23" s="64" t="e">
        <f>'5'!S12</f>
        <v>#DIV/0!</v>
      </c>
      <c r="AX23" s="63" t="e">
        <f>'4'!T46</f>
        <v>#DIV/0!</v>
      </c>
      <c r="AY23" s="63" t="e">
        <f>'5'!T38</f>
        <v>#DIV/0!</v>
      </c>
      <c r="BB23" s="29" t="str">
        <f t="shared" si="10"/>
        <v/>
      </c>
      <c r="BC23" s="29" t="str">
        <f t="shared" si="11"/>
        <v/>
      </c>
      <c r="BD23" s="29" t="str">
        <f t="shared" si="12"/>
        <v/>
      </c>
      <c r="BE23" s="29" t="str">
        <f t="shared" si="13"/>
        <v/>
      </c>
      <c r="BM23" s="58">
        <f t="shared" si="7"/>
        <v>0</v>
      </c>
      <c r="BP23" s="29">
        <f t="shared" si="5"/>
        <v>0</v>
      </c>
      <c r="BQ23" s="29">
        <f t="shared" si="6"/>
        <v>0</v>
      </c>
    </row>
    <row r="24" spans="1:69" ht="12.75" customHeight="1">
      <c r="A24" s="118"/>
      <c r="B24" s="116"/>
      <c r="C24" s="119"/>
      <c r="D24" s="120"/>
      <c r="E24" s="35"/>
      <c r="F24" s="35"/>
      <c r="G24" s="32"/>
      <c r="H24" s="27" t="s">
        <v>82</v>
      </c>
      <c r="J24" s="14" t="s">
        <v>65</v>
      </c>
      <c r="K24" s="25" t="str">
        <f t="shared" si="14"/>
        <v/>
      </c>
      <c r="L24" s="25" t="str">
        <f t="shared" si="8"/>
        <v/>
      </c>
      <c r="M24" s="23" t="s">
        <v>63</v>
      </c>
      <c r="N24" s="25" t="str">
        <f t="shared" si="15"/>
        <v/>
      </c>
      <c r="O24" s="25" t="str">
        <f t="shared" si="9"/>
        <v/>
      </c>
      <c r="P24" s="8"/>
      <c r="Q24" s="2"/>
      <c r="R24" s="2"/>
      <c r="S24" s="131"/>
      <c r="T24" s="131"/>
      <c r="U24" s="2"/>
      <c r="AJ24" s="58" t="str">
        <f t="shared" si="4"/>
        <v>0</v>
      </c>
      <c r="AK24" s="58" t="str">
        <f t="shared" si="4"/>
        <v>0</v>
      </c>
      <c r="AL24" s="58" t="str">
        <f t="shared" si="4"/>
        <v>0</v>
      </c>
      <c r="AM24" s="58" t="str">
        <f t="shared" si="4"/>
        <v>0</v>
      </c>
      <c r="AN24" s="58" t="str">
        <f t="shared" si="1"/>
        <v>0</v>
      </c>
      <c r="AO24" s="58" t="str">
        <f t="shared" si="2"/>
        <v>0</v>
      </c>
      <c r="AQ24" s="58"/>
      <c r="AU24" s="63" t="e">
        <f>'4'!S26</f>
        <v>#DIV/0!</v>
      </c>
      <c r="AV24" s="64" t="e">
        <f>'5'!S13</f>
        <v>#DIV/0!</v>
      </c>
      <c r="AX24" s="63" t="e">
        <f>'4'!T47</f>
        <v>#DIV/0!</v>
      </c>
      <c r="AY24" s="63" t="e">
        <f>'5'!T39</f>
        <v>#DIV/0!</v>
      </c>
      <c r="BB24" s="29" t="str">
        <f t="shared" si="10"/>
        <v/>
      </c>
      <c r="BC24" s="29" t="str">
        <f t="shared" si="11"/>
        <v/>
      </c>
      <c r="BD24" s="29" t="str">
        <f t="shared" si="12"/>
        <v/>
      </c>
      <c r="BE24" s="29" t="str">
        <f t="shared" si="13"/>
        <v/>
      </c>
      <c r="BM24" s="58">
        <f t="shared" si="7"/>
        <v>0</v>
      </c>
      <c r="BP24" s="29">
        <f t="shared" si="5"/>
        <v>0</v>
      </c>
      <c r="BQ24" s="29">
        <f t="shared" si="6"/>
        <v>0</v>
      </c>
    </row>
    <row r="25" spans="1:69" ht="12.75" customHeight="1">
      <c r="A25" s="118"/>
      <c r="B25" s="116"/>
      <c r="C25" s="119"/>
      <c r="D25" s="120"/>
      <c r="E25" s="35"/>
      <c r="F25" s="35"/>
      <c r="G25" s="32"/>
      <c r="H25" s="27" t="s">
        <v>82</v>
      </c>
      <c r="J25" s="15" t="s">
        <v>51</v>
      </c>
      <c r="K25" s="25" t="str">
        <f t="shared" si="14"/>
        <v/>
      </c>
      <c r="L25" s="25" t="str">
        <f t="shared" si="8"/>
        <v/>
      </c>
      <c r="M25" s="24" t="s">
        <v>64</v>
      </c>
      <c r="N25" s="25" t="str">
        <f t="shared" si="15"/>
        <v/>
      </c>
      <c r="O25" s="25" t="str">
        <f t="shared" si="9"/>
        <v/>
      </c>
      <c r="P25" s="8"/>
      <c r="Q25" s="2"/>
      <c r="R25" s="2"/>
      <c r="S25" s="2"/>
      <c r="T25" s="2"/>
      <c r="U25" s="2"/>
      <c r="AJ25" s="58" t="str">
        <f t="shared" si="4"/>
        <v>0</v>
      </c>
      <c r="AK25" s="58" t="str">
        <f t="shared" si="4"/>
        <v>0</v>
      </c>
      <c r="AL25" s="58" t="str">
        <f t="shared" si="4"/>
        <v>0</v>
      </c>
      <c r="AM25" s="58" t="str">
        <f t="shared" si="4"/>
        <v>0</v>
      </c>
      <c r="AN25" s="58" t="str">
        <f t="shared" si="1"/>
        <v>0</v>
      </c>
      <c r="AO25" s="58" t="str">
        <f t="shared" si="2"/>
        <v>0</v>
      </c>
      <c r="AQ25" s="58"/>
      <c r="AU25" s="68">
        <f>'4'!S27</f>
        <v>0</v>
      </c>
      <c r="AV25" s="69">
        <f>'5'!S14</f>
        <v>0</v>
      </c>
      <c r="AX25" s="68">
        <f>'4'!T30</f>
        <v>1</v>
      </c>
      <c r="AY25" s="68">
        <f>'5'!T17</f>
        <v>1</v>
      </c>
      <c r="BB25" s="29" t="str">
        <f t="shared" si="10"/>
        <v/>
      </c>
      <c r="BC25" s="29" t="str">
        <f t="shared" si="11"/>
        <v/>
      </c>
      <c r="BD25" s="29" t="str">
        <f t="shared" si="12"/>
        <v/>
      </c>
      <c r="BE25" s="29" t="str">
        <f t="shared" si="13"/>
        <v/>
      </c>
      <c r="BM25" s="58">
        <f t="shared" si="7"/>
        <v>0</v>
      </c>
      <c r="BP25" s="29">
        <f t="shared" si="5"/>
        <v>0</v>
      </c>
      <c r="BQ25" s="29">
        <f t="shared" si="6"/>
        <v>0</v>
      </c>
    </row>
    <row r="26" spans="1:69" ht="12.75" customHeight="1">
      <c r="A26" s="118"/>
      <c r="B26" s="116"/>
      <c r="C26" s="119"/>
      <c r="D26" s="120"/>
      <c r="E26" s="35"/>
      <c r="F26" s="35"/>
      <c r="G26" s="32"/>
      <c r="H26" s="27" t="s">
        <v>82</v>
      </c>
      <c r="L26" s="5"/>
      <c r="N26" s="8"/>
      <c r="O26" s="9"/>
      <c r="P26" s="8"/>
      <c r="Q26" s="2"/>
      <c r="R26" s="2"/>
      <c r="S26" s="2"/>
      <c r="T26" s="2"/>
      <c r="U26" s="2"/>
      <c r="AJ26" s="58" t="str">
        <f t="shared" si="4"/>
        <v>0</v>
      </c>
      <c r="AK26" s="58" t="str">
        <f t="shared" si="4"/>
        <v>0</v>
      </c>
      <c r="AL26" s="58" t="str">
        <f t="shared" si="4"/>
        <v>0</v>
      </c>
      <c r="AM26" s="58" t="str">
        <f t="shared" si="4"/>
        <v>0</v>
      </c>
      <c r="AN26" s="58" t="str">
        <f t="shared" si="1"/>
        <v>0</v>
      </c>
      <c r="AO26" s="58" t="str">
        <f t="shared" si="2"/>
        <v>0</v>
      </c>
      <c r="AQ26" s="58"/>
      <c r="BM26" s="58">
        <f t="shared" si="7"/>
        <v>0</v>
      </c>
      <c r="BP26" s="29">
        <f t="shared" si="5"/>
        <v>0</v>
      </c>
      <c r="BQ26" s="29">
        <f t="shared" si="6"/>
        <v>0</v>
      </c>
    </row>
    <row r="27" spans="1:69" ht="12.75" customHeight="1">
      <c r="A27" s="118"/>
      <c r="B27" s="116"/>
      <c r="C27" s="119"/>
      <c r="D27" s="120"/>
      <c r="E27" s="35"/>
      <c r="F27" s="35"/>
      <c r="G27" s="32"/>
      <c r="H27" s="27" t="s">
        <v>82</v>
      </c>
      <c r="L27" s="5"/>
      <c r="N27" s="8"/>
      <c r="O27" s="9"/>
      <c r="P27" s="8"/>
      <c r="Q27" s="2"/>
      <c r="R27" s="2"/>
      <c r="S27" s="2"/>
      <c r="T27" s="2"/>
      <c r="U27" s="2"/>
      <c r="AJ27" s="58" t="str">
        <f t="shared" si="4"/>
        <v>0</v>
      </c>
      <c r="AK27" s="58" t="str">
        <f t="shared" si="4"/>
        <v>0</v>
      </c>
      <c r="AL27" s="58" t="str">
        <f t="shared" si="4"/>
        <v>0</v>
      </c>
      <c r="AM27" s="58" t="str">
        <f t="shared" si="4"/>
        <v>0</v>
      </c>
      <c r="AN27" s="58" t="str">
        <f t="shared" si="1"/>
        <v>0</v>
      </c>
      <c r="AO27" s="58" t="str">
        <f t="shared" si="2"/>
        <v>0</v>
      </c>
      <c r="AQ27" s="58"/>
      <c r="BM27" s="58">
        <f t="shared" si="7"/>
        <v>0</v>
      </c>
      <c r="BP27" s="29">
        <f t="shared" si="5"/>
        <v>0</v>
      </c>
      <c r="BQ27" s="29">
        <f t="shared" si="6"/>
        <v>0</v>
      </c>
    </row>
    <row r="28" spans="1:69" ht="12.75" customHeight="1">
      <c r="A28" s="118"/>
      <c r="B28" s="116"/>
      <c r="C28" s="119"/>
      <c r="D28" s="120"/>
      <c r="E28" s="35"/>
      <c r="F28" s="35"/>
      <c r="G28" s="32"/>
      <c r="H28" s="27" t="s">
        <v>82</v>
      </c>
      <c r="N28" s="8"/>
      <c r="O28" s="9"/>
      <c r="P28" s="8"/>
      <c r="Q28" s="2"/>
      <c r="R28" s="2"/>
      <c r="S28" s="2"/>
      <c r="T28" s="2"/>
      <c r="U28" s="2"/>
      <c r="AJ28" s="58" t="str">
        <f t="shared" si="4"/>
        <v>0</v>
      </c>
      <c r="AK28" s="58" t="str">
        <f t="shared" si="4"/>
        <v>0</v>
      </c>
      <c r="AL28" s="58" t="str">
        <f t="shared" si="4"/>
        <v>0</v>
      </c>
      <c r="AM28" s="58" t="str">
        <f t="shared" si="4"/>
        <v>0</v>
      </c>
      <c r="AN28" s="58" t="str">
        <f t="shared" si="1"/>
        <v>0</v>
      </c>
      <c r="AO28" s="58" t="str">
        <f t="shared" si="2"/>
        <v>0</v>
      </c>
      <c r="AQ28" s="58"/>
      <c r="BM28" s="58">
        <f t="shared" si="7"/>
        <v>0</v>
      </c>
      <c r="BP28" s="29">
        <f t="shared" si="5"/>
        <v>0</v>
      </c>
      <c r="BQ28" s="29">
        <f t="shared" si="6"/>
        <v>0</v>
      </c>
    </row>
    <row r="29" spans="1:69" ht="12.75" customHeight="1">
      <c r="A29" s="118"/>
      <c r="B29" s="116"/>
      <c r="C29" s="119"/>
      <c r="D29" s="120"/>
      <c r="E29" s="35"/>
      <c r="F29" s="35"/>
      <c r="G29" s="32"/>
      <c r="H29" s="27" t="s">
        <v>82</v>
      </c>
      <c r="N29" s="8"/>
      <c r="O29" s="9"/>
      <c r="P29" s="8"/>
      <c r="Q29" s="2"/>
      <c r="R29" s="2"/>
      <c r="S29" s="2"/>
      <c r="T29" s="2"/>
      <c r="U29" s="2"/>
      <c r="AJ29" s="58" t="str">
        <f t="shared" si="4"/>
        <v>0</v>
      </c>
      <c r="AK29" s="58" t="str">
        <f t="shared" si="4"/>
        <v>0</v>
      </c>
      <c r="AL29" s="58" t="str">
        <f t="shared" si="4"/>
        <v>0</v>
      </c>
      <c r="AM29" s="58" t="str">
        <f t="shared" si="4"/>
        <v>0</v>
      </c>
      <c r="AN29" s="58" t="str">
        <f t="shared" si="1"/>
        <v>0</v>
      </c>
      <c r="AO29" s="58" t="str">
        <f t="shared" si="2"/>
        <v>0</v>
      </c>
      <c r="AQ29" s="58"/>
      <c r="BM29" s="58">
        <f t="shared" si="7"/>
        <v>0</v>
      </c>
      <c r="BP29" s="29">
        <f t="shared" si="5"/>
        <v>0</v>
      </c>
      <c r="BQ29" s="29">
        <f t="shared" si="6"/>
        <v>0</v>
      </c>
    </row>
    <row r="30" spans="1:69" ht="12.75" customHeight="1">
      <c r="A30" s="118"/>
      <c r="B30" s="116"/>
      <c r="C30" s="119"/>
      <c r="D30" s="120"/>
      <c r="E30" s="35"/>
      <c r="F30" s="35"/>
      <c r="G30" s="32"/>
      <c r="H30" s="27" t="s">
        <v>82</v>
      </c>
      <c r="J30" s="1"/>
      <c r="K30" s="1"/>
      <c r="L30" s="1"/>
      <c r="M30" s="1"/>
      <c r="N30" s="1"/>
      <c r="O30" s="1"/>
      <c r="P30" s="1"/>
      <c r="AJ30" s="58" t="str">
        <f t="shared" si="4"/>
        <v>0</v>
      </c>
      <c r="AK30" s="58" t="str">
        <f t="shared" si="4"/>
        <v>0</v>
      </c>
      <c r="AL30" s="58" t="str">
        <f t="shared" si="4"/>
        <v>0</v>
      </c>
      <c r="AM30" s="58" t="str">
        <f t="shared" si="4"/>
        <v>0</v>
      </c>
      <c r="AN30" s="58" t="str">
        <f t="shared" si="1"/>
        <v>0</v>
      </c>
      <c r="AO30" s="58" t="str">
        <f t="shared" si="2"/>
        <v>0</v>
      </c>
      <c r="AQ30" s="58"/>
      <c r="BM30" s="58">
        <f t="shared" si="7"/>
        <v>0</v>
      </c>
      <c r="BP30" s="29">
        <f t="shared" si="5"/>
        <v>0</v>
      </c>
      <c r="BQ30" s="29">
        <f t="shared" si="6"/>
        <v>0</v>
      </c>
    </row>
    <row r="31" spans="1:69" ht="12.75" customHeight="1">
      <c r="A31" s="118"/>
      <c r="B31" s="116"/>
      <c r="C31" s="119"/>
      <c r="D31" s="120"/>
      <c r="E31" s="35"/>
      <c r="F31" s="35"/>
      <c r="G31" s="32"/>
      <c r="H31" s="27" t="s">
        <v>82</v>
      </c>
      <c r="J31" s="145" t="str">
        <f>IF(BP1=1,"Are you sure this is not an sp2 hybridized carbon?",IF(BP1&gt;1,"Are you sure these are not sp2 hybridized carbons?",""))</f>
        <v/>
      </c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AJ31" s="58" t="str">
        <f t="shared" si="4"/>
        <v>0</v>
      </c>
      <c r="AK31" s="58" t="str">
        <f t="shared" si="4"/>
        <v>0</v>
      </c>
      <c r="AL31" s="58" t="str">
        <f t="shared" si="4"/>
        <v>0</v>
      </c>
      <c r="AM31" s="58" t="str">
        <f t="shared" si="4"/>
        <v>0</v>
      </c>
      <c r="AN31" s="58" t="str">
        <f t="shared" si="1"/>
        <v>0</v>
      </c>
      <c r="AO31" s="58" t="str">
        <f t="shared" si="2"/>
        <v>0</v>
      </c>
      <c r="AQ31" s="58"/>
      <c r="BM31" s="58">
        <f t="shared" si="7"/>
        <v>0</v>
      </c>
      <c r="BP31" s="29">
        <f t="shared" si="5"/>
        <v>0</v>
      </c>
      <c r="BQ31" s="29">
        <f t="shared" si="6"/>
        <v>0</v>
      </c>
    </row>
    <row r="32" spans="1:69" ht="12.75" customHeight="1">
      <c r="A32" s="118"/>
      <c r="B32" s="116"/>
      <c r="C32" s="119"/>
      <c r="D32" s="120"/>
      <c r="E32" s="35"/>
      <c r="F32" s="35"/>
      <c r="G32" s="32"/>
      <c r="H32" s="27" t="s">
        <v>82</v>
      </c>
      <c r="AJ32" s="58" t="str">
        <f t="shared" si="4"/>
        <v>0</v>
      </c>
      <c r="AK32" s="58" t="str">
        <f t="shared" si="4"/>
        <v>0</v>
      </c>
      <c r="AL32" s="58" t="str">
        <f t="shared" si="4"/>
        <v>0</v>
      </c>
      <c r="AM32" s="58" t="str">
        <f t="shared" si="4"/>
        <v>0</v>
      </c>
      <c r="AN32" s="58" t="str">
        <f t="shared" si="1"/>
        <v>0</v>
      </c>
      <c r="AO32" s="58" t="str">
        <f t="shared" si="2"/>
        <v>0</v>
      </c>
      <c r="AQ32" s="58"/>
      <c r="BM32" s="58">
        <f t="shared" si="7"/>
        <v>0</v>
      </c>
      <c r="BP32" s="29">
        <f t="shared" si="5"/>
        <v>0</v>
      </c>
      <c r="BQ32" s="29">
        <f t="shared" si="6"/>
        <v>0</v>
      </c>
    </row>
    <row r="33" spans="1:69" ht="12.75" customHeight="1">
      <c r="A33" s="118"/>
      <c r="B33" s="116"/>
      <c r="C33" s="119"/>
      <c r="D33" s="120"/>
      <c r="E33" s="35"/>
      <c r="F33" s="35"/>
      <c r="G33" s="32"/>
      <c r="H33" s="27" t="s">
        <v>82</v>
      </c>
      <c r="J33" s="128" t="str">
        <f>IF(BQ1=1,"Are you sure this is an sp2 hybridized carbon?",IF(BQ1&gt;1,"Are you sure these are sp2 hybridized carbons?",""))</f>
        <v/>
      </c>
      <c r="K33" s="128"/>
      <c r="L33" s="128"/>
      <c r="M33" s="128"/>
      <c r="N33" s="128"/>
      <c r="O33" s="128"/>
      <c r="P33" s="128"/>
      <c r="Q33" s="128"/>
      <c r="R33" s="128"/>
      <c r="S33" s="128"/>
      <c r="T33" s="128"/>
      <c r="AJ33" s="58" t="str">
        <f t="shared" si="4"/>
        <v>0</v>
      </c>
      <c r="AK33" s="58" t="str">
        <f t="shared" si="4"/>
        <v>0</v>
      </c>
      <c r="AL33" s="58" t="str">
        <f t="shared" si="4"/>
        <v>0</v>
      </c>
      <c r="AM33" s="58" t="str">
        <f t="shared" si="4"/>
        <v>0</v>
      </c>
      <c r="AN33" s="58" t="str">
        <f t="shared" si="1"/>
        <v>0</v>
      </c>
      <c r="AO33" s="58" t="str">
        <f t="shared" si="2"/>
        <v>0</v>
      </c>
      <c r="AQ33" s="58"/>
      <c r="BM33" s="58">
        <f t="shared" si="7"/>
        <v>0</v>
      </c>
      <c r="BP33" s="29">
        <f t="shared" si="5"/>
        <v>0</v>
      </c>
      <c r="BQ33" s="29">
        <f t="shared" si="6"/>
        <v>0</v>
      </c>
    </row>
    <row r="34" spans="1:69" ht="12.75" customHeight="1">
      <c r="A34" s="118"/>
      <c r="B34" s="116"/>
      <c r="C34" s="119"/>
      <c r="D34" s="120"/>
      <c r="E34" s="35"/>
      <c r="F34" s="35"/>
      <c r="G34" s="32"/>
      <c r="H34" s="27" t="s">
        <v>82</v>
      </c>
      <c r="J34" s="1"/>
      <c r="K34" s="1"/>
      <c r="L34" s="1"/>
      <c r="M34" s="1"/>
      <c r="N34" s="1"/>
      <c r="O34" s="1"/>
      <c r="P34" s="1"/>
      <c r="AJ34" s="58" t="str">
        <f t="shared" si="4"/>
        <v>0</v>
      </c>
      <c r="AK34" s="58" t="str">
        <f t="shared" si="4"/>
        <v>0</v>
      </c>
      <c r="AL34" s="58" t="str">
        <f t="shared" si="4"/>
        <v>0</v>
      </c>
      <c r="AM34" s="58" t="str">
        <f t="shared" si="4"/>
        <v>0</v>
      </c>
      <c r="AN34" s="58" t="str">
        <f t="shared" si="1"/>
        <v>0</v>
      </c>
      <c r="AO34" s="58" t="str">
        <f t="shared" si="2"/>
        <v>0</v>
      </c>
      <c r="AQ34" s="58"/>
      <c r="BM34" s="58">
        <f t="shared" si="7"/>
        <v>0</v>
      </c>
      <c r="BP34" s="29">
        <f t="shared" si="5"/>
        <v>0</v>
      </c>
      <c r="BQ34" s="29">
        <f t="shared" si="6"/>
        <v>0</v>
      </c>
    </row>
    <row r="35" spans="1:69" ht="12.75" customHeight="1">
      <c r="A35" s="118"/>
      <c r="B35" s="116"/>
      <c r="C35" s="119"/>
      <c r="D35" s="120"/>
      <c r="E35" s="35"/>
      <c r="F35" s="35"/>
      <c r="G35" s="32"/>
      <c r="H35" s="27" t="s">
        <v>82</v>
      </c>
      <c r="J35" s="1"/>
      <c r="K35" s="1"/>
      <c r="L35" s="1"/>
      <c r="M35" s="1"/>
      <c r="N35" s="1"/>
      <c r="O35" s="1"/>
      <c r="P35" s="1"/>
      <c r="AJ35" s="58" t="str">
        <f t="shared" si="4"/>
        <v>0</v>
      </c>
      <c r="AK35" s="58" t="str">
        <f t="shared" si="4"/>
        <v>0</v>
      </c>
      <c r="AL35" s="58" t="str">
        <f t="shared" si="4"/>
        <v>0</v>
      </c>
      <c r="AM35" s="58" t="str">
        <f t="shared" si="4"/>
        <v>0</v>
      </c>
      <c r="AN35" s="58" t="str">
        <f t="shared" ref="AN35:AN66" si="16">IF(F36=0,"0",1)</f>
        <v>0</v>
      </c>
      <c r="AO35" s="58" t="str">
        <f t="shared" ref="AO35:AO66" si="17">IF(G36=0,"0",1)</f>
        <v>0</v>
      </c>
      <c r="AQ35" s="58"/>
      <c r="BM35" s="58">
        <f t="shared" si="7"/>
        <v>0</v>
      </c>
      <c r="BP35" s="29">
        <f t="shared" si="5"/>
        <v>0</v>
      </c>
      <c r="BQ35" s="29">
        <f t="shared" si="6"/>
        <v>0</v>
      </c>
    </row>
    <row r="36" spans="1:69" ht="12.75" customHeight="1">
      <c r="A36" s="118"/>
      <c r="B36" s="116"/>
      <c r="C36" s="119"/>
      <c r="D36" s="120"/>
      <c r="E36" s="35"/>
      <c r="F36" s="35"/>
      <c r="G36" s="32"/>
      <c r="H36" s="27" t="s">
        <v>82</v>
      </c>
      <c r="J36" s="1"/>
      <c r="K36" s="1"/>
      <c r="L36" s="1"/>
      <c r="M36" s="1"/>
      <c r="N36" s="1"/>
      <c r="O36" s="1"/>
      <c r="P36" s="1"/>
      <c r="AJ36" s="58" t="str">
        <f t="shared" si="4"/>
        <v>0</v>
      </c>
      <c r="AK36" s="58" t="str">
        <f t="shared" si="4"/>
        <v>0</v>
      </c>
      <c r="AL36" s="58" t="str">
        <f t="shared" si="4"/>
        <v>0</v>
      </c>
      <c r="AM36" s="58" t="str">
        <f t="shared" si="4"/>
        <v>0</v>
      </c>
      <c r="AN36" s="58" t="str">
        <f t="shared" si="16"/>
        <v>0</v>
      </c>
      <c r="AO36" s="58" t="str">
        <f t="shared" si="17"/>
        <v>0</v>
      </c>
      <c r="AQ36" s="58"/>
      <c r="BM36" s="58">
        <f t="shared" si="7"/>
        <v>0</v>
      </c>
      <c r="BP36" s="29">
        <f t="shared" si="5"/>
        <v>0</v>
      </c>
      <c r="BQ36" s="29">
        <f t="shared" si="6"/>
        <v>0</v>
      </c>
    </row>
    <row r="37" spans="1:69" ht="12.75" customHeight="1">
      <c r="A37" s="118"/>
      <c r="B37" s="116"/>
      <c r="C37" s="119"/>
      <c r="D37" s="120"/>
      <c r="E37" s="35"/>
      <c r="F37" s="35"/>
      <c r="G37" s="32"/>
      <c r="H37" s="27" t="s">
        <v>82</v>
      </c>
      <c r="J37" s="1"/>
      <c r="K37" s="1"/>
      <c r="L37" s="1"/>
      <c r="M37" s="1"/>
      <c r="N37" s="1"/>
      <c r="O37" s="1"/>
      <c r="P37" s="1"/>
      <c r="AJ37" s="58" t="str">
        <f t="shared" si="4"/>
        <v>0</v>
      </c>
      <c r="AK37" s="58" t="str">
        <f t="shared" si="4"/>
        <v>0</v>
      </c>
      <c r="AL37" s="58" t="str">
        <f t="shared" si="4"/>
        <v>0</v>
      </c>
      <c r="AM37" s="58" t="str">
        <f t="shared" si="4"/>
        <v>0</v>
      </c>
      <c r="AN37" s="58" t="str">
        <f t="shared" si="16"/>
        <v>0</v>
      </c>
      <c r="AO37" s="58" t="str">
        <f t="shared" si="17"/>
        <v>0</v>
      </c>
      <c r="AQ37" s="58"/>
      <c r="BM37" s="58">
        <f t="shared" si="7"/>
        <v>0</v>
      </c>
      <c r="BP37" s="29">
        <f t="shared" si="5"/>
        <v>0</v>
      </c>
      <c r="BQ37" s="29">
        <f t="shared" si="6"/>
        <v>0</v>
      </c>
    </row>
    <row r="38" spans="1:69" ht="12.75" customHeight="1">
      <c r="A38" s="118"/>
      <c r="B38" s="116"/>
      <c r="C38" s="119"/>
      <c r="D38" s="120"/>
      <c r="E38" s="35"/>
      <c r="F38" s="35"/>
      <c r="G38" s="32"/>
      <c r="H38" s="27" t="s">
        <v>82</v>
      </c>
      <c r="J38" s="1"/>
      <c r="K38" s="1"/>
      <c r="L38" s="1"/>
      <c r="M38" s="1"/>
      <c r="N38" s="1"/>
      <c r="O38" s="1"/>
      <c r="P38" s="1"/>
      <c r="AJ38" s="58" t="str">
        <f t="shared" si="4"/>
        <v>0</v>
      </c>
      <c r="AK38" s="58" t="str">
        <f t="shared" si="4"/>
        <v>0</v>
      </c>
      <c r="AL38" s="58" t="str">
        <f t="shared" si="4"/>
        <v>0</v>
      </c>
      <c r="AM38" s="58" t="str">
        <f t="shared" si="4"/>
        <v>0</v>
      </c>
      <c r="AN38" s="58" t="str">
        <f t="shared" si="16"/>
        <v>0</v>
      </c>
      <c r="AO38" s="58" t="str">
        <f t="shared" si="17"/>
        <v>0</v>
      </c>
      <c r="AQ38" s="58"/>
      <c r="BM38" s="58">
        <f t="shared" si="7"/>
        <v>0</v>
      </c>
      <c r="BP38" s="29">
        <f t="shared" si="5"/>
        <v>0</v>
      </c>
      <c r="BQ38" s="29">
        <f t="shared" si="6"/>
        <v>0</v>
      </c>
    </row>
    <row r="39" spans="1:69" ht="12.75" customHeight="1">
      <c r="A39" s="118"/>
      <c r="B39" s="117"/>
      <c r="C39" s="119"/>
      <c r="D39" s="120"/>
      <c r="E39" s="31"/>
      <c r="F39" s="35"/>
      <c r="G39" s="37"/>
      <c r="H39" s="27" t="s">
        <v>82</v>
      </c>
      <c r="AJ39" s="58" t="str">
        <f t="shared" si="4"/>
        <v>0</v>
      </c>
      <c r="AK39" s="58" t="str">
        <f t="shared" si="4"/>
        <v>0</v>
      </c>
      <c r="AL39" s="58" t="str">
        <f t="shared" si="4"/>
        <v>0</v>
      </c>
      <c r="AM39" s="58" t="str">
        <f t="shared" si="4"/>
        <v>0</v>
      </c>
      <c r="AN39" s="58" t="str">
        <f t="shared" si="16"/>
        <v>0</v>
      </c>
      <c r="AO39" s="58" t="str">
        <f t="shared" si="17"/>
        <v>0</v>
      </c>
      <c r="AQ39" s="58"/>
      <c r="BM39" s="58">
        <f t="shared" si="7"/>
        <v>0</v>
      </c>
      <c r="BP39" s="29">
        <f t="shared" si="5"/>
        <v>0</v>
      </c>
      <c r="BQ39" s="29">
        <f t="shared" si="6"/>
        <v>0</v>
      </c>
    </row>
    <row r="40" spans="1:69" ht="12.75" customHeight="1">
      <c r="A40" s="118"/>
      <c r="B40" s="117"/>
      <c r="C40" s="119"/>
      <c r="D40" s="120"/>
      <c r="E40" s="31"/>
      <c r="F40" s="31"/>
      <c r="G40" s="37"/>
      <c r="H40" s="27" t="s">
        <v>82</v>
      </c>
      <c r="AJ40" s="58" t="str">
        <f t="shared" si="4"/>
        <v>0</v>
      </c>
      <c r="AK40" s="58" t="str">
        <f t="shared" si="4"/>
        <v>0</v>
      </c>
      <c r="AL40" s="58" t="str">
        <f t="shared" si="4"/>
        <v>0</v>
      </c>
      <c r="AM40" s="58" t="str">
        <f t="shared" si="4"/>
        <v>0</v>
      </c>
      <c r="AN40" s="58" t="str">
        <f t="shared" si="16"/>
        <v>0</v>
      </c>
      <c r="AO40" s="58" t="str">
        <f t="shared" si="17"/>
        <v>0</v>
      </c>
      <c r="AQ40" s="58"/>
      <c r="BM40" s="58">
        <f t="shared" si="7"/>
        <v>0</v>
      </c>
      <c r="BP40" s="29">
        <f t="shared" si="5"/>
        <v>0</v>
      </c>
      <c r="BQ40" s="29">
        <f t="shared" si="6"/>
        <v>0</v>
      </c>
    </row>
    <row r="41" spans="1:69" ht="12.75" customHeight="1">
      <c r="A41" s="118"/>
      <c r="B41" s="117"/>
      <c r="C41" s="119"/>
      <c r="D41" s="120"/>
      <c r="E41" s="31"/>
      <c r="F41" s="31"/>
      <c r="G41" s="37"/>
      <c r="H41" s="27" t="s">
        <v>82</v>
      </c>
      <c r="AJ41" s="58" t="str">
        <f t="shared" si="4"/>
        <v>0</v>
      </c>
      <c r="AK41" s="58" t="str">
        <f t="shared" si="4"/>
        <v>0</v>
      </c>
      <c r="AL41" s="58" t="str">
        <f t="shared" si="4"/>
        <v>0</v>
      </c>
      <c r="AM41" s="58" t="str">
        <f t="shared" si="4"/>
        <v>0</v>
      </c>
      <c r="AN41" s="58" t="str">
        <f t="shared" si="16"/>
        <v>0</v>
      </c>
      <c r="AO41" s="58" t="str">
        <f t="shared" si="17"/>
        <v>0</v>
      </c>
      <c r="AQ41" s="58"/>
      <c r="BM41" s="58">
        <f t="shared" si="7"/>
        <v>0</v>
      </c>
      <c r="BP41" s="29">
        <f t="shared" si="5"/>
        <v>0</v>
      </c>
      <c r="BQ41" s="29">
        <f t="shared" si="6"/>
        <v>0</v>
      </c>
    </row>
    <row r="42" spans="1:69" ht="12.75" customHeight="1">
      <c r="A42" s="118"/>
      <c r="B42" s="117"/>
      <c r="C42" s="119"/>
      <c r="D42" s="120"/>
      <c r="E42" s="31"/>
      <c r="F42" s="31"/>
      <c r="G42" s="37"/>
      <c r="H42" s="27" t="s">
        <v>82</v>
      </c>
      <c r="AJ42" s="58" t="str">
        <f t="shared" si="4"/>
        <v>0</v>
      </c>
      <c r="AK42" s="58" t="str">
        <f t="shared" si="4"/>
        <v>0</v>
      </c>
      <c r="AL42" s="58" t="str">
        <f t="shared" si="4"/>
        <v>0</v>
      </c>
      <c r="AM42" s="58" t="str">
        <f t="shared" si="4"/>
        <v>0</v>
      </c>
      <c r="AN42" s="58" t="str">
        <f t="shared" si="16"/>
        <v>0</v>
      </c>
      <c r="AO42" s="58" t="str">
        <f t="shared" si="17"/>
        <v>0</v>
      </c>
      <c r="AQ42" s="58"/>
      <c r="BM42" s="58">
        <f t="shared" si="7"/>
        <v>0</v>
      </c>
      <c r="BP42" s="29">
        <f t="shared" si="5"/>
        <v>0</v>
      </c>
      <c r="BQ42" s="29">
        <f t="shared" si="6"/>
        <v>0</v>
      </c>
    </row>
    <row r="43" spans="1:69" ht="12.75" customHeight="1">
      <c r="A43" s="118"/>
      <c r="B43" s="117"/>
      <c r="C43" s="119"/>
      <c r="D43" s="120"/>
      <c r="E43" s="31"/>
      <c r="F43" s="31"/>
      <c r="G43" s="37"/>
      <c r="H43" s="27" t="s">
        <v>82</v>
      </c>
      <c r="AJ43" s="58" t="str">
        <f t="shared" si="4"/>
        <v>0</v>
      </c>
      <c r="AK43" s="58" t="str">
        <f t="shared" si="4"/>
        <v>0</v>
      </c>
      <c r="AL43" s="58" t="str">
        <f t="shared" si="4"/>
        <v>0</v>
      </c>
      <c r="AM43" s="58" t="str">
        <f t="shared" si="4"/>
        <v>0</v>
      </c>
      <c r="AN43" s="58" t="str">
        <f t="shared" si="16"/>
        <v>0</v>
      </c>
      <c r="AO43" s="58" t="str">
        <f t="shared" si="17"/>
        <v>0</v>
      </c>
      <c r="AQ43" s="58"/>
      <c r="BM43" s="58">
        <f t="shared" si="7"/>
        <v>0</v>
      </c>
      <c r="BP43" s="29">
        <f t="shared" si="5"/>
        <v>0</v>
      </c>
      <c r="BQ43" s="29">
        <f t="shared" si="6"/>
        <v>0</v>
      </c>
    </row>
    <row r="44" spans="1:69" ht="12.75" customHeight="1">
      <c r="A44" s="118"/>
      <c r="B44" s="117"/>
      <c r="C44" s="119"/>
      <c r="D44" s="120"/>
      <c r="E44" s="31"/>
      <c r="F44" s="31"/>
      <c r="G44" s="37"/>
      <c r="H44" s="27" t="s">
        <v>82</v>
      </c>
      <c r="AJ44" s="58" t="str">
        <f t="shared" si="4"/>
        <v>0</v>
      </c>
      <c r="AK44" s="58" t="str">
        <f t="shared" si="4"/>
        <v>0</v>
      </c>
      <c r="AL44" s="58" t="str">
        <f t="shared" si="4"/>
        <v>0</v>
      </c>
      <c r="AM44" s="58" t="str">
        <f t="shared" si="4"/>
        <v>0</v>
      </c>
      <c r="AN44" s="58" t="str">
        <f t="shared" si="16"/>
        <v>0</v>
      </c>
      <c r="AO44" s="58" t="str">
        <f t="shared" si="17"/>
        <v>0</v>
      </c>
      <c r="AQ44" s="58"/>
      <c r="BM44" s="58">
        <f t="shared" si="7"/>
        <v>0</v>
      </c>
      <c r="BP44" s="29">
        <f t="shared" si="5"/>
        <v>0</v>
      </c>
      <c r="BQ44" s="29">
        <f t="shared" si="6"/>
        <v>0</v>
      </c>
    </row>
    <row r="45" spans="1:69" ht="12.75" customHeight="1">
      <c r="A45" s="118"/>
      <c r="B45" s="117"/>
      <c r="C45" s="119"/>
      <c r="D45" s="120"/>
      <c r="E45" s="31"/>
      <c r="F45" s="31"/>
      <c r="G45" s="37"/>
      <c r="H45" s="27" t="s">
        <v>82</v>
      </c>
      <c r="AJ45" s="58" t="str">
        <f t="shared" si="4"/>
        <v>0</v>
      </c>
      <c r="AK45" s="58" t="str">
        <f t="shared" si="4"/>
        <v>0</v>
      </c>
      <c r="AL45" s="58" t="str">
        <f t="shared" si="4"/>
        <v>0</v>
      </c>
      <c r="AM45" s="58" t="str">
        <f t="shared" si="4"/>
        <v>0</v>
      </c>
      <c r="AN45" s="58" t="str">
        <f t="shared" si="16"/>
        <v>0</v>
      </c>
      <c r="AO45" s="58" t="str">
        <f t="shared" si="17"/>
        <v>0</v>
      </c>
      <c r="AQ45" s="58"/>
      <c r="BM45" s="58">
        <f t="shared" si="7"/>
        <v>0</v>
      </c>
      <c r="BP45" s="29">
        <f t="shared" si="5"/>
        <v>0</v>
      </c>
      <c r="BQ45" s="29">
        <f t="shared" si="6"/>
        <v>0</v>
      </c>
    </row>
    <row r="46" spans="1:69" ht="12.75" customHeight="1">
      <c r="A46" s="118"/>
      <c r="B46" s="117"/>
      <c r="C46" s="119"/>
      <c r="D46" s="120"/>
      <c r="E46" s="31"/>
      <c r="F46" s="31"/>
      <c r="G46" s="37"/>
      <c r="H46" s="27" t="s">
        <v>82</v>
      </c>
      <c r="AJ46" s="58" t="str">
        <f t="shared" si="4"/>
        <v>0</v>
      </c>
      <c r="AK46" s="58" t="str">
        <f t="shared" si="4"/>
        <v>0</v>
      </c>
      <c r="AL46" s="58" t="str">
        <f t="shared" si="4"/>
        <v>0</v>
      </c>
      <c r="AM46" s="58" t="str">
        <f t="shared" si="4"/>
        <v>0</v>
      </c>
      <c r="AN46" s="58" t="str">
        <f t="shared" si="16"/>
        <v>0</v>
      </c>
      <c r="AO46" s="58" t="str">
        <f t="shared" si="17"/>
        <v>0</v>
      </c>
      <c r="AQ46" s="58"/>
      <c r="BM46" s="58">
        <f t="shared" si="7"/>
        <v>0</v>
      </c>
      <c r="BP46" s="29">
        <f t="shared" si="5"/>
        <v>0</v>
      </c>
      <c r="BQ46" s="29">
        <f t="shared" si="6"/>
        <v>0</v>
      </c>
    </row>
    <row r="47" spans="1:69" ht="12.75" customHeight="1">
      <c r="A47" s="118"/>
      <c r="B47" s="117"/>
      <c r="C47" s="119"/>
      <c r="D47" s="120"/>
      <c r="E47" s="31"/>
      <c r="F47" s="31"/>
      <c r="G47" s="37"/>
      <c r="H47" s="27" t="s">
        <v>82</v>
      </c>
      <c r="AJ47" s="58" t="str">
        <f t="shared" si="4"/>
        <v>0</v>
      </c>
      <c r="AK47" s="58" t="str">
        <f t="shared" si="4"/>
        <v>0</v>
      </c>
      <c r="AL47" s="58" t="str">
        <f t="shared" si="4"/>
        <v>0</v>
      </c>
      <c r="AM47" s="58" t="str">
        <f t="shared" si="4"/>
        <v>0</v>
      </c>
      <c r="AN47" s="58" t="str">
        <f t="shared" si="16"/>
        <v>0</v>
      </c>
      <c r="AO47" s="58" t="str">
        <f t="shared" si="17"/>
        <v>0</v>
      </c>
      <c r="AQ47" s="58"/>
      <c r="BM47" s="58">
        <f t="shared" si="7"/>
        <v>0</v>
      </c>
      <c r="BP47" s="29">
        <f t="shared" si="5"/>
        <v>0</v>
      </c>
      <c r="BQ47" s="29">
        <f t="shared" si="6"/>
        <v>0</v>
      </c>
    </row>
    <row r="48" spans="1:69" ht="12.75" customHeight="1">
      <c r="A48" s="118"/>
      <c r="B48" s="117"/>
      <c r="C48" s="119"/>
      <c r="D48" s="120"/>
      <c r="E48" s="31"/>
      <c r="F48" s="31"/>
      <c r="G48" s="37"/>
      <c r="H48" s="27" t="s">
        <v>82</v>
      </c>
      <c r="AJ48" s="58" t="str">
        <f t="shared" si="4"/>
        <v>0</v>
      </c>
      <c r="AK48" s="58" t="str">
        <f t="shared" si="4"/>
        <v>0</v>
      </c>
      <c r="AL48" s="58" t="str">
        <f t="shared" si="4"/>
        <v>0</v>
      </c>
      <c r="AM48" s="58" t="str">
        <f t="shared" si="4"/>
        <v>0</v>
      </c>
      <c r="AN48" s="58" t="str">
        <f t="shared" si="16"/>
        <v>0</v>
      </c>
      <c r="AO48" s="58" t="str">
        <f t="shared" si="17"/>
        <v>0</v>
      </c>
      <c r="AQ48" s="58"/>
      <c r="BM48" s="58">
        <f t="shared" si="7"/>
        <v>0</v>
      </c>
      <c r="BP48" s="29">
        <f t="shared" si="5"/>
        <v>0</v>
      </c>
      <c r="BQ48" s="29">
        <f t="shared" si="6"/>
        <v>0</v>
      </c>
    </row>
    <row r="49" spans="1:69" ht="12.75" customHeight="1">
      <c r="A49" s="118"/>
      <c r="B49" s="117"/>
      <c r="C49" s="119"/>
      <c r="D49" s="120"/>
      <c r="E49" s="31"/>
      <c r="F49" s="31"/>
      <c r="G49" s="37"/>
      <c r="H49" s="27" t="s">
        <v>82</v>
      </c>
      <c r="AJ49" s="58" t="str">
        <f t="shared" si="4"/>
        <v>0</v>
      </c>
      <c r="AK49" s="58" t="str">
        <f t="shared" si="4"/>
        <v>0</v>
      </c>
      <c r="AL49" s="58" t="str">
        <f t="shared" si="4"/>
        <v>0</v>
      </c>
      <c r="AM49" s="58" t="str">
        <f t="shared" si="4"/>
        <v>0</v>
      </c>
      <c r="AN49" s="58" t="str">
        <f t="shared" si="16"/>
        <v>0</v>
      </c>
      <c r="AO49" s="58" t="str">
        <f t="shared" si="17"/>
        <v>0</v>
      </c>
      <c r="AQ49" s="58"/>
      <c r="BM49" s="58">
        <f t="shared" si="7"/>
        <v>0</v>
      </c>
      <c r="BP49" s="29">
        <f t="shared" si="5"/>
        <v>0</v>
      </c>
      <c r="BQ49" s="29">
        <f t="shared" si="6"/>
        <v>0</v>
      </c>
    </row>
    <row r="50" spans="1:69" ht="12.75" customHeight="1">
      <c r="A50" s="118"/>
      <c r="B50" s="117"/>
      <c r="C50" s="119"/>
      <c r="D50" s="120"/>
      <c r="E50" s="31"/>
      <c r="F50" s="31"/>
      <c r="G50" s="37"/>
      <c r="H50" s="27" t="s">
        <v>82</v>
      </c>
      <c r="AJ50" s="58" t="str">
        <f t="shared" si="4"/>
        <v>0</v>
      </c>
      <c r="AK50" s="58" t="str">
        <f t="shared" si="4"/>
        <v>0</v>
      </c>
      <c r="AL50" s="58" t="str">
        <f t="shared" si="4"/>
        <v>0</v>
      </c>
      <c r="AM50" s="58" t="str">
        <f t="shared" si="4"/>
        <v>0</v>
      </c>
      <c r="AN50" s="58" t="str">
        <f t="shared" si="16"/>
        <v>0</v>
      </c>
      <c r="AO50" s="58" t="str">
        <f t="shared" si="17"/>
        <v>0</v>
      </c>
      <c r="AQ50" s="58"/>
      <c r="BM50" s="58">
        <f t="shared" si="7"/>
        <v>0</v>
      </c>
      <c r="BP50" s="29">
        <f t="shared" si="5"/>
        <v>0</v>
      </c>
      <c r="BQ50" s="29">
        <f t="shared" si="6"/>
        <v>0</v>
      </c>
    </row>
    <row r="51" spans="1:69" ht="12.75" customHeight="1">
      <c r="A51" s="118"/>
      <c r="B51" s="117"/>
      <c r="C51" s="119"/>
      <c r="D51" s="120"/>
      <c r="E51" s="31"/>
      <c r="F51" s="31"/>
      <c r="G51" s="37"/>
      <c r="H51" s="27" t="s">
        <v>82</v>
      </c>
      <c r="AJ51" s="58" t="str">
        <f t="shared" si="4"/>
        <v>0</v>
      </c>
      <c r="AK51" s="58" t="str">
        <f t="shared" si="4"/>
        <v>0</v>
      </c>
      <c r="AL51" s="58" t="str">
        <f t="shared" si="4"/>
        <v>0</v>
      </c>
      <c r="AM51" s="58" t="str">
        <f t="shared" si="4"/>
        <v>0</v>
      </c>
      <c r="AN51" s="58" t="str">
        <f t="shared" si="16"/>
        <v>0</v>
      </c>
      <c r="AO51" s="58" t="str">
        <f t="shared" si="17"/>
        <v>0</v>
      </c>
      <c r="AQ51" s="58"/>
      <c r="BM51" s="58">
        <f t="shared" si="7"/>
        <v>0</v>
      </c>
      <c r="BP51" s="29">
        <f t="shared" si="5"/>
        <v>0</v>
      </c>
      <c r="BQ51" s="29">
        <f t="shared" si="6"/>
        <v>0</v>
      </c>
    </row>
    <row r="52" spans="1:69" ht="12.75" customHeight="1">
      <c r="A52" s="118"/>
      <c r="B52" s="117"/>
      <c r="C52" s="119"/>
      <c r="D52" s="120"/>
      <c r="E52" s="31"/>
      <c r="F52" s="31"/>
      <c r="G52" s="37"/>
      <c r="H52" s="27" t="s">
        <v>82</v>
      </c>
      <c r="AJ52" s="58" t="str">
        <f t="shared" si="4"/>
        <v>0</v>
      </c>
      <c r="AK52" s="58" t="str">
        <f t="shared" si="4"/>
        <v>0</v>
      </c>
      <c r="AL52" s="58" t="str">
        <f t="shared" si="4"/>
        <v>0</v>
      </c>
      <c r="AM52" s="58" t="str">
        <f t="shared" si="4"/>
        <v>0</v>
      </c>
      <c r="AN52" s="58" t="str">
        <f t="shared" si="16"/>
        <v>0</v>
      </c>
      <c r="AO52" s="58" t="str">
        <f t="shared" si="17"/>
        <v>0</v>
      </c>
      <c r="AQ52" s="58"/>
      <c r="BM52" s="58">
        <f t="shared" si="7"/>
        <v>0</v>
      </c>
      <c r="BP52" s="29">
        <f t="shared" si="5"/>
        <v>0</v>
      </c>
      <c r="BQ52" s="29">
        <f t="shared" si="6"/>
        <v>0</v>
      </c>
    </row>
    <row r="53" spans="1:69" ht="12.75" customHeight="1">
      <c r="A53" s="118"/>
      <c r="B53" s="117"/>
      <c r="C53" s="119"/>
      <c r="D53" s="120"/>
      <c r="E53" s="31"/>
      <c r="F53" s="31"/>
      <c r="G53" s="37"/>
      <c r="H53" s="27" t="s">
        <v>82</v>
      </c>
      <c r="AJ53" s="58" t="str">
        <f t="shared" si="4"/>
        <v>0</v>
      </c>
      <c r="AK53" s="58" t="str">
        <f t="shared" si="4"/>
        <v>0</v>
      </c>
      <c r="AL53" s="58" t="str">
        <f t="shared" si="4"/>
        <v>0</v>
      </c>
      <c r="AM53" s="58" t="str">
        <f t="shared" si="4"/>
        <v>0</v>
      </c>
      <c r="AN53" s="58" t="str">
        <f t="shared" si="16"/>
        <v>0</v>
      </c>
      <c r="AO53" s="58" t="str">
        <f t="shared" si="17"/>
        <v>0</v>
      </c>
      <c r="AQ53" s="58"/>
      <c r="BM53" s="58">
        <f t="shared" si="7"/>
        <v>0</v>
      </c>
      <c r="BP53" s="29">
        <f t="shared" si="5"/>
        <v>0</v>
      </c>
      <c r="BQ53" s="29">
        <f t="shared" si="6"/>
        <v>0</v>
      </c>
    </row>
    <row r="54" spans="1:69" ht="12.75" customHeight="1">
      <c r="A54" s="118"/>
      <c r="B54" s="117"/>
      <c r="C54" s="119"/>
      <c r="D54" s="120"/>
      <c r="E54" s="31"/>
      <c r="F54" s="31"/>
      <c r="G54" s="37"/>
      <c r="H54" s="27" t="s">
        <v>82</v>
      </c>
      <c r="AJ54" s="58" t="str">
        <f t="shared" si="4"/>
        <v>0</v>
      </c>
      <c r="AK54" s="58" t="str">
        <f t="shared" si="4"/>
        <v>0</v>
      </c>
      <c r="AL54" s="58" t="str">
        <f t="shared" si="4"/>
        <v>0</v>
      </c>
      <c r="AM54" s="58" t="str">
        <f t="shared" si="4"/>
        <v>0</v>
      </c>
      <c r="AN54" s="58" t="str">
        <f t="shared" si="16"/>
        <v>0</v>
      </c>
      <c r="AO54" s="58" t="str">
        <f t="shared" si="17"/>
        <v>0</v>
      </c>
      <c r="AQ54" s="58"/>
      <c r="BM54" s="58">
        <f t="shared" si="7"/>
        <v>0</v>
      </c>
      <c r="BP54" s="29">
        <f t="shared" si="5"/>
        <v>0</v>
      </c>
      <c r="BQ54" s="29">
        <f t="shared" si="6"/>
        <v>0</v>
      </c>
    </row>
    <row r="55" spans="1:69" ht="12.75" customHeight="1">
      <c r="A55" s="118"/>
      <c r="B55" s="117"/>
      <c r="C55" s="119"/>
      <c r="D55" s="120"/>
      <c r="E55" s="31"/>
      <c r="F55" s="31"/>
      <c r="G55" s="37"/>
      <c r="H55" s="27" t="s">
        <v>82</v>
      </c>
      <c r="AJ55" s="58" t="str">
        <f t="shared" si="4"/>
        <v>0</v>
      </c>
      <c r="AK55" s="58" t="str">
        <f t="shared" si="4"/>
        <v>0</v>
      </c>
      <c r="AL55" s="58" t="str">
        <f t="shared" si="4"/>
        <v>0</v>
      </c>
      <c r="AM55" s="58" t="str">
        <f t="shared" si="4"/>
        <v>0</v>
      </c>
      <c r="AN55" s="58" t="str">
        <f t="shared" si="16"/>
        <v>0</v>
      </c>
      <c r="AO55" s="58" t="str">
        <f t="shared" si="17"/>
        <v>0</v>
      </c>
      <c r="AQ55" s="58"/>
      <c r="BM55" s="58">
        <f t="shared" si="7"/>
        <v>0</v>
      </c>
      <c r="BP55" s="29">
        <f t="shared" si="5"/>
        <v>0</v>
      </c>
      <c r="BQ55" s="29">
        <f t="shared" si="6"/>
        <v>0</v>
      </c>
    </row>
    <row r="56" spans="1:69" ht="12.75" customHeight="1">
      <c r="A56" s="118"/>
      <c r="B56" s="117"/>
      <c r="C56" s="119"/>
      <c r="D56" s="120"/>
      <c r="E56" s="31"/>
      <c r="F56" s="31"/>
      <c r="G56" s="37"/>
      <c r="H56" s="27" t="s">
        <v>82</v>
      </c>
      <c r="AJ56" s="58" t="str">
        <f t="shared" si="4"/>
        <v>0</v>
      </c>
      <c r="AK56" s="58" t="str">
        <f t="shared" si="4"/>
        <v>0</v>
      </c>
      <c r="AL56" s="58" t="str">
        <f t="shared" si="4"/>
        <v>0</v>
      </c>
      <c r="AM56" s="58" t="str">
        <f t="shared" si="4"/>
        <v>0</v>
      </c>
      <c r="AN56" s="58" t="str">
        <f t="shared" si="16"/>
        <v>0</v>
      </c>
      <c r="AO56" s="58" t="str">
        <f t="shared" si="17"/>
        <v>0</v>
      </c>
      <c r="AQ56" s="58"/>
      <c r="BM56" s="58">
        <f t="shared" si="7"/>
        <v>0</v>
      </c>
      <c r="BP56" s="29">
        <f t="shared" si="5"/>
        <v>0</v>
      </c>
      <c r="BQ56" s="29">
        <f t="shared" si="6"/>
        <v>0</v>
      </c>
    </row>
    <row r="57" spans="1:69" ht="12.75" customHeight="1">
      <c r="A57" s="118"/>
      <c r="B57" s="117"/>
      <c r="C57" s="119"/>
      <c r="D57" s="120"/>
      <c r="E57" s="31"/>
      <c r="F57" s="31"/>
      <c r="G57" s="37"/>
      <c r="H57" s="27" t="s">
        <v>82</v>
      </c>
      <c r="AJ57" s="58" t="str">
        <f t="shared" si="4"/>
        <v>0</v>
      </c>
      <c r="AK57" s="58" t="str">
        <f t="shared" si="4"/>
        <v>0</v>
      </c>
      <c r="AL57" s="58" t="str">
        <f t="shared" si="4"/>
        <v>0</v>
      </c>
      <c r="AM57" s="58" t="str">
        <f t="shared" si="4"/>
        <v>0</v>
      </c>
      <c r="AN57" s="58" t="str">
        <f t="shared" si="16"/>
        <v>0</v>
      </c>
      <c r="AO57" s="58" t="str">
        <f t="shared" si="17"/>
        <v>0</v>
      </c>
      <c r="AQ57" s="58"/>
      <c r="BM57" s="58">
        <f t="shared" si="7"/>
        <v>0</v>
      </c>
      <c r="BP57" s="29">
        <f t="shared" si="5"/>
        <v>0</v>
      </c>
      <c r="BQ57" s="29">
        <f t="shared" si="6"/>
        <v>0</v>
      </c>
    </row>
    <row r="58" spans="1:69" ht="12.75" customHeight="1">
      <c r="A58" s="118"/>
      <c r="B58" s="117"/>
      <c r="C58" s="119"/>
      <c r="D58" s="120"/>
      <c r="E58" s="31"/>
      <c r="F58" s="31"/>
      <c r="G58" s="37"/>
      <c r="H58" s="27" t="s">
        <v>82</v>
      </c>
      <c r="AJ58" s="58" t="str">
        <f t="shared" si="4"/>
        <v>0</v>
      </c>
      <c r="AK58" s="58" t="str">
        <f t="shared" si="4"/>
        <v>0</v>
      </c>
      <c r="AL58" s="58" t="str">
        <f t="shared" si="4"/>
        <v>0</v>
      </c>
      <c r="AM58" s="58" t="str">
        <f t="shared" si="4"/>
        <v>0</v>
      </c>
      <c r="AN58" s="58" t="str">
        <f t="shared" si="16"/>
        <v>0</v>
      </c>
      <c r="AO58" s="58" t="str">
        <f t="shared" si="17"/>
        <v>0</v>
      </c>
      <c r="AQ58" s="58"/>
      <c r="BM58" s="58">
        <f t="shared" si="7"/>
        <v>0</v>
      </c>
      <c r="BP58" s="29">
        <f t="shared" si="5"/>
        <v>0</v>
      </c>
      <c r="BQ58" s="29">
        <f t="shared" si="6"/>
        <v>0</v>
      </c>
    </row>
    <row r="59" spans="1:69" ht="12.75" customHeight="1">
      <c r="A59" s="118"/>
      <c r="B59" s="117"/>
      <c r="C59" s="119"/>
      <c r="D59" s="120"/>
      <c r="E59" s="31"/>
      <c r="F59" s="31"/>
      <c r="G59" s="37"/>
      <c r="H59" s="27" t="s">
        <v>82</v>
      </c>
      <c r="AJ59" s="58" t="str">
        <f t="shared" si="4"/>
        <v>0</v>
      </c>
      <c r="AK59" s="58" t="str">
        <f t="shared" si="4"/>
        <v>0</v>
      </c>
      <c r="AL59" s="58" t="str">
        <f t="shared" si="4"/>
        <v>0</v>
      </c>
      <c r="AM59" s="58" t="str">
        <f t="shared" si="4"/>
        <v>0</v>
      </c>
      <c r="AN59" s="58" t="str">
        <f t="shared" si="16"/>
        <v>0</v>
      </c>
      <c r="AO59" s="58" t="str">
        <f t="shared" si="17"/>
        <v>0</v>
      </c>
      <c r="AQ59" s="58"/>
      <c r="BM59" s="58">
        <f t="shared" si="7"/>
        <v>0</v>
      </c>
      <c r="BP59" s="29">
        <f t="shared" si="5"/>
        <v>0</v>
      </c>
      <c r="BQ59" s="29">
        <f t="shared" si="6"/>
        <v>0</v>
      </c>
    </row>
    <row r="60" spans="1:69" ht="12.75" customHeight="1">
      <c r="A60" s="118"/>
      <c r="B60" s="117"/>
      <c r="C60" s="119"/>
      <c r="D60" s="120"/>
      <c r="E60" s="31"/>
      <c r="F60" s="31"/>
      <c r="G60" s="37"/>
      <c r="H60" s="27" t="s">
        <v>82</v>
      </c>
      <c r="AJ60" s="58" t="str">
        <f t="shared" si="4"/>
        <v>0</v>
      </c>
      <c r="AK60" s="58" t="str">
        <f t="shared" si="4"/>
        <v>0</v>
      </c>
      <c r="AL60" s="58" t="str">
        <f t="shared" si="4"/>
        <v>0</v>
      </c>
      <c r="AM60" s="58" t="str">
        <f t="shared" si="4"/>
        <v>0</v>
      </c>
      <c r="AN60" s="58" t="str">
        <f t="shared" si="16"/>
        <v>0</v>
      </c>
      <c r="AO60" s="58" t="str">
        <f t="shared" si="17"/>
        <v>0</v>
      </c>
      <c r="AQ60" s="58"/>
      <c r="BM60" s="58">
        <f t="shared" si="7"/>
        <v>0</v>
      </c>
      <c r="BP60" s="29">
        <f t="shared" si="5"/>
        <v>0</v>
      </c>
      <c r="BQ60" s="29">
        <f t="shared" si="6"/>
        <v>0</v>
      </c>
    </row>
    <row r="61" spans="1:69" ht="12.75" customHeight="1">
      <c r="A61" s="118"/>
      <c r="B61" s="117"/>
      <c r="C61" s="119"/>
      <c r="D61" s="120"/>
      <c r="E61" s="31"/>
      <c r="F61" s="31"/>
      <c r="G61" s="37"/>
      <c r="H61" s="27" t="s">
        <v>82</v>
      </c>
      <c r="AJ61" s="58" t="str">
        <f t="shared" si="4"/>
        <v>0</v>
      </c>
      <c r="AK61" s="58" t="str">
        <f t="shared" si="4"/>
        <v>0</v>
      </c>
      <c r="AL61" s="58" t="str">
        <f t="shared" si="4"/>
        <v>0</v>
      </c>
      <c r="AM61" s="58" t="str">
        <f t="shared" si="4"/>
        <v>0</v>
      </c>
      <c r="AN61" s="58" t="str">
        <f t="shared" si="16"/>
        <v>0</v>
      </c>
      <c r="AO61" s="58" t="str">
        <f t="shared" si="17"/>
        <v>0</v>
      </c>
      <c r="AQ61" s="58"/>
      <c r="BM61" s="58">
        <f t="shared" si="7"/>
        <v>0</v>
      </c>
      <c r="BP61" s="29">
        <f t="shared" si="5"/>
        <v>0</v>
      </c>
      <c r="BQ61" s="29">
        <f t="shared" si="6"/>
        <v>0</v>
      </c>
    </row>
    <row r="62" spans="1:69" ht="12.75" customHeight="1">
      <c r="A62" s="118"/>
      <c r="B62" s="117"/>
      <c r="C62" s="119"/>
      <c r="D62" s="120"/>
      <c r="E62" s="31"/>
      <c r="F62" s="31"/>
      <c r="G62" s="37"/>
      <c r="H62" s="27" t="s">
        <v>82</v>
      </c>
      <c r="AJ62" s="58" t="str">
        <f t="shared" si="4"/>
        <v>0</v>
      </c>
      <c r="AK62" s="58" t="str">
        <f t="shared" si="4"/>
        <v>0</v>
      </c>
      <c r="AL62" s="58" t="str">
        <f t="shared" si="4"/>
        <v>0</v>
      </c>
      <c r="AM62" s="58" t="str">
        <f t="shared" si="4"/>
        <v>0</v>
      </c>
      <c r="AN62" s="58" t="str">
        <f t="shared" si="16"/>
        <v>0</v>
      </c>
      <c r="AO62" s="58" t="str">
        <f t="shared" si="17"/>
        <v>0</v>
      </c>
      <c r="AQ62" s="58"/>
      <c r="BM62" s="58">
        <f t="shared" si="7"/>
        <v>0</v>
      </c>
      <c r="BP62" s="29">
        <f t="shared" si="5"/>
        <v>0</v>
      </c>
      <c r="BQ62" s="29">
        <f t="shared" si="6"/>
        <v>0</v>
      </c>
    </row>
    <row r="63" spans="1:69" ht="12.75" customHeight="1">
      <c r="A63" s="118"/>
      <c r="B63" s="117"/>
      <c r="C63" s="119"/>
      <c r="D63" s="120"/>
      <c r="E63" s="31"/>
      <c r="F63" s="31"/>
      <c r="G63" s="37"/>
      <c r="H63" s="27" t="s">
        <v>82</v>
      </c>
      <c r="AJ63" s="58" t="str">
        <f t="shared" si="4"/>
        <v>0</v>
      </c>
      <c r="AK63" s="58" t="str">
        <f t="shared" si="4"/>
        <v>0</v>
      </c>
      <c r="AL63" s="58" t="str">
        <f t="shared" si="4"/>
        <v>0</v>
      </c>
      <c r="AM63" s="58" t="str">
        <f t="shared" si="4"/>
        <v>0</v>
      </c>
      <c r="AN63" s="58" t="str">
        <f t="shared" si="16"/>
        <v>0</v>
      </c>
      <c r="AO63" s="58" t="str">
        <f t="shared" si="17"/>
        <v>0</v>
      </c>
      <c r="AQ63" s="58"/>
      <c r="BM63" s="58">
        <f t="shared" si="7"/>
        <v>0</v>
      </c>
      <c r="BP63" s="29">
        <f t="shared" si="5"/>
        <v>0</v>
      </c>
      <c r="BQ63" s="29">
        <f t="shared" si="6"/>
        <v>0</v>
      </c>
    </row>
    <row r="64" spans="1:69" ht="12.75" customHeight="1">
      <c r="A64" s="118"/>
      <c r="B64" s="117"/>
      <c r="C64" s="119"/>
      <c r="D64" s="120"/>
      <c r="E64" s="31"/>
      <c r="F64" s="31"/>
      <c r="G64" s="37"/>
      <c r="H64" s="27" t="s">
        <v>82</v>
      </c>
      <c r="AJ64" s="58" t="str">
        <f t="shared" si="4"/>
        <v>0</v>
      </c>
      <c r="AK64" s="58" t="str">
        <f t="shared" si="4"/>
        <v>0</v>
      </c>
      <c r="AL64" s="58" t="str">
        <f t="shared" si="4"/>
        <v>0</v>
      </c>
      <c r="AM64" s="58" t="str">
        <f t="shared" si="4"/>
        <v>0</v>
      </c>
      <c r="AN64" s="58" t="str">
        <f t="shared" si="16"/>
        <v>0</v>
      </c>
      <c r="AO64" s="58" t="str">
        <f t="shared" si="17"/>
        <v>0</v>
      </c>
      <c r="AQ64" s="58"/>
      <c r="BM64" s="58">
        <f t="shared" si="7"/>
        <v>0</v>
      </c>
      <c r="BP64" s="29">
        <f t="shared" si="5"/>
        <v>0</v>
      </c>
      <c r="BQ64" s="29">
        <f t="shared" si="6"/>
        <v>0</v>
      </c>
    </row>
    <row r="65" spans="1:69" ht="12.75" customHeight="1">
      <c r="A65" s="118"/>
      <c r="B65" s="117"/>
      <c r="C65" s="119"/>
      <c r="D65" s="120"/>
      <c r="E65" s="31"/>
      <c r="F65" s="31"/>
      <c r="G65" s="37"/>
      <c r="H65" s="27" t="s">
        <v>82</v>
      </c>
      <c r="AJ65" s="58" t="str">
        <f t="shared" si="4"/>
        <v>0</v>
      </c>
      <c r="AK65" s="58" t="str">
        <f t="shared" si="4"/>
        <v>0</v>
      </c>
      <c r="AL65" s="58" t="str">
        <f t="shared" si="4"/>
        <v>0</v>
      </c>
      <c r="AM65" s="58" t="str">
        <f t="shared" si="4"/>
        <v>0</v>
      </c>
      <c r="AN65" s="58" t="str">
        <f t="shared" si="16"/>
        <v>0</v>
      </c>
      <c r="AO65" s="58" t="str">
        <f t="shared" si="17"/>
        <v>0</v>
      </c>
      <c r="AQ65" s="58"/>
      <c r="BM65" s="58">
        <f t="shared" si="7"/>
        <v>0</v>
      </c>
      <c r="BP65" s="29">
        <f t="shared" si="5"/>
        <v>0</v>
      </c>
      <c r="BQ65" s="29">
        <f t="shared" si="6"/>
        <v>0</v>
      </c>
    </row>
    <row r="66" spans="1:69" ht="12.75" customHeight="1">
      <c r="A66" s="118"/>
      <c r="B66" s="117"/>
      <c r="C66" s="119"/>
      <c r="D66" s="120"/>
      <c r="E66" s="31"/>
      <c r="F66" s="31"/>
      <c r="G66" s="37"/>
      <c r="H66" s="27" t="s">
        <v>82</v>
      </c>
      <c r="AJ66" s="58" t="str">
        <f t="shared" si="4"/>
        <v>0</v>
      </c>
      <c r="AK66" s="58" t="str">
        <f t="shared" si="4"/>
        <v>0</v>
      </c>
      <c r="AL66" s="58" t="str">
        <f t="shared" si="4"/>
        <v>0</v>
      </c>
      <c r="AM66" s="58" t="str">
        <f t="shared" si="4"/>
        <v>0</v>
      </c>
      <c r="AN66" s="58" t="str">
        <f t="shared" si="16"/>
        <v>0</v>
      </c>
      <c r="AO66" s="58" t="str">
        <f t="shared" si="17"/>
        <v>0</v>
      </c>
      <c r="AQ66" s="58"/>
      <c r="BM66" s="58">
        <f t="shared" si="7"/>
        <v>0</v>
      </c>
      <c r="BP66" s="29">
        <f t="shared" si="5"/>
        <v>0</v>
      </c>
      <c r="BQ66" s="29">
        <f t="shared" si="6"/>
        <v>0</v>
      </c>
    </row>
    <row r="67" spans="1:69" ht="5.0999999999999996" customHeight="1">
      <c r="A67" s="33"/>
      <c r="B67" s="34"/>
      <c r="C67" s="35"/>
      <c r="D67" s="36"/>
      <c r="E67" s="35"/>
      <c r="F67" s="110"/>
      <c r="G67" s="36"/>
      <c r="AJ67" s="58" t="str">
        <f t="shared" si="4"/>
        <v>0</v>
      </c>
      <c r="AK67" s="58" t="str">
        <f t="shared" si="4"/>
        <v>0</v>
      </c>
      <c r="AL67" s="58" t="str">
        <f t="shared" si="4"/>
        <v>0</v>
      </c>
      <c r="AM67" s="58" t="str">
        <f t="shared" ref="AM67" si="18">IF(D68=0,"0",1)</f>
        <v>0</v>
      </c>
      <c r="AN67" s="58" t="str">
        <f t="shared" ref="AN67:AN69" si="19">IF(F68=0,"0",1)</f>
        <v>0</v>
      </c>
      <c r="AO67" s="58" t="str">
        <f t="shared" ref="AO67:AO69" si="20">IF(G68=0,"0",1)</f>
        <v>0</v>
      </c>
      <c r="AQ67" s="58"/>
      <c r="BM67" s="58">
        <f t="shared" si="7"/>
        <v>0</v>
      </c>
      <c r="BP67" s="29">
        <f t="shared" si="5"/>
        <v>0</v>
      </c>
      <c r="BQ67" s="29">
        <f t="shared" si="6"/>
        <v>0</v>
      </c>
    </row>
    <row r="68" spans="1:69" ht="5.0999999999999996" customHeight="1">
      <c r="A68" s="33"/>
      <c r="B68" s="34"/>
      <c r="C68" s="35"/>
      <c r="D68" s="36"/>
      <c r="E68" s="35"/>
      <c r="F68" s="110"/>
      <c r="G68" s="36"/>
      <c r="AJ68" s="58" t="str">
        <f t="shared" ref="AJ68:AM69" si="21">IF(A69=0,"0",1)</f>
        <v>0</v>
      </c>
      <c r="AK68" s="58" t="str">
        <f t="shared" si="21"/>
        <v>0</v>
      </c>
      <c r="AL68" s="58" t="str">
        <f t="shared" si="21"/>
        <v>0</v>
      </c>
      <c r="AM68" s="58" t="str">
        <f t="shared" si="21"/>
        <v>0</v>
      </c>
      <c r="AN68" s="58" t="str">
        <f t="shared" si="19"/>
        <v>0</v>
      </c>
      <c r="AO68" s="58" t="str">
        <f t="shared" si="20"/>
        <v>0</v>
      </c>
      <c r="AQ68" s="58"/>
      <c r="BM68" s="58">
        <f t="shared" si="7"/>
        <v>0</v>
      </c>
      <c r="BP68" s="29">
        <f t="shared" si="5"/>
        <v>0</v>
      </c>
      <c r="BQ68" s="29">
        <f t="shared" si="6"/>
        <v>0</v>
      </c>
    </row>
    <row r="69" spans="1:69" ht="5.0999999999999996" customHeight="1">
      <c r="A69" s="33"/>
      <c r="B69" s="34"/>
      <c r="C69" s="35"/>
      <c r="D69" s="36"/>
      <c r="E69" s="35"/>
      <c r="F69" s="110"/>
      <c r="G69" s="36"/>
      <c r="AJ69" s="58" t="str">
        <f t="shared" si="21"/>
        <v>0</v>
      </c>
      <c r="AK69" s="58" t="str">
        <f t="shared" si="21"/>
        <v>0</v>
      </c>
      <c r="AL69" s="58" t="str">
        <f t="shared" si="21"/>
        <v>0</v>
      </c>
      <c r="AM69" s="58" t="str">
        <f t="shared" si="21"/>
        <v>0</v>
      </c>
      <c r="AN69" s="58" t="str">
        <f t="shared" si="19"/>
        <v>0</v>
      </c>
      <c r="AO69" s="58" t="str">
        <f t="shared" si="20"/>
        <v>0</v>
      </c>
      <c r="AQ69" s="58"/>
      <c r="BM69" s="58">
        <f t="shared" si="7"/>
        <v>0</v>
      </c>
      <c r="BP69" s="29">
        <f t="shared" ref="BP69:BP70" si="22">IF(F69=0,0,IF(AND(E69=0,F69&lt;80),1,0))</f>
        <v>0</v>
      </c>
      <c r="BQ69" s="29">
        <f t="shared" ref="BQ69:BQ70" si="23">IF(F69=0,0,IF(AND(E69="x",F69&gt;109),1,0))</f>
        <v>0</v>
      </c>
    </row>
    <row r="70" spans="1:69" ht="5.0999999999999996" customHeight="1">
      <c r="A70" s="33"/>
      <c r="B70" s="34"/>
      <c r="C70" s="35"/>
      <c r="D70" s="36"/>
      <c r="E70" s="35"/>
      <c r="F70" s="110"/>
      <c r="G70" s="36"/>
      <c r="AJ70" s="58" t="e">
        <f>IF(#REF!=0,"0",1)</f>
        <v>#REF!</v>
      </c>
      <c r="AK70" s="58" t="e">
        <f>IF(#REF!=0,"0",1)</f>
        <v>#REF!</v>
      </c>
      <c r="AL70" s="58" t="e">
        <f>IF(#REF!=0,"0",1)</f>
        <v>#REF!</v>
      </c>
      <c r="AM70" s="58" t="e">
        <f>IF(#REF!=0,"0",1)</f>
        <v>#REF!</v>
      </c>
      <c r="AN70" s="58" t="e">
        <f>IF(#REF!=0,"0",1)</f>
        <v>#REF!</v>
      </c>
      <c r="AO70" s="58" t="e">
        <f>IF(#REF!=0,"0",1)</f>
        <v>#REF!</v>
      </c>
      <c r="AQ70" s="58"/>
      <c r="BM70" s="58">
        <f t="shared" ref="BM70" si="24">IF(G69=0,0,E69)</f>
        <v>0</v>
      </c>
      <c r="BP70" s="29">
        <f t="shared" si="22"/>
        <v>0</v>
      </c>
      <c r="BQ70" s="29">
        <f t="shared" si="23"/>
        <v>0</v>
      </c>
    </row>
  </sheetData>
  <sheetProtection password="EA63" sheet="1" objects="1" scenarios="1" selectLockedCells="1"/>
  <mergeCells count="17">
    <mergeCell ref="E1:G1"/>
    <mergeCell ref="A1:B2"/>
    <mergeCell ref="C1:D1"/>
    <mergeCell ref="J1:T2"/>
    <mergeCell ref="J31:T31"/>
    <mergeCell ref="C2:D2"/>
    <mergeCell ref="E2:G2"/>
    <mergeCell ref="J33:T33"/>
    <mergeCell ref="J4:M4"/>
    <mergeCell ref="J5:M5"/>
    <mergeCell ref="S21:T22"/>
    <mergeCell ref="S15:T16"/>
    <mergeCell ref="S11:T12"/>
    <mergeCell ref="S23:T24"/>
    <mergeCell ref="S17:T18"/>
    <mergeCell ref="J6:M6"/>
    <mergeCell ref="S9:T10"/>
  </mergeCells>
  <conditionalFormatting sqref="F34:F1048576">
    <cfRule type="expression" dxfId="5" priority="10">
      <formula>BP34</formula>
    </cfRule>
  </conditionalFormatting>
  <conditionalFormatting sqref="F34:F1048576">
    <cfRule type="expression" dxfId="4" priority="9">
      <formula>BQ34</formula>
    </cfRule>
  </conditionalFormatting>
  <conditionalFormatting sqref="H4:H66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H4:H66">
    <cfRule type="expression" dxfId="3" priority="6">
      <formula>BQ4</formula>
    </cfRule>
    <cfRule type="expression" dxfId="2" priority="7">
      <formula>BP4</formula>
    </cfRule>
  </conditionalFormatting>
  <conditionalFormatting sqref="J1:T2">
    <cfRule type="cellIs" dxfId="1" priority="1" operator="equal">
      <formula>"Incorrect"</formula>
    </cfRule>
    <cfRule type="cellIs" dxfId="0" priority="2" operator="equal">
      <formula>"Correct"</formula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">
                <anchor moveWithCells="1" sizeWithCells="1">
                  <from>
                    <xdr:col>18</xdr:col>
                    <xdr:colOff>180975</xdr:colOff>
                    <xdr:row>2</xdr:row>
                    <xdr:rowOff>133350</xdr:rowOff>
                  </from>
                  <to>
                    <xdr:col>19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18</xdr:col>
                    <xdr:colOff>190500</xdr:colOff>
                    <xdr:row>4</xdr:row>
                    <xdr:rowOff>85725</xdr:rowOff>
                  </from>
                  <to>
                    <xdr:col>19</xdr:col>
                    <xdr:colOff>276225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114"/>
  <sheetViews>
    <sheetView workbookViewId="0">
      <selection activeCell="F1" sqref="F1"/>
    </sheetView>
  </sheetViews>
  <sheetFormatPr defaultColWidth="0" defaultRowHeight="15"/>
  <cols>
    <col min="1" max="5" width="11.42578125" style="41" customWidth="1"/>
    <col min="6" max="6" width="6.140625" style="52" customWidth="1"/>
    <col min="7" max="7" width="8.7109375" style="39" customWidth="1"/>
    <col min="8" max="8" width="8.7109375" style="38" customWidth="1"/>
    <col min="9" max="9" width="8.7109375" style="39" customWidth="1"/>
    <col min="10" max="10" width="8.7109375" style="38" customWidth="1"/>
    <col min="11" max="11" width="8.7109375" style="39" customWidth="1"/>
    <col min="12" max="12" width="8.7109375" style="38" customWidth="1"/>
    <col min="13" max="13" width="8.7109375" style="39" customWidth="1"/>
    <col min="14" max="14" width="8.7109375" style="38" customWidth="1"/>
    <col min="15" max="15" width="8.7109375" style="39" customWidth="1"/>
    <col min="16" max="16" width="8.7109375" style="38" customWidth="1"/>
    <col min="17" max="17" width="6.140625" style="57" customWidth="1"/>
    <col min="18" max="16384" width="11.42578125" style="57" hidden="1"/>
  </cols>
  <sheetData>
    <row r="1" spans="1:17" ht="17.25">
      <c r="A1" s="148" t="s">
        <v>94</v>
      </c>
      <c r="B1" s="148"/>
      <c r="C1" s="148"/>
      <c r="D1" s="148"/>
      <c r="E1" s="148"/>
      <c r="F1" s="54"/>
      <c r="G1" s="148" t="s">
        <v>89</v>
      </c>
      <c r="H1" s="148"/>
      <c r="I1" s="148"/>
      <c r="J1" s="148"/>
      <c r="K1" s="148"/>
      <c r="L1" s="148"/>
      <c r="M1" s="148"/>
      <c r="N1" s="148"/>
      <c r="O1" s="148"/>
      <c r="P1" s="148"/>
      <c r="Q1" s="56"/>
    </row>
    <row r="2" spans="1:17">
      <c r="A2" s="151" t="s">
        <v>9</v>
      </c>
      <c r="B2" s="149" t="s">
        <v>90</v>
      </c>
      <c r="C2" s="150"/>
      <c r="D2" s="149" t="s">
        <v>91</v>
      </c>
      <c r="E2" s="150"/>
      <c r="F2" s="54"/>
      <c r="G2" s="153" t="s">
        <v>9</v>
      </c>
      <c r="H2" s="154"/>
      <c r="I2" s="149" t="s">
        <v>90</v>
      </c>
      <c r="J2" s="157"/>
      <c r="K2" s="157"/>
      <c r="L2" s="150"/>
      <c r="M2" s="149" t="s">
        <v>91</v>
      </c>
      <c r="N2" s="157"/>
      <c r="O2" s="157"/>
      <c r="P2" s="150"/>
      <c r="Q2" s="56"/>
    </row>
    <row r="3" spans="1:17">
      <c r="A3" s="151"/>
      <c r="B3" s="149" t="s">
        <v>92</v>
      </c>
      <c r="C3" s="150"/>
      <c r="D3" s="149" t="s">
        <v>93</v>
      </c>
      <c r="E3" s="150"/>
      <c r="F3" s="54"/>
      <c r="G3" s="149"/>
      <c r="H3" s="150"/>
      <c r="I3" s="149" t="s">
        <v>92</v>
      </c>
      <c r="J3" s="157"/>
      <c r="K3" s="157"/>
      <c r="L3" s="150"/>
      <c r="M3" s="149" t="s">
        <v>93</v>
      </c>
      <c r="N3" s="157"/>
      <c r="O3" s="157"/>
      <c r="P3" s="150"/>
      <c r="Q3" s="56"/>
    </row>
    <row r="4" spans="1:17">
      <c r="A4" s="152"/>
      <c r="B4" s="50" t="s">
        <v>7</v>
      </c>
      <c r="C4" s="51" t="s">
        <v>8</v>
      </c>
      <c r="D4" s="50" t="s">
        <v>7</v>
      </c>
      <c r="E4" s="51" t="s">
        <v>8</v>
      </c>
      <c r="F4" s="54"/>
      <c r="G4" s="155"/>
      <c r="H4" s="156"/>
      <c r="I4" s="149" t="s">
        <v>7</v>
      </c>
      <c r="J4" s="157"/>
      <c r="K4" s="157" t="s">
        <v>8</v>
      </c>
      <c r="L4" s="150"/>
      <c r="M4" s="149" t="s">
        <v>7</v>
      </c>
      <c r="N4" s="157"/>
      <c r="O4" s="157" t="s">
        <v>8</v>
      </c>
      <c r="P4" s="150"/>
      <c r="Q4" s="56"/>
    </row>
    <row r="5" spans="1:17">
      <c r="A5" s="42" t="str">
        <f>IF(Main!$AJ$1=0,"",IF('4'!C6=0,"",'4'!C6))</f>
        <v/>
      </c>
      <c r="B5" s="45" t="str">
        <f>IF(Main!$AP$2="A",IF('4'!AK6="-","",'4'!AK6),"")</f>
        <v/>
      </c>
      <c r="C5" s="45" t="str">
        <f>IF(Main!$AP$2="A",IF('4'!AM6="-","",'4'!AM6),"")</f>
        <v/>
      </c>
      <c r="D5" s="45" t="str">
        <f>IF(Main!$AQ$2="A",IF('5'!AJ6="-","",'5'!AJ6),"")</f>
        <v/>
      </c>
      <c r="E5" s="45" t="str">
        <f>IF(Main!$AQ$2="A",IF('5'!AL6="-","",'5'!AL6),"")</f>
        <v/>
      </c>
      <c r="G5" s="125" t="str">
        <f>IF(Main!$AJ$1=0,"",IF('4'!D6=0,"",'4'!D6))</f>
        <v/>
      </c>
      <c r="H5" s="46" t="str">
        <f>IF(Main!$AJ$1=0,"",IF('4'!E6=0,"",'4'!E6))</f>
        <v/>
      </c>
      <c r="I5" s="124" t="str">
        <f>IF(Main!$AP$2="A",IF('4'!DH6="-","",'4'!DH6),"")</f>
        <v/>
      </c>
      <c r="J5" s="46" t="str">
        <f>IF(Main!$AP$2="A",IF('4'!DI6="-","",'4'!DI6),"")</f>
        <v/>
      </c>
      <c r="K5" s="43" t="str">
        <f>IF(Main!$AP$2="A",IF('4'!EF6="-","",'4'!EF6),"")</f>
        <v/>
      </c>
      <c r="L5" s="46" t="str">
        <f>IF(Main!$AP$2="A",IF('4'!EG6="-","",'4'!EG6),"")</f>
        <v/>
      </c>
      <c r="M5" s="43" t="str">
        <f>IF(Main!$AQ$2="A",IF('5'!CV6="-","",'5'!CV6),"")</f>
        <v/>
      </c>
      <c r="N5" s="46" t="str">
        <f>IF(Main!$AQ$2="A",IF('5'!CW6="-","",'5'!CW6),"")</f>
        <v/>
      </c>
      <c r="O5" s="43" t="str">
        <f>IF(Main!$AQ$2="A",IF('5'!DT6="-","",'5'!DT6),"")</f>
        <v/>
      </c>
      <c r="P5" s="46" t="str">
        <f>IF(Main!$AQ$2="A",IF('5'!DU6="-","",'5'!DU6),"")</f>
        <v/>
      </c>
    </row>
    <row r="6" spans="1:17">
      <c r="A6" s="42" t="str">
        <f>IF(Main!$AJ$1=0,"",IF('4'!C7=0,"",'4'!C7))</f>
        <v/>
      </c>
      <c r="B6" s="42" t="str">
        <f>IF(Main!$AP$2="A",IF('4'!AK7="-","",'4'!AK7),"")</f>
        <v/>
      </c>
      <c r="C6" s="42" t="str">
        <f>IF(Main!$AP$2="A",IF('4'!AM7="-","",'4'!AM7),"")</f>
        <v/>
      </c>
      <c r="D6" s="42" t="str">
        <f>IF(Main!$AQ$2="A",IF('5'!AJ7="-","",'5'!AJ7),"")</f>
        <v/>
      </c>
      <c r="E6" s="42" t="str">
        <f>IF(Main!$AQ$2="A",IF('5'!AL7="-","",'5'!AL7),"")</f>
        <v/>
      </c>
      <c r="G6" s="125" t="str">
        <f>IF(Main!$AJ$1=0,"",IF('4'!D7=0,"",'4'!D7))</f>
        <v/>
      </c>
      <c r="H6" s="47" t="str">
        <f>IF(Main!$AJ$1=0,"",IF('4'!E7=0,"",'4'!E7))</f>
        <v/>
      </c>
      <c r="I6" s="125" t="str">
        <f>IF(Main!$AP$2="A",IF('4'!DH7="-","",'4'!DH7),"")</f>
        <v/>
      </c>
      <c r="J6" s="47" t="str">
        <f>IF(Main!$AP$2="A",IF('4'!DI7="-","",'4'!DI7),"")</f>
        <v/>
      </c>
      <c r="K6" s="44" t="str">
        <f>IF(Main!$AP$2="A",IF('4'!EF7="-","",'4'!EF7),"")</f>
        <v/>
      </c>
      <c r="L6" s="47" t="str">
        <f>IF(Main!$AP$2="A",IF('4'!EG7="-","",'4'!EG7),"")</f>
        <v/>
      </c>
      <c r="M6" s="44" t="str">
        <f>IF(Main!$AQ$2="A",IF('5'!CV7="-","",'5'!CV7),"")</f>
        <v/>
      </c>
      <c r="N6" s="47" t="str">
        <f>IF(Main!$AQ$2="A",IF('5'!CW7="-","",'5'!CW7),"")</f>
        <v/>
      </c>
      <c r="O6" s="44" t="str">
        <f>IF(Main!$AQ$2="A",IF('5'!DT7="-","",'5'!DT7),"")</f>
        <v/>
      </c>
      <c r="P6" s="47" t="str">
        <f>IF(Main!$AQ$2="A",IF('5'!DU7="-","",'5'!DU7),"")</f>
        <v/>
      </c>
    </row>
    <row r="7" spans="1:17">
      <c r="A7" s="42" t="str">
        <f>IF(Main!$AJ$1=0,"",IF('4'!C8=0,"",'4'!C8))</f>
        <v/>
      </c>
      <c r="B7" s="42" t="str">
        <f>IF(Main!$AP$2="A",IF('4'!AK8="-","",'4'!AK8),"")</f>
        <v/>
      </c>
      <c r="C7" s="42" t="str">
        <f>IF(Main!$AP$2="A",IF('4'!AM8="-","",'4'!AM8),"")</f>
        <v/>
      </c>
      <c r="D7" s="42" t="str">
        <f>IF(Main!$AQ$2="A",IF('5'!AJ8="-","",'5'!AJ8),"")</f>
        <v/>
      </c>
      <c r="E7" s="42" t="str">
        <f>IF(Main!$AQ$2="A",IF('5'!AL8="-","",'5'!AL8),"")</f>
        <v/>
      </c>
      <c r="G7" s="125" t="str">
        <f>IF(Main!$AJ$1=0,"",IF('4'!D8=0,"",'4'!D8))</f>
        <v/>
      </c>
      <c r="H7" s="47" t="str">
        <f>IF(Main!$AJ$1=0,"",IF('4'!E8=0,"",'4'!E8))</f>
        <v/>
      </c>
      <c r="I7" s="125" t="str">
        <f>IF(Main!$AP$2="A",IF('4'!DH8="-","",'4'!DH8),"")</f>
        <v/>
      </c>
      <c r="J7" s="47" t="str">
        <f>IF(Main!$AP$2="A",IF('4'!DI8="-","",'4'!DI8),"")</f>
        <v/>
      </c>
      <c r="K7" s="44" t="str">
        <f>IF(Main!$AP$2="A",IF('4'!EF8="-","",'4'!EF8),"")</f>
        <v/>
      </c>
      <c r="L7" s="47" t="str">
        <f>IF(Main!$AP$2="A",IF('4'!EG8="-","",'4'!EG8),"")</f>
        <v/>
      </c>
      <c r="M7" s="44" t="str">
        <f>IF(Main!$AQ$2="A",IF('5'!CV8="-","",'5'!CV8),"")</f>
        <v/>
      </c>
      <c r="N7" s="47" t="str">
        <f>IF(Main!$AQ$2="A",IF('5'!CW8="-","",'5'!CW8),"")</f>
        <v/>
      </c>
      <c r="O7" s="44" t="str">
        <f>IF(Main!$AQ$2="A",IF('5'!DT8="-","",'5'!DT8),"")</f>
        <v/>
      </c>
      <c r="P7" s="47" t="str">
        <f>IF(Main!$AQ$2="A",IF('5'!DU8="-","",'5'!DU8),"")</f>
        <v/>
      </c>
    </row>
    <row r="8" spans="1:17">
      <c r="A8" s="42" t="str">
        <f>IF(Main!$AJ$1=0,"",IF('4'!C9=0,"",'4'!C9))</f>
        <v/>
      </c>
      <c r="B8" s="42" t="str">
        <f>IF(Main!$AP$2="A",IF('4'!AK9="-","",'4'!AK9),"")</f>
        <v/>
      </c>
      <c r="C8" s="42" t="str">
        <f>IF(Main!$AP$2="A",IF('4'!AM9="-","",'4'!AM9),"")</f>
        <v/>
      </c>
      <c r="D8" s="42" t="str">
        <f>IF(Main!$AQ$2="A",IF('5'!AJ9="-","",'5'!AJ9),"")</f>
        <v/>
      </c>
      <c r="E8" s="42" t="str">
        <f>IF(Main!$AQ$2="A",IF('5'!AL9="-","",'5'!AL9),"")</f>
        <v/>
      </c>
      <c r="G8" s="125" t="str">
        <f>IF(Main!$AJ$1=0,"",IF('4'!D9=0,"",'4'!D9))</f>
        <v/>
      </c>
      <c r="H8" s="47" t="str">
        <f>IF(Main!$AJ$1=0,"",IF('4'!E9=0,"",'4'!E9))</f>
        <v/>
      </c>
      <c r="I8" s="125" t="str">
        <f>IF(Main!$AP$2="A",IF('4'!DH9="-","",'4'!DH9),"")</f>
        <v/>
      </c>
      <c r="J8" s="47" t="str">
        <f>IF(Main!$AP$2="A",IF('4'!DI9="-","",'4'!DI9),"")</f>
        <v/>
      </c>
      <c r="K8" s="44" t="str">
        <f>IF(Main!$AP$2="A",IF('4'!EF9="-","",'4'!EF9),"")</f>
        <v/>
      </c>
      <c r="L8" s="47" t="str">
        <f>IF(Main!$AP$2="A",IF('4'!EG9="-","",'4'!EG9),"")</f>
        <v/>
      </c>
      <c r="M8" s="44" t="str">
        <f>IF(Main!$AQ$2="A",IF('5'!CV9="-","",'5'!CV9),"")</f>
        <v/>
      </c>
      <c r="N8" s="47" t="str">
        <f>IF(Main!$AQ$2="A",IF('5'!CW9="-","",'5'!CW9),"")</f>
        <v/>
      </c>
      <c r="O8" s="44" t="str">
        <f>IF(Main!$AQ$2="A",IF('5'!DT9="-","",'5'!DT9),"")</f>
        <v/>
      </c>
      <c r="P8" s="47" t="str">
        <f>IF(Main!$AQ$2="A",IF('5'!DU9="-","",'5'!DU9),"")</f>
        <v/>
      </c>
    </row>
    <row r="9" spans="1:17">
      <c r="A9" s="42" t="str">
        <f>IF(Main!$AJ$1=0,"",IF('4'!C10=0,"",'4'!C10))</f>
        <v/>
      </c>
      <c r="B9" s="42" t="str">
        <f>IF(Main!$AP$2="A",IF('4'!AK10="-","",'4'!AK10),"")</f>
        <v/>
      </c>
      <c r="C9" s="42" t="str">
        <f>IF(Main!$AP$2="A",IF('4'!AM10="-","",'4'!AM10),"")</f>
        <v/>
      </c>
      <c r="D9" s="42" t="str">
        <f>IF(Main!$AQ$2="A",IF('5'!AJ10="-","",'5'!AJ10),"")</f>
        <v/>
      </c>
      <c r="E9" s="42" t="str">
        <f>IF(Main!$AQ$2="A",IF('5'!AL10="-","",'5'!AL10),"")</f>
        <v/>
      </c>
      <c r="G9" s="125" t="str">
        <f>IF(Main!$AJ$1=0,"",IF('4'!D10=0,"",'4'!D10))</f>
        <v/>
      </c>
      <c r="H9" s="47" t="str">
        <f>IF(Main!$AJ$1=0,"",IF('4'!E10=0,"",'4'!E10))</f>
        <v/>
      </c>
      <c r="I9" s="125" t="str">
        <f>IF(Main!$AP$2="A",IF('4'!DH10="-","",'4'!DH10),"")</f>
        <v/>
      </c>
      <c r="J9" s="47" t="str">
        <f>IF(Main!$AP$2="A",IF('4'!DI10="-","",'4'!DI10),"")</f>
        <v/>
      </c>
      <c r="K9" s="44" t="str">
        <f>IF(Main!$AP$2="A",IF('4'!EF10="-","",'4'!EF10),"")</f>
        <v/>
      </c>
      <c r="L9" s="47" t="str">
        <f>IF(Main!$AP$2="A",IF('4'!EG10="-","",'4'!EG10),"")</f>
        <v/>
      </c>
      <c r="M9" s="44" t="str">
        <f>IF(Main!$AQ$2="A",IF('5'!CV10="-","",'5'!CV10),"")</f>
        <v/>
      </c>
      <c r="N9" s="47" t="str">
        <f>IF(Main!$AQ$2="A",IF('5'!CW10="-","",'5'!CW10),"")</f>
        <v/>
      </c>
      <c r="O9" s="44" t="str">
        <f>IF(Main!$AQ$2="A",IF('5'!DT10="-","",'5'!DT10),"")</f>
        <v/>
      </c>
      <c r="P9" s="47" t="str">
        <f>IF(Main!$AQ$2="A",IF('5'!DU10="-","",'5'!DU10),"")</f>
        <v/>
      </c>
    </row>
    <row r="10" spans="1:17">
      <c r="A10" s="42" t="str">
        <f>IF(Main!$AJ$1=0,"",IF('4'!C11=0,"",'4'!C11))</f>
        <v/>
      </c>
      <c r="B10" s="42" t="str">
        <f>IF(Main!$AP$2="A",IF('4'!AK11="-","",'4'!AK11),"")</f>
        <v/>
      </c>
      <c r="C10" s="42" t="str">
        <f>IF(Main!$AP$2="A",IF('4'!AM11="-","",'4'!AM11),"")</f>
        <v/>
      </c>
      <c r="D10" s="42" t="str">
        <f>IF(Main!$AQ$2="A",IF('5'!AJ11="-","",'5'!AJ11),"")</f>
        <v/>
      </c>
      <c r="E10" s="42" t="str">
        <f>IF(Main!$AQ$2="A",IF('5'!AL11="-","",'5'!AL11),"")</f>
        <v/>
      </c>
      <c r="G10" s="125" t="str">
        <f>IF(Main!$AJ$1=0,"",IF('4'!D11=0,"",'4'!D11))</f>
        <v/>
      </c>
      <c r="H10" s="47" t="str">
        <f>IF(Main!$AJ$1=0,"",IF('4'!E11=0,"",'4'!E11))</f>
        <v/>
      </c>
      <c r="I10" s="125" t="str">
        <f>IF(Main!$AP$2="A",IF('4'!DH11="-","",'4'!DH11),"")</f>
        <v/>
      </c>
      <c r="J10" s="47" t="str">
        <f>IF(Main!$AP$2="A",IF('4'!DI11="-","",'4'!DI11),"")</f>
        <v/>
      </c>
      <c r="K10" s="44" t="str">
        <f>IF(Main!$AP$2="A",IF('4'!EF11="-","",'4'!EF11),"")</f>
        <v/>
      </c>
      <c r="L10" s="47" t="str">
        <f>IF(Main!$AP$2="A",IF('4'!EG11="-","",'4'!EG11),"")</f>
        <v/>
      </c>
      <c r="M10" s="44" t="str">
        <f>IF(Main!$AQ$2="A",IF('5'!CV11="-","",'5'!CV11),"")</f>
        <v/>
      </c>
      <c r="N10" s="47" t="str">
        <f>IF(Main!$AQ$2="A",IF('5'!CW11="-","",'5'!CW11),"")</f>
        <v/>
      </c>
      <c r="O10" s="44" t="str">
        <f>IF(Main!$AQ$2="A",IF('5'!DT11="-","",'5'!DT11),"")</f>
        <v/>
      </c>
      <c r="P10" s="47" t="str">
        <f>IF(Main!$AQ$2="A",IF('5'!DU11="-","",'5'!DU11),"")</f>
        <v/>
      </c>
    </row>
    <row r="11" spans="1:17">
      <c r="A11" s="42" t="str">
        <f>IF(Main!$AJ$1=0,"",IF('4'!C12=0,"",'4'!C12))</f>
        <v/>
      </c>
      <c r="B11" s="42" t="str">
        <f>IF(Main!$AP$2="A",IF('4'!AK12="-","",'4'!AK12),"")</f>
        <v/>
      </c>
      <c r="C11" s="42" t="str">
        <f>IF(Main!$AP$2="A",IF('4'!AM12="-","",'4'!AM12),"")</f>
        <v/>
      </c>
      <c r="D11" s="42" t="str">
        <f>IF(Main!$AQ$2="A",IF('5'!AJ12="-","",'5'!AJ12),"")</f>
        <v/>
      </c>
      <c r="E11" s="42" t="str">
        <f>IF(Main!$AQ$2="A",IF('5'!AL12="-","",'5'!AL12),"")</f>
        <v/>
      </c>
      <c r="G11" s="125" t="str">
        <f>IF(Main!$AJ$1=0,"",IF('4'!D12=0,"",'4'!D12))</f>
        <v/>
      </c>
      <c r="H11" s="47" t="str">
        <f>IF(Main!$AJ$1=0,"",IF('4'!E12=0,"",'4'!E12))</f>
        <v/>
      </c>
      <c r="I11" s="125" t="str">
        <f>IF(Main!$AP$2="A",IF('4'!DH12="-","",'4'!DH12),"")</f>
        <v/>
      </c>
      <c r="J11" s="47" t="str">
        <f>IF(Main!$AP$2="A",IF('4'!DI12="-","",'4'!DI12),"")</f>
        <v/>
      </c>
      <c r="K11" s="44" t="str">
        <f>IF(Main!$AP$2="A",IF('4'!EF12="-","",'4'!EF12),"")</f>
        <v/>
      </c>
      <c r="L11" s="47" t="str">
        <f>IF(Main!$AP$2="A",IF('4'!EG12="-","",'4'!EG12),"")</f>
        <v/>
      </c>
      <c r="M11" s="44" t="str">
        <f>IF(Main!$AQ$2="A",IF('5'!CV12="-","",'5'!CV12),"")</f>
        <v/>
      </c>
      <c r="N11" s="47" t="str">
        <f>IF(Main!$AQ$2="A",IF('5'!CW12="-","",'5'!CW12),"")</f>
        <v/>
      </c>
      <c r="O11" s="44" t="str">
        <f>IF(Main!$AQ$2="A",IF('5'!DT12="-","",'5'!DT12),"")</f>
        <v/>
      </c>
      <c r="P11" s="47" t="str">
        <f>IF(Main!$AQ$2="A",IF('5'!DU12="-","",'5'!DU12),"")</f>
        <v/>
      </c>
    </row>
    <row r="12" spans="1:17">
      <c r="A12" s="42" t="str">
        <f>IF(Main!$AJ$1=0,"",IF('4'!C13=0,"",'4'!C13))</f>
        <v/>
      </c>
      <c r="B12" s="42" t="str">
        <f>IF(Main!$AP$2="A",IF('4'!AK13="-","",'4'!AK13),"")</f>
        <v/>
      </c>
      <c r="C12" s="42" t="str">
        <f>IF(Main!$AP$2="A",IF('4'!AM13="-","",'4'!AM13),"")</f>
        <v/>
      </c>
      <c r="D12" s="42" t="str">
        <f>IF(Main!$AQ$2="A",IF('5'!AJ13="-","",'5'!AJ13),"")</f>
        <v/>
      </c>
      <c r="E12" s="42" t="str">
        <f>IF(Main!$AQ$2="A",IF('5'!AL13="-","",'5'!AL13),"")</f>
        <v/>
      </c>
      <c r="G12" s="125" t="str">
        <f>IF(Main!$AJ$1=0,"",IF('4'!D13=0,"",'4'!D13))</f>
        <v/>
      </c>
      <c r="H12" s="47" t="str">
        <f>IF(Main!$AJ$1=0,"",IF('4'!E13=0,"",'4'!E13))</f>
        <v/>
      </c>
      <c r="I12" s="125" t="str">
        <f>IF(Main!$AP$2="A",IF('4'!DH13="-","",'4'!DH13),"")</f>
        <v/>
      </c>
      <c r="J12" s="47" t="str">
        <f>IF(Main!$AP$2="A",IF('4'!DI13="-","",'4'!DI13),"")</f>
        <v/>
      </c>
      <c r="K12" s="44" t="str">
        <f>IF(Main!$AP$2="A",IF('4'!EF13="-","",'4'!EF13),"")</f>
        <v/>
      </c>
      <c r="L12" s="47" t="str">
        <f>IF(Main!$AP$2="A",IF('4'!EG13="-","",'4'!EG13),"")</f>
        <v/>
      </c>
      <c r="M12" s="44" t="str">
        <f>IF(Main!$AQ$2="A",IF('5'!CV13="-","",'5'!CV13),"")</f>
        <v/>
      </c>
      <c r="N12" s="47" t="str">
        <f>IF(Main!$AQ$2="A",IF('5'!CW13="-","",'5'!CW13),"")</f>
        <v/>
      </c>
      <c r="O12" s="44" t="str">
        <f>IF(Main!$AQ$2="A",IF('5'!DT13="-","",'5'!DT13),"")</f>
        <v/>
      </c>
      <c r="P12" s="47" t="str">
        <f>IF(Main!$AQ$2="A",IF('5'!DU13="-","",'5'!DU13),"")</f>
        <v/>
      </c>
    </row>
    <row r="13" spans="1:17">
      <c r="A13" s="42" t="str">
        <f>IF(Main!$AJ$1=0,"",IF('4'!C14=0,"",'4'!C14))</f>
        <v/>
      </c>
      <c r="B13" s="42" t="str">
        <f>IF(Main!$AP$2="A",IF('4'!AK14="-","",'4'!AK14),"")</f>
        <v/>
      </c>
      <c r="C13" s="42" t="str">
        <f>IF(Main!$AP$2="A",IF('4'!AM14="-","",'4'!AM14),"")</f>
        <v/>
      </c>
      <c r="D13" s="42" t="str">
        <f>IF(Main!$AQ$2="A",IF('5'!AJ14="-","",'5'!AJ14),"")</f>
        <v/>
      </c>
      <c r="E13" s="42" t="str">
        <f>IF(Main!$AQ$2="A",IF('5'!AL14="-","",'5'!AL14),"")</f>
        <v/>
      </c>
      <c r="G13" s="125" t="str">
        <f>IF(Main!$AJ$1=0,"",IF('4'!D14=0,"",'4'!D14))</f>
        <v/>
      </c>
      <c r="H13" s="47" t="str">
        <f>IF(Main!$AJ$1=0,"",IF('4'!E14=0,"",'4'!E14))</f>
        <v/>
      </c>
      <c r="I13" s="125" t="str">
        <f>IF(Main!$AP$2="A",IF('4'!DH14="-","",'4'!DH14),"")</f>
        <v/>
      </c>
      <c r="J13" s="47" t="str">
        <f>IF(Main!$AP$2="A",IF('4'!DI14="-","",'4'!DI14),"")</f>
        <v/>
      </c>
      <c r="K13" s="44" t="str">
        <f>IF(Main!$AP$2="A",IF('4'!EF14="-","",'4'!EF14),"")</f>
        <v/>
      </c>
      <c r="L13" s="47" t="str">
        <f>IF(Main!$AP$2="A",IF('4'!EG14="-","",'4'!EG14),"")</f>
        <v/>
      </c>
      <c r="M13" s="44" t="str">
        <f>IF(Main!$AQ$2="A",IF('5'!CV14="-","",'5'!CV14),"")</f>
        <v/>
      </c>
      <c r="N13" s="47" t="str">
        <f>IF(Main!$AQ$2="A",IF('5'!CW14="-","",'5'!CW14),"")</f>
        <v/>
      </c>
      <c r="O13" s="44" t="str">
        <f>IF(Main!$AQ$2="A",IF('5'!DT14="-","",'5'!DT14),"")</f>
        <v/>
      </c>
      <c r="P13" s="47" t="str">
        <f>IF(Main!$AQ$2="A",IF('5'!DU14="-","",'5'!DU14),"")</f>
        <v/>
      </c>
    </row>
    <row r="14" spans="1:17">
      <c r="A14" s="42" t="str">
        <f>IF(Main!$AJ$1=0,"",IF('4'!C15=0,"",'4'!C15))</f>
        <v/>
      </c>
      <c r="B14" s="42" t="str">
        <f>IF(Main!$AP$2="A",IF('4'!AK15="-","",'4'!AK15),"")</f>
        <v/>
      </c>
      <c r="C14" s="42" t="str">
        <f>IF(Main!$AP$2="A",IF('4'!AM15="-","",'4'!AM15),"")</f>
        <v/>
      </c>
      <c r="D14" s="42" t="str">
        <f>IF(Main!$AQ$2="A",IF('5'!AJ15="-","",'5'!AJ15),"")</f>
        <v/>
      </c>
      <c r="E14" s="42" t="str">
        <f>IF(Main!$AQ$2="A",IF('5'!AL15="-","",'5'!AL15),"")</f>
        <v/>
      </c>
      <c r="G14" s="125" t="str">
        <f>IF(Main!$AJ$1=0,"",IF('4'!D15=0,"",'4'!D15))</f>
        <v/>
      </c>
      <c r="H14" s="47" t="str">
        <f>IF(Main!$AJ$1=0,"",IF('4'!E15=0,"",'4'!E15))</f>
        <v/>
      </c>
      <c r="I14" s="125" t="str">
        <f>IF(Main!$AP$2="A",IF('4'!DH15="-","",'4'!DH15),"")</f>
        <v/>
      </c>
      <c r="J14" s="47" t="str">
        <f>IF(Main!$AP$2="A",IF('4'!DI15="-","",'4'!DI15),"")</f>
        <v/>
      </c>
      <c r="K14" s="44" t="str">
        <f>IF(Main!$AP$2="A",IF('4'!EF15="-","",'4'!EF15),"")</f>
        <v/>
      </c>
      <c r="L14" s="47" t="str">
        <f>IF(Main!$AP$2="A",IF('4'!EG15="-","",'4'!EG15),"")</f>
        <v/>
      </c>
      <c r="M14" s="44" t="str">
        <f>IF(Main!$AQ$2="A",IF('5'!CV15="-","",'5'!CV15),"")</f>
        <v/>
      </c>
      <c r="N14" s="47" t="str">
        <f>IF(Main!$AQ$2="A",IF('5'!CW15="-","",'5'!CW15),"")</f>
        <v/>
      </c>
      <c r="O14" s="44" t="str">
        <f>IF(Main!$AQ$2="A",IF('5'!DT15="-","",'5'!DT15),"")</f>
        <v/>
      </c>
      <c r="P14" s="47" t="str">
        <f>IF(Main!$AQ$2="A",IF('5'!DU15="-","",'5'!DU15),"")</f>
        <v/>
      </c>
    </row>
    <row r="15" spans="1:17">
      <c r="A15" s="42" t="str">
        <f>IF(Main!$AJ$1=0,"",IF('4'!C16=0,"",'4'!C16))</f>
        <v/>
      </c>
      <c r="B15" s="42" t="str">
        <f>IF(Main!$AP$2="A",IF('4'!AK16="-","",'4'!AK16),"")</f>
        <v/>
      </c>
      <c r="C15" s="42" t="str">
        <f>IF(Main!$AP$2="A",IF('4'!AM16="-","",'4'!AM16),"")</f>
        <v/>
      </c>
      <c r="D15" s="42" t="str">
        <f>IF(Main!$AQ$2="A",IF('5'!AJ16="-","",'5'!AJ16),"")</f>
        <v/>
      </c>
      <c r="E15" s="42" t="str">
        <f>IF(Main!$AQ$2="A",IF('5'!AL16="-","",'5'!AL16),"")</f>
        <v/>
      </c>
      <c r="G15" s="125" t="str">
        <f>IF(Main!$AJ$1=0,"",IF('4'!D16=0,"",'4'!D16))</f>
        <v/>
      </c>
      <c r="H15" s="47" t="str">
        <f>IF(Main!$AJ$1=0,"",IF('4'!E16=0,"",'4'!E16))</f>
        <v/>
      </c>
      <c r="I15" s="125" t="str">
        <f>IF(Main!$AP$2="A",IF('4'!DH16="-","",'4'!DH16),"")</f>
        <v/>
      </c>
      <c r="J15" s="47" t="str">
        <f>IF(Main!$AP$2="A",IF('4'!DI16="-","",'4'!DI16),"")</f>
        <v/>
      </c>
      <c r="K15" s="44" t="str">
        <f>IF(Main!$AP$2="A",IF('4'!EF16="-","",'4'!EF16),"")</f>
        <v/>
      </c>
      <c r="L15" s="47" t="str">
        <f>IF(Main!$AP$2="A",IF('4'!EG16="-","",'4'!EG16),"")</f>
        <v/>
      </c>
      <c r="M15" s="44" t="str">
        <f>IF(Main!$AQ$2="A",IF('5'!CV16="-","",'5'!CV16),"")</f>
        <v/>
      </c>
      <c r="N15" s="47" t="str">
        <f>IF(Main!$AQ$2="A",IF('5'!CW16="-","",'5'!CW16),"")</f>
        <v/>
      </c>
      <c r="O15" s="44" t="str">
        <f>IF(Main!$AQ$2="A",IF('5'!DT16="-","",'5'!DT16),"")</f>
        <v/>
      </c>
      <c r="P15" s="47" t="str">
        <f>IF(Main!$AQ$2="A",IF('5'!DU16="-","",'5'!DU16),"")</f>
        <v/>
      </c>
    </row>
    <row r="16" spans="1:17">
      <c r="A16" s="42" t="str">
        <f>IF(Main!$AJ$1=0,"",IF('4'!C17=0,"",'4'!C17))</f>
        <v/>
      </c>
      <c r="B16" s="42" t="str">
        <f>IF(Main!$AP$2="A",IF('4'!AK17="-","",'4'!AK17),"")</f>
        <v/>
      </c>
      <c r="C16" s="42" t="str">
        <f>IF(Main!$AP$2="A",IF('4'!AM17="-","",'4'!AM17),"")</f>
        <v/>
      </c>
      <c r="D16" s="42" t="str">
        <f>IF(Main!$AQ$2="A",IF('5'!AJ17="-","",'5'!AJ17),"")</f>
        <v/>
      </c>
      <c r="E16" s="42" t="str">
        <f>IF(Main!$AQ$2="A",IF('5'!AL17="-","",'5'!AL17),"")</f>
        <v/>
      </c>
      <c r="G16" s="125" t="str">
        <f>IF(Main!$AJ$1=0,"",IF('4'!D17=0,"",'4'!D17))</f>
        <v/>
      </c>
      <c r="H16" s="47" t="str">
        <f>IF(Main!$AJ$1=0,"",IF('4'!E17=0,"",'4'!E17))</f>
        <v/>
      </c>
      <c r="I16" s="125" t="str">
        <f>IF(Main!$AP$2="A",IF('4'!DH17="-","",'4'!DH17),"")</f>
        <v/>
      </c>
      <c r="J16" s="47" t="str">
        <f>IF(Main!$AP$2="A",IF('4'!DI17="-","",'4'!DI17),"")</f>
        <v/>
      </c>
      <c r="K16" s="44" t="str">
        <f>IF(Main!$AP$2="A",IF('4'!EF17="-","",'4'!EF17),"")</f>
        <v/>
      </c>
      <c r="L16" s="47" t="str">
        <f>IF(Main!$AP$2="A",IF('4'!EG17="-","",'4'!EG17),"")</f>
        <v/>
      </c>
      <c r="M16" s="44" t="str">
        <f>IF(Main!$AQ$2="A",IF('5'!CV17="-","",'5'!CV17),"")</f>
        <v/>
      </c>
      <c r="N16" s="47" t="str">
        <f>IF(Main!$AQ$2="A",IF('5'!CW17="-","",'5'!CW17),"")</f>
        <v/>
      </c>
      <c r="O16" s="44" t="str">
        <f>IF(Main!$AQ$2="A",IF('5'!DT17="-","",'5'!DT17),"")</f>
        <v/>
      </c>
      <c r="P16" s="47" t="str">
        <f>IF(Main!$AQ$2="A",IF('5'!DU17="-","",'5'!DU17),"")</f>
        <v/>
      </c>
    </row>
    <row r="17" spans="1:16">
      <c r="A17" s="42" t="str">
        <f>IF(Main!$AJ$1=0,"",IF('4'!C18=0,"",'4'!C18))</f>
        <v/>
      </c>
      <c r="B17" s="42" t="str">
        <f>IF(Main!$AP$2="A",IF('4'!AK18="-","",'4'!AK18),"")</f>
        <v/>
      </c>
      <c r="C17" s="42" t="str">
        <f>IF(Main!$AP$2="A",IF('4'!AM18="-","",'4'!AM18),"")</f>
        <v/>
      </c>
      <c r="D17" s="42" t="str">
        <f>IF(Main!$AQ$2="A",IF('5'!AJ18="-","",'5'!AJ18),"")</f>
        <v/>
      </c>
      <c r="E17" s="42" t="str">
        <f>IF(Main!$AQ$2="A",IF('5'!AL18="-","",'5'!AL18),"")</f>
        <v/>
      </c>
      <c r="G17" s="125" t="str">
        <f>IF(Main!$AJ$1=0,"",IF('4'!D18=0,"",'4'!D18))</f>
        <v/>
      </c>
      <c r="H17" s="47" t="str">
        <f>IF(Main!$AJ$1=0,"",IF('4'!E18=0,"",'4'!E18))</f>
        <v/>
      </c>
      <c r="I17" s="125" t="str">
        <f>IF(Main!$AP$2="A",IF('4'!DH18="-","",'4'!DH18),"")</f>
        <v/>
      </c>
      <c r="J17" s="47" t="str">
        <f>IF(Main!$AP$2="A",IF('4'!DI18="-","",'4'!DI18),"")</f>
        <v/>
      </c>
      <c r="K17" s="44" t="str">
        <f>IF(Main!$AP$2="A",IF('4'!EF18="-","",'4'!EF18),"")</f>
        <v/>
      </c>
      <c r="L17" s="47" t="str">
        <f>IF(Main!$AP$2="A",IF('4'!EG18="-","",'4'!EG18),"")</f>
        <v/>
      </c>
      <c r="M17" s="44" t="str">
        <f>IF(Main!$AQ$2="A",IF('5'!CV18="-","",'5'!CV18),"")</f>
        <v/>
      </c>
      <c r="N17" s="47" t="str">
        <f>IF(Main!$AQ$2="A",IF('5'!CW18="-","",'5'!CW18),"")</f>
        <v/>
      </c>
      <c r="O17" s="44" t="str">
        <f>IF(Main!$AQ$2="A",IF('5'!DT18="-","",'5'!DT18),"")</f>
        <v/>
      </c>
      <c r="P17" s="47" t="str">
        <f>IF(Main!$AQ$2="A",IF('5'!DU18="-","",'5'!DU18),"")</f>
        <v/>
      </c>
    </row>
    <row r="18" spans="1:16">
      <c r="A18" s="42" t="str">
        <f>IF(Main!$AJ$1=0,"",IF('4'!C19=0,"",'4'!C19))</f>
        <v/>
      </c>
      <c r="B18" s="42" t="str">
        <f>IF(Main!$AP$2="A",IF('4'!AK19="-","",'4'!AK19),"")</f>
        <v/>
      </c>
      <c r="C18" s="42" t="str">
        <f>IF(Main!$AP$2="A",IF('4'!AM19="-","",'4'!AM19),"")</f>
        <v/>
      </c>
      <c r="D18" s="42" t="str">
        <f>IF(Main!$AQ$2="A",IF('5'!AJ19="-","",'5'!AJ19),"")</f>
        <v/>
      </c>
      <c r="E18" s="42" t="str">
        <f>IF(Main!$AQ$2="A",IF('5'!AL19="-","",'5'!AL19),"")</f>
        <v/>
      </c>
      <c r="G18" s="125" t="str">
        <f>IF(Main!$AJ$1=0,"",IF('4'!D19=0,"",'4'!D19))</f>
        <v/>
      </c>
      <c r="H18" s="47" t="str">
        <f>IF(Main!$AJ$1=0,"",IF('4'!E19=0,"",'4'!E19))</f>
        <v/>
      </c>
      <c r="I18" s="125" t="str">
        <f>IF(Main!$AP$2="A",IF('4'!DH19="-","",'4'!DH19),"")</f>
        <v/>
      </c>
      <c r="J18" s="47" t="str">
        <f>IF(Main!$AP$2="A",IF('4'!DI19="-","",'4'!DI19),"")</f>
        <v/>
      </c>
      <c r="K18" s="44" t="str">
        <f>IF(Main!$AP$2="A",IF('4'!EF19="-","",'4'!EF19),"")</f>
        <v/>
      </c>
      <c r="L18" s="47" t="str">
        <f>IF(Main!$AP$2="A",IF('4'!EG19="-","",'4'!EG19),"")</f>
        <v/>
      </c>
      <c r="M18" s="44" t="str">
        <f>IF(Main!$AQ$2="A",IF('5'!CV19="-","",'5'!CV19),"")</f>
        <v/>
      </c>
      <c r="N18" s="47" t="str">
        <f>IF(Main!$AQ$2="A",IF('5'!CW19="-","",'5'!CW19),"")</f>
        <v/>
      </c>
      <c r="O18" s="44" t="str">
        <f>IF(Main!$AQ$2="A",IF('5'!DT19="-","",'5'!DT19),"")</f>
        <v/>
      </c>
      <c r="P18" s="47" t="str">
        <f>IF(Main!$AQ$2="A",IF('5'!DU19="-","",'5'!DU19),"")</f>
        <v/>
      </c>
    </row>
    <row r="19" spans="1:16">
      <c r="A19" s="42" t="str">
        <f>IF(Main!$AJ$1=0,"",IF('4'!C20=0,"",'4'!C20))</f>
        <v/>
      </c>
      <c r="B19" s="42" t="str">
        <f>IF(Main!$AP$2="A",IF('4'!AK20="-","",'4'!AK20),"")</f>
        <v/>
      </c>
      <c r="C19" s="42" t="str">
        <f>IF(Main!$AP$2="A",IF('4'!AM20="-","",'4'!AM20),"")</f>
        <v/>
      </c>
      <c r="D19" s="42" t="str">
        <f>IF(Main!$AQ$2="A",IF('5'!AJ20="-","",'5'!AJ20),"")</f>
        <v/>
      </c>
      <c r="E19" s="42" t="str">
        <f>IF(Main!$AQ$2="A",IF('5'!AL20="-","",'5'!AL20),"")</f>
        <v/>
      </c>
      <c r="G19" s="125" t="str">
        <f>IF(Main!$AJ$1=0,"",IF('4'!D20=0,"",'4'!D20))</f>
        <v/>
      </c>
      <c r="H19" s="47" t="str">
        <f>IF(Main!$AJ$1=0,"",IF('4'!E20=0,"",'4'!E20))</f>
        <v/>
      </c>
      <c r="I19" s="125" t="str">
        <f>IF(Main!$AP$2="A",IF('4'!DH20="-","",'4'!DH20),"")</f>
        <v/>
      </c>
      <c r="J19" s="47" t="str">
        <f>IF(Main!$AP$2="A",IF('4'!DI20="-","",'4'!DI20),"")</f>
        <v/>
      </c>
      <c r="K19" s="44" t="str">
        <f>IF(Main!$AP$2="A",IF('4'!EF20="-","",'4'!EF20),"")</f>
        <v/>
      </c>
      <c r="L19" s="47" t="str">
        <f>IF(Main!$AP$2="A",IF('4'!EG20="-","",'4'!EG20),"")</f>
        <v/>
      </c>
      <c r="M19" s="44" t="str">
        <f>IF(Main!$AQ$2="A",IF('5'!CV20="-","",'5'!CV20),"")</f>
        <v/>
      </c>
      <c r="N19" s="47" t="str">
        <f>IF(Main!$AQ$2="A",IF('5'!CW20="-","",'5'!CW20),"")</f>
        <v/>
      </c>
      <c r="O19" s="44" t="str">
        <f>IF(Main!$AQ$2="A",IF('5'!DT20="-","",'5'!DT20),"")</f>
        <v/>
      </c>
      <c r="P19" s="47" t="str">
        <f>IF(Main!$AQ$2="A",IF('5'!DU20="-","",'5'!DU20),"")</f>
        <v/>
      </c>
    </row>
    <row r="20" spans="1:16">
      <c r="A20" s="42" t="str">
        <f>IF(Main!$AJ$1=0,"",IF('4'!C21=0,"",'4'!C21))</f>
        <v/>
      </c>
      <c r="B20" s="42" t="str">
        <f>IF(Main!$AP$2="A",IF('4'!AK21="-","",'4'!AK21),"")</f>
        <v/>
      </c>
      <c r="C20" s="42" t="str">
        <f>IF(Main!$AP$2="A",IF('4'!AM21="-","",'4'!AM21),"")</f>
        <v/>
      </c>
      <c r="D20" s="42" t="str">
        <f>IF(Main!$AQ$2="A",IF('5'!AJ21="-","",'5'!AJ21),"")</f>
        <v/>
      </c>
      <c r="E20" s="42" t="str">
        <f>IF(Main!$AQ$2="A",IF('5'!AL21="-","",'5'!AL21),"")</f>
        <v/>
      </c>
      <c r="G20" s="125" t="str">
        <f>IF(Main!$AJ$1=0,"",IF('4'!D21=0,"",'4'!D21))</f>
        <v/>
      </c>
      <c r="H20" s="47" t="str">
        <f>IF(Main!$AJ$1=0,"",IF('4'!E21=0,"",'4'!E21))</f>
        <v/>
      </c>
      <c r="I20" s="125" t="str">
        <f>IF(Main!$AP$2="A",IF('4'!DH21="-","",'4'!DH21),"")</f>
        <v/>
      </c>
      <c r="J20" s="47" t="str">
        <f>IF(Main!$AP$2="A",IF('4'!DI21="-","",'4'!DI21),"")</f>
        <v/>
      </c>
      <c r="K20" s="44" t="str">
        <f>IF(Main!$AP$2="A",IF('4'!EF21="-","",'4'!EF21),"")</f>
        <v/>
      </c>
      <c r="L20" s="47" t="str">
        <f>IF(Main!$AP$2="A",IF('4'!EG21="-","",'4'!EG21),"")</f>
        <v/>
      </c>
      <c r="M20" s="44" t="str">
        <f>IF(Main!$AQ$2="A",IF('5'!CV21="-","",'5'!CV21),"")</f>
        <v/>
      </c>
      <c r="N20" s="47" t="str">
        <f>IF(Main!$AQ$2="A",IF('5'!CW21="-","",'5'!CW21),"")</f>
        <v/>
      </c>
      <c r="O20" s="44" t="str">
        <f>IF(Main!$AQ$2="A",IF('5'!DT21="-","",'5'!DT21),"")</f>
        <v/>
      </c>
      <c r="P20" s="47" t="str">
        <f>IF(Main!$AQ$2="A",IF('5'!DU21="-","",'5'!DU21),"")</f>
        <v/>
      </c>
    </row>
    <row r="21" spans="1:16">
      <c r="A21" s="42" t="str">
        <f>IF(Main!$AJ$1=0,"",IF('4'!C22=0,"",'4'!C22))</f>
        <v/>
      </c>
      <c r="B21" s="42" t="str">
        <f>IF(Main!$AP$2="A",IF('4'!AK22="-","",'4'!AK22),"")</f>
        <v/>
      </c>
      <c r="C21" s="42" t="str">
        <f>IF(Main!$AP$2="A",IF('4'!AM22="-","",'4'!AM22),"")</f>
        <v/>
      </c>
      <c r="D21" s="42" t="str">
        <f>IF(Main!$AQ$2="A",IF('5'!AJ22="-","",'5'!AJ22),"")</f>
        <v/>
      </c>
      <c r="E21" s="42" t="str">
        <f>IF(Main!$AQ$2="A",IF('5'!AL22="-","",'5'!AL22),"")</f>
        <v/>
      </c>
      <c r="G21" s="125" t="str">
        <f>IF(Main!$AJ$1=0,"",IF('4'!D22=0,"",'4'!D22))</f>
        <v/>
      </c>
      <c r="H21" s="47" t="str">
        <f>IF(Main!$AJ$1=0,"",IF('4'!E22=0,"",'4'!E22))</f>
        <v/>
      </c>
      <c r="I21" s="125" t="str">
        <f>IF(Main!$AP$2="A",IF('4'!DH22="-","",'4'!DH22),"")</f>
        <v/>
      </c>
      <c r="J21" s="47" t="str">
        <f>IF(Main!$AP$2="A",IF('4'!DI22="-","",'4'!DI22),"")</f>
        <v/>
      </c>
      <c r="K21" s="44" t="str">
        <f>IF(Main!$AP$2="A",IF('4'!EF22="-","",'4'!EF22),"")</f>
        <v/>
      </c>
      <c r="L21" s="47" t="str">
        <f>IF(Main!$AP$2="A",IF('4'!EG22="-","",'4'!EG22),"")</f>
        <v/>
      </c>
      <c r="M21" s="44" t="str">
        <f>IF(Main!$AQ$2="A",IF('5'!CV22="-","",'5'!CV22),"")</f>
        <v/>
      </c>
      <c r="N21" s="47" t="str">
        <f>IF(Main!$AQ$2="A",IF('5'!CW22="-","",'5'!CW22),"")</f>
        <v/>
      </c>
      <c r="O21" s="44" t="str">
        <f>IF(Main!$AQ$2="A",IF('5'!DT22="-","",'5'!DT22),"")</f>
        <v/>
      </c>
      <c r="P21" s="47" t="str">
        <f>IF(Main!$AQ$2="A",IF('5'!DU22="-","",'5'!DU22),"")</f>
        <v/>
      </c>
    </row>
    <row r="22" spans="1:16">
      <c r="A22" s="42" t="str">
        <f>IF(Main!$AJ$1=0,"",IF('4'!C23=0,"",'4'!C23))</f>
        <v/>
      </c>
      <c r="B22" s="42" t="str">
        <f>IF(Main!$AP$2="A",IF('4'!AK23="-","",'4'!AK23),"")</f>
        <v/>
      </c>
      <c r="C22" s="42" t="str">
        <f>IF(Main!$AP$2="A",IF('4'!AM23="-","",'4'!AM23),"")</f>
        <v/>
      </c>
      <c r="D22" s="42" t="str">
        <f>IF(Main!$AQ$2="A",IF('5'!AJ23="-","",'5'!AJ23),"")</f>
        <v/>
      </c>
      <c r="E22" s="42" t="str">
        <f>IF(Main!$AQ$2="A",IF('5'!AL23="-","",'5'!AL23),"")</f>
        <v/>
      </c>
      <c r="G22" s="125" t="str">
        <f>IF(Main!$AJ$1=0,"",IF('4'!D23=0,"",'4'!D23))</f>
        <v/>
      </c>
      <c r="H22" s="47" t="str">
        <f>IF(Main!$AJ$1=0,"",IF('4'!E23=0,"",'4'!E23))</f>
        <v/>
      </c>
      <c r="I22" s="125" t="str">
        <f>IF(Main!$AP$2="A",IF('4'!DH23="-","",'4'!DH23),"")</f>
        <v/>
      </c>
      <c r="J22" s="47" t="str">
        <f>IF(Main!$AP$2="A",IF('4'!DI23="-","",'4'!DI23),"")</f>
        <v/>
      </c>
      <c r="K22" s="44" t="str">
        <f>IF(Main!$AP$2="A",IF('4'!EF23="-","",'4'!EF23),"")</f>
        <v/>
      </c>
      <c r="L22" s="47" t="str">
        <f>IF(Main!$AP$2="A",IF('4'!EG23="-","",'4'!EG23),"")</f>
        <v/>
      </c>
      <c r="M22" s="44" t="str">
        <f>IF(Main!$AQ$2="A",IF('5'!CV23="-","",'5'!CV23),"")</f>
        <v/>
      </c>
      <c r="N22" s="47" t="str">
        <f>IF(Main!$AQ$2="A",IF('5'!CW23="-","",'5'!CW23),"")</f>
        <v/>
      </c>
      <c r="O22" s="44" t="str">
        <f>IF(Main!$AQ$2="A",IF('5'!DT23="-","",'5'!DT23),"")</f>
        <v/>
      </c>
      <c r="P22" s="47" t="str">
        <f>IF(Main!$AQ$2="A",IF('5'!DU23="-","",'5'!DU23),"")</f>
        <v/>
      </c>
    </row>
    <row r="23" spans="1:16">
      <c r="A23" s="42" t="str">
        <f>IF(Main!$AJ$1=0,"",IF('4'!C24=0,"",'4'!C24))</f>
        <v/>
      </c>
      <c r="B23" s="42" t="str">
        <f>IF(Main!$AP$2="A",IF('4'!AK24="-","",'4'!AK24),"")</f>
        <v/>
      </c>
      <c r="C23" s="42" t="str">
        <f>IF(Main!$AP$2="A",IF('4'!AM24="-","",'4'!AM24),"")</f>
        <v/>
      </c>
      <c r="D23" s="42" t="str">
        <f>IF(Main!$AQ$2="A",IF('5'!AJ24="-","",'5'!AJ24),"")</f>
        <v/>
      </c>
      <c r="E23" s="42" t="str">
        <f>IF(Main!$AQ$2="A",IF('5'!AL24="-","",'5'!AL24),"")</f>
        <v/>
      </c>
      <c r="G23" s="125" t="str">
        <f>IF(Main!$AJ$1=0,"",IF('4'!D24=0,"",'4'!D24))</f>
        <v/>
      </c>
      <c r="H23" s="47" t="str">
        <f>IF(Main!$AJ$1=0,"",IF('4'!E24=0,"",'4'!E24))</f>
        <v/>
      </c>
      <c r="I23" s="125" t="str">
        <f>IF(Main!$AP$2="A",IF('4'!DH24="-","",'4'!DH24),"")</f>
        <v/>
      </c>
      <c r="J23" s="47" t="str">
        <f>IF(Main!$AP$2="A",IF('4'!DI24="-","",'4'!DI24),"")</f>
        <v/>
      </c>
      <c r="K23" s="44" t="str">
        <f>IF(Main!$AP$2="A",IF('4'!EF24="-","",'4'!EF24),"")</f>
        <v/>
      </c>
      <c r="L23" s="47" t="str">
        <f>IF(Main!$AP$2="A",IF('4'!EG24="-","",'4'!EG24),"")</f>
        <v/>
      </c>
      <c r="M23" s="44" t="str">
        <f>IF(Main!$AQ$2="A",IF('5'!CV24="-","",'5'!CV24),"")</f>
        <v/>
      </c>
      <c r="N23" s="47" t="str">
        <f>IF(Main!$AQ$2="A",IF('5'!CW24="-","",'5'!CW24),"")</f>
        <v/>
      </c>
      <c r="O23" s="44" t="str">
        <f>IF(Main!$AQ$2="A",IF('5'!DT24="-","",'5'!DT24),"")</f>
        <v/>
      </c>
      <c r="P23" s="47" t="str">
        <f>IF(Main!$AQ$2="A",IF('5'!DU24="-","",'5'!DU24),"")</f>
        <v/>
      </c>
    </row>
    <row r="24" spans="1:16">
      <c r="A24" s="42" t="str">
        <f>IF(Main!$AJ$1=0,"",IF('4'!C25=0,"",'4'!C25))</f>
        <v/>
      </c>
      <c r="B24" s="42" t="str">
        <f>IF(Main!$AP$2="A",IF('4'!AK25="-","",'4'!AK25),"")</f>
        <v/>
      </c>
      <c r="C24" s="42" t="str">
        <f>IF(Main!$AP$2="A",IF('4'!AM25="-","",'4'!AM25),"")</f>
        <v/>
      </c>
      <c r="D24" s="42" t="str">
        <f>IF(Main!$AQ$2="A",IF('5'!AJ25="-","",'5'!AJ25),"")</f>
        <v/>
      </c>
      <c r="E24" s="42" t="str">
        <f>IF(Main!$AQ$2="A",IF('5'!AL25="-","",'5'!AL25),"")</f>
        <v/>
      </c>
      <c r="G24" s="125" t="str">
        <f>IF(Main!$AJ$1=0,"",IF('4'!D25=0,"",'4'!D25))</f>
        <v/>
      </c>
      <c r="H24" s="47" t="str">
        <f>IF(Main!$AJ$1=0,"",IF('4'!E25=0,"",'4'!E25))</f>
        <v/>
      </c>
      <c r="I24" s="125" t="str">
        <f>IF(Main!$AP$2="A",IF('4'!DH25="-","",'4'!DH25),"")</f>
        <v/>
      </c>
      <c r="J24" s="47" t="str">
        <f>IF(Main!$AP$2="A",IF('4'!DI25="-","",'4'!DI25),"")</f>
        <v/>
      </c>
      <c r="K24" s="44" t="str">
        <f>IF(Main!$AP$2="A",IF('4'!EF25="-","",'4'!EF25),"")</f>
        <v/>
      </c>
      <c r="L24" s="47" t="str">
        <f>IF(Main!$AP$2="A",IF('4'!EG25="-","",'4'!EG25),"")</f>
        <v/>
      </c>
      <c r="M24" s="44" t="str">
        <f>IF(Main!$AQ$2="A",IF('5'!CV25="-","",'5'!CV25),"")</f>
        <v/>
      </c>
      <c r="N24" s="47" t="str">
        <f>IF(Main!$AQ$2="A",IF('5'!CW25="-","",'5'!CW25),"")</f>
        <v/>
      </c>
      <c r="O24" s="44" t="str">
        <f>IF(Main!$AQ$2="A",IF('5'!DT25="-","",'5'!DT25),"")</f>
        <v/>
      </c>
      <c r="P24" s="47" t="str">
        <f>IF(Main!$AQ$2="A",IF('5'!DU25="-","",'5'!DU25),"")</f>
        <v/>
      </c>
    </row>
    <row r="25" spans="1:16">
      <c r="A25" s="42" t="str">
        <f>IF(Main!$AJ$1=0,"",IF('4'!C26=0,"",'4'!C26))</f>
        <v/>
      </c>
      <c r="B25" s="42" t="str">
        <f>IF(Main!$AP$2="A",IF('4'!AK26="-","",'4'!AK26),"")</f>
        <v/>
      </c>
      <c r="C25" s="42" t="str">
        <f>IF(Main!$AP$2="A",IF('4'!AM26="-","",'4'!AM26),"")</f>
        <v/>
      </c>
      <c r="D25" s="42" t="str">
        <f>IF(Main!$AQ$2="A",IF('5'!AJ26="-","",'5'!AJ26),"")</f>
        <v/>
      </c>
      <c r="E25" s="42" t="str">
        <f>IF(Main!$AQ$2="A",IF('5'!AL26="-","",'5'!AL26),"")</f>
        <v/>
      </c>
      <c r="G25" s="125" t="str">
        <f>IF(Main!$AJ$1=0,"",IF('4'!D26=0,"",'4'!D26))</f>
        <v/>
      </c>
      <c r="H25" s="47" t="str">
        <f>IF(Main!$AJ$1=0,"",IF('4'!E26=0,"",'4'!E26))</f>
        <v/>
      </c>
      <c r="I25" s="125" t="str">
        <f>IF(Main!$AP$2="A",IF('4'!DH26="-","",'4'!DH26),"")</f>
        <v/>
      </c>
      <c r="J25" s="47" t="str">
        <f>IF(Main!$AP$2="A",IF('4'!DI26="-","",'4'!DI26),"")</f>
        <v/>
      </c>
      <c r="K25" s="44" t="str">
        <f>IF(Main!$AP$2="A",IF('4'!EF26="-","",'4'!EF26),"")</f>
        <v/>
      </c>
      <c r="L25" s="47" t="str">
        <f>IF(Main!$AP$2="A",IF('4'!EG26="-","",'4'!EG26),"")</f>
        <v/>
      </c>
      <c r="M25" s="44" t="str">
        <f>IF(Main!$AQ$2="A",IF('5'!CV26="-","",'5'!CV26),"")</f>
        <v/>
      </c>
      <c r="N25" s="47" t="str">
        <f>IF(Main!$AQ$2="A",IF('5'!CW26="-","",'5'!CW26),"")</f>
        <v/>
      </c>
      <c r="O25" s="44" t="str">
        <f>IF(Main!$AQ$2="A",IF('5'!DT26="-","",'5'!DT26),"")</f>
        <v/>
      </c>
      <c r="P25" s="47" t="str">
        <f>IF(Main!$AQ$2="A",IF('5'!DU26="-","",'5'!DU26),"")</f>
        <v/>
      </c>
    </row>
    <row r="26" spans="1:16">
      <c r="A26" s="42" t="str">
        <f>IF(Main!$AJ$1=0,"",IF('4'!C27=0,"",'4'!C27))</f>
        <v/>
      </c>
      <c r="B26" s="42" t="str">
        <f>IF(Main!$AP$2="A",IF('4'!AK27="-","",'4'!AK27),"")</f>
        <v/>
      </c>
      <c r="C26" s="42" t="str">
        <f>IF(Main!$AP$2="A",IF('4'!AM27="-","",'4'!AM27),"")</f>
        <v/>
      </c>
      <c r="D26" s="42" t="str">
        <f>IF(Main!$AQ$2="A",IF('5'!AJ27="-","",'5'!AJ27),"")</f>
        <v/>
      </c>
      <c r="E26" s="42" t="str">
        <f>IF(Main!$AQ$2="A",IF('5'!AL27="-","",'5'!AL27),"")</f>
        <v/>
      </c>
      <c r="G26" s="125" t="str">
        <f>IF(Main!$AJ$1=0,"",IF('4'!D27=0,"",'4'!D27))</f>
        <v/>
      </c>
      <c r="H26" s="47" t="str">
        <f>IF(Main!$AJ$1=0,"",IF('4'!E27=0,"",'4'!E27))</f>
        <v/>
      </c>
      <c r="I26" s="125" t="str">
        <f>IF(Main!$AP$2="A",IF('4'!DH27="-","",'4'!DH27),"")</f>
        <v/>
      </c>
      <c r="J26" s="47" t="str">
        <f>IF(Main!$AP$2="A",IF('4'!DI27="-","",'4'!DI27),"")</f>
        <v/>
      </c>
      <c r="K26" s="44" t="str">
        <f>IF(Main!$AP$2="A",IF('4'!EF27="-","",'4'!EF27),"")</f>
        <v/>
      </c>
      <c r="L26" s="47" t="str">
        <f>IF(Main!$AP$2="A",IF('4'!EG27="-","",'4'!EG27),"")</f>
        <v/>
      </c>
      <c r="M26" s="44" t="str">
        <f>IF(Main!$AQ$2="A",IF('5'!CV27="-","",'5'!CV27),"")</f>
        <v/>
      </c>
      <c r="N26" s="47" t="str">
        <f>IF(Main!$AQ$2="A",IF('5'!CW27="-","",'5'!CW27),"")</f>
        <v/>
      </c>
      <c r="O26" s="44" t="str">
        <f>IF(Main!$AQ$2="A",IF('5'!DT27="-","",'5'!DT27),"")</f>
        <v/>
      </c>
      <c r="P26" s="47" t="str">
        <f>IF(Main!$AQ$2="A",IF('5'!DU27="-","",'5'!DU27),"")</f>
        <v/>
      </c>
    </row>
    <row r="27" spans="1:16">
      <c r="A27" s="42" t="str">
        <f>IF(Main!$AJ$1=0,"",IF('4'!C28=0,"",'4'!C28))</f>
        <v/>
      </c>
      <c r="B27" s="42" t="str">
        <f>IF(Main!$AP$2="A",IF('4'!AK28="-","",'4'!AK28),"")</f>
        <v/>
      </c>
      <c r="C27" s="42" t="str">
        <f>IF(Main!$AP$2="A",IF('4'!AM28="-","",'4'!AM28),"")</f>
        <v/>
      </c>
      <c r="D27" s="42" t="str">
        <f>IF(Main!$AQ$2="A",IF('5'!AJ28="-","",'5'!AJ28),"")</f>
        <v/>
      </c>
      <c r="E27" s="42" t="str">
        <f>IF(Main!$AQ$2="A",IF('5'!AL28="-","",'5'!AL28),"")</f>
        <v/>
      </c>
      <c r="G27" s="125" t="str">
        <f>IF(Main!$AJ$1=0,"",IF('4'!D28=0,"",'4'!D28))</f>
        <v/>
      </c>
      <c r="H27" s="47" t="str">
        <f>IF(Main!$AJ$1=0,"",IF('4'!E28=0,"",'4'!E28))</f>
        <v/>
      </c>
      <c r="I27" s="125" t="str">
        <f>IF(Main!$AP$2="A",IF('4'!DH28="-","",'4'!DH28),"")</f>
        <v/>
      </c>
      <c r="J27" s="47" t="str">
        <f>IF(Main!$AP$2="A",IF('4'!DI28="-","",'4'!DI28),"")</f>
        <v/>
      </c>
      <c r="K27" s="44" t="str">
        <f>IF(Main!$AP$2="A",IF('4'!EF28="-","",'4'!EF28),"")</f>
        <v/>
      </c>
      <c r="L27" s="47" t="str">
        <f>IF(Main!$AP$2="A",IF('4'!EG28="-","",'4'!EG28),"")</f>
        <v/>
      </c>
      <c r="M27" s="44" t="str">
        <f>IF(Main!$AQ$2="A",IF('5'!CV28="-","",'5'!CV28),"")</f>
        <v/>
      </c>
      <c r="N27" s="47" t="str">
        <f>IF(Main!$AQ$2="A",IF('5'!CW28="-","",'5'!CW28),"")</f>
        <v/>
      </c>
      <c r="O27" s="44" t="str">
        <f>IF(Main!$AQ$2="A",IF('5'!DT28="-","",'5'!DT28),"")</f>
        <v/>
      </c>
      <c r="P27" s="47" t="str">
        <f>IF(Main!$AQ$2="A",IF('5'!DU28="-","",'5'!DU28),"")</f>
        <v/>
      </c>
    </row>
    <row r="28" spans="1:16">
      <c r="A28" s="42" t="str">
        <f>IF(Main!$AJ$1=0,"",IF('4'!C29=0,"",'4'!C29))</f>
        <v/>
      </c>
      <c r="B28" s="42" t="str">
        <f>IF(Main!$AP$2="A",IF('4'!AK29="-","",'4'!AK29),"")</f>
        <v/>
      </c>
      <c r="C28" s="42" t="str">
        <f>IF(Main!$AP$2="A",IF('4'!AM29="-","",'4'!AM29),"")</f>
        <v/>
      </c>
      <c r="D28" s="42" t="str">
        <f>IF(Main!$AQ$2="A",IF('5'!AJ29="-","",'5'!AJ29),"")</f>
        <v/>
      </c>
      <c r="E28" s="42" t="str">
        <f>IF(Main!$AQ$2="A",IF('5'!AL29="-","",'5'!AL29),"")</f>
        <v/>
      </c>
      <c r="G28" s="125" t="str">
        <f>IF(Main!$AJ$1=0,"",IF('4'!D29=0,"",'4'!D29))</f>
        <v/>
      </c>
      <c r="H28" s="47" t="str">
        <f>IF(Main!$AJ$1=0,"",IF('4'!E29=0,"",'4'!E29))</f>
        <v/>
      </c>
      <c r="I28" s="125" t="str">
        <f>IF(Main!$AP$2="A",IF('4'!DH29="-","",'4'!DH29),"")</f>
        <v/>
      </c>
      <c r="J28" s="47" t="str">
        <f>IF(Main!$AP$2="A",IF('4'!DI29="-","",'4'!DI29),"")</f>
        <v/>
      </c>
      <c r="K28" s="44" t="str">
        <f>IF(Main!$AP$2="A",IF('4'!EF29="-","",'4'!EF29),"")</f>
        <v/>
      </c>
      <c r="L28" s="47" t="str">
        <f>IF(Main!$AP$2="A",IF('4'!EG29="-","",'4'!EG29),"")</f>
        <v/>
      </c>
      <c r="M28" s="44" t="str">
        <f>IF(Main!$AQ$2="A",IF('5'!CV29="-","",'5'!CV29),"")</f>
        <v/>
      </c>
      <c r="N28" s="47" t="str">
        <f>IF(Main!$AQ$2="A",IF('5'!CW29="-","",'5'!CW29),"")</f>
        <v/>
      </c>
      <c r="O28" s="44" t="str">
        <f>IF(Main!$AQ$2="A",IF('5'!DT29="-","",'5'!DT29),"")</f>
        <v/>
      </c>
      <c r="P28" s="47" t="str">
        <f>IF(Main!$AQ$2="A",IF('5'!DU29="-","",'5'!DU29),"")</f>
        <v/>
      </c>
    </row>
    <row r="29" spans="1:16">
      <c r="A29" s="42" t="str">
        <f>IF(Main!$AJ$1=0,"",IF('4'!C30=0,"",'4'!C30))</f>
        <v/>
      </c>
      <c r="B29" s="42" t="str">
        <f>IF(Main!$AP$2="A",IF('4'!AK30="-","",'4'!AK30),"")</f>
        <v/>
      </c>
      <c r="C29" s="42" t="str">
        <f>IF(Main!$AP$2="A",IF('4'!AM30="-","",'4'!AM30),"")</f>
        <v/>
      </c>
      <c r="D29" s="42" t="str">
        <f>IF(Main!$AQ$2="A",IF('5'!AJ30="-","",'5'!AJ30),"")</f>
        <v/>
      </c>
      <c r="E29" s="42" t="str">
        <f>IF(Main!$AQ$2="A",IF('5'!AL30="-","",'5'!AL30),"")</f>
        <v/>
      </c>
      <c r="G29" s="125" t="str">
        <f>IF(Main!$AJ$1=0,"",IF('4'!D30=0,"",'4'!D30))</f>
        <v/>
      </c>
      <c r="H29" s="47" t="str">
        <f>IF(Main!$AJ$1=0,"",IF('4'!E30=0,"",'4'!E30))</f>
        <v/>
      </c>
      <c r="I29" s="125" t="str">
        <f>IF(Main!$AP$2="A",IF('4'!DH30="-","",'4'!DH30),"")</f>
        <v/>
      </c>
      <c r="J29" s="47" t="str">
        <f>IF(Main!$AP$2="A",IF('4'!DI30="-","",'4'!DI30),"")</f>
        <v/>
      </c>
      <c r="K29" s="44" t="str">
        <f>IF(Main!$AP$2="A",IF('4'!EF30="-","",'4'!EF30),"")</f>
        <v/>
      </c>
      <c r="L29" s="47" t="str">
        <f>IF(Main!$AP$2="A",IF('4'!EG30="-","",'4'!EG30),"")</f>
        <v/>
      </c>
      <c r="M29" s="44" t="str">
        <f>IF(Main!$AQ$2="A",IF('5'!CV30="-","",'5'!CV30),"")</f>
        <v/>
      </c>
      <c r="N29" s="47" t="str">
        <f>IF(Main!$AQ$2="A",IF('5'!CW30="-","",'5'!CW30),"")</f>
        <v/>
      </c>
      <c r="O29" s="44" t="str">
        <f>IF(Main!$AQ$2="A",IF('5'!DT30="-","",'5'!DT30),"")</f>
        <v/>
      </c>
      <c r="P29" s="47" t="str">
        <f>IF(Main!$AQ$2="A",IF('5'!DU30="-","",'5'!DU30),"")</f>
        <v/>
      </c>
    </row>
    <row r="30" spans="1:16">
      <c r="A30" s="42" t="str">
        <f>IF(Main!$AJ$1=0,"",IF('4'!C31=0,"",'4'!C31))</f>
        <v/>
      </c>
      <c r="B30" s="42" t="str">
        <f>IF(Main!$AP$2="A",IF('4'!AK31="-","",'4'!AK31),"")</f>
        <v/>
      </c>
      <c r="C30" s="42" t="str">
        <f>IF(Main!$AP$2="A",IF('4'!AM31="-","",'4'!AM31),"")</f>
        <v/>
      </c>
      <c r="D30" s="42" t="str">
        <f>IF(Main!$AQ$2="A",IF('5'!AJ31="-","",'5'!AJ31),"")</f>
        <v/>
      </c>
      <c r="E30" s="42" t="str">
        <f>IF(Main!$AQ$2="A",IF('5'!AL31="-","",'5'!AL31),"")</f>
        <v/>
      </c>
      <c r="G30" s="125" t="str">
        <f>IF(Main!$AJ$1=0,"",IF('4'!D31=0,"",'4'!D31))</f>
        <v/>
      </c>
      <c r="H30" s="47" t="str">
        <f>IF(Main!$AJ$1=0,"",IF('4'!E31=0,"",'4'!E31))</f>
        <v/>
      </c>
      <c r="I30" s="125" t="str">
        <f>IF(Main!$AP$2="A",IF('4'!DH31="-","",'4'!DH31),"")</f>
        <v/>
      </c>
      <c r="J30" s="47" t="str">
        <f>IF(Main!$AP$2="A",IF('4'!DI31="-","",'4'!DI31),"")</f>
        <v/>
      </c>
      <c r="K30" s="44" t="str">
        <f>IF(Main!$AP$2="A",IF('4'!EF31="-","",'4'!EF31),"")</f>
        <v/>
      </c>
      <c r="L30" s="47" t="str">
        <f>IF(Main!$AP$2="A",IF('4'!EG31="-","",'4'!EG31),"")</f>
        <v/>
      </c>
      <c r="M30" s="44" t="str">
        <f>IF(Main!$AQ$2="A",IF('5'!CV31="-","",'5'!CV31),"")</f>
        <v/>
      </c>
      <c r="N30" s="47" t="str">
        <f>IF(Main!$AQ$2="A",IF('5'!CW31="-","",'5'!CW31),"")</f>
        <v/>
      </c>
      <c r="O30" s="44" t="str">
        <f>IF(Main!$AQ$2="A",IF('5'!DT31="-","",'5'!DT31),"")</f>
        <v/>
      </c>
      <c r="P30" s="47" t="str">
        <f>IF(Main!$AQ$2="A",IF('5'!DU31="-","",'5'!DU31),"")</f>
        <v/>
      </c>
    </row>
    <row r="31" spans="1:16">
      <c r="A31" s="42" t="str">
        <f>IF(Main!$AJ$1=0,"",IF('4'!C32=0,"",'4'!C32))</f>
        <v/>
      </c>
      <c r="B31" s="42" t="str">
        <f>IF(Main!$AP$2="A",IF('4'!AK32="-","",'4'!AK32),"")</f>
        <v/>
      </c>
      <c r="C31" s="42" t="str">
        <f>IF(Main!$AP$2="A",IF('4'!AM32="-","",'4'!AM32),"")</f>
        <v/>
      </c>
      <c r="D31" s="42" t="str">
        <f>IF(Main!$AQ$2="A",IF('5'!AJ32="-","",'5'!AJ32),"")</f>
        <v/>
      </c>
      <c r="E31" s="42" t="str">
        <f>IF(Main!$AQ$2="A",IF('5'!AL32="-","",'5'!AL32),"")</f>
        <v/>
      </c>
      <c r="G31" s="125" t="str">
        <f>IF(Main!$AJ$1=0,"",IF('4'!D32=0,"",'4'!D32))</f>
        <v/>
      </c>
      <c r="H31" s="47" t="str">
        <f>IF(Main!$AJ$1=0,"",IF('4'!E32=0,"",'4'!E32))</f>
        <v/>
      </c>
      <c r="I31" s="125" t="str">
        <f>IF(Main!$AP$2="A",IF('4'!DH32="-","",'4'!DH32),"")</f>
        <v/>
      </c>
      <c r="J31" s="47" t="str">
        <f>IF(Main!$AP$2="A",IF('4'!DI32="-","",'4'!DI32),"")</f>
        <v/>
      </c>
      <c r="K31" s="44" t="str">
        <f>IF(Main!$AP$2="A",IF('4'!EF32="-","",'4'!EF32),"")</f>
        <v/>
      </c>
      <c r="L31" s="47" t="str">
        <f>IF(Main!$AP$2="A",IF('4'!EG32="-","",'4'!EG32),"")</f>
        <v/>
      </c>
      <c r="M31" s="44" t="str">
        <f>IF(Main!$AQ$2="A",IF('5'!CV32="-","",'5'!CV32),"")</f>
        <v/>
      </c>
      <c r="N31" s="47" t="str">
        <f>IF(Main!$AQ$2="A",IF('5'!CW32="-","",'5'!CW32),"")</f>
        <v/>
      </c>
      <c r="O31" s="44" t="str">
        <f>IF(Main!$AQ$2="A",IF('5'!DT32="-","",'5'!DT32),"")</f>
        <v/>
      </c>
      <c r="P31" s="47" t="str">
        <f>IF(Main!$AQ$2="A",IF('5'!DU32="-","",'5'!DU32),"")</f>
        <v/>
      </c>
    </row>
    <row r="32" spans="1:16">
      <c r="A32" s="42" t="str">
        <f>IF(Main!$AJ$1=0,"",IF('4'!C33=0,"",'4'!C33))</f>
        <v/>
      </c>
      <c r="B32" s="42" t="str">
        <f>IF(Main!$AP$2="A",IF('4'!AK33="-","",'4'!AK33),"")</f>
        <v/>
      </c>
      <c r="C32" s="42" t="str">
        <f>IF(Main!$AP$2="A",IF('4'!AM33="-","",'4'!AM33),"")</f>
        <v/>
      </c>
      <c r="D32" s="42" t="str">
        <f>IF(Main!$AQ$2="A",IF('5'!AJ33="-","",'5'!AJ33),"")</f>
        <v/>
      </c>
      <c r="E32" s="42" t="str">
        <f>IF(Main!$AQ$2="A",IF('5'!AL33="-","",'5'!AL33),"")</f>
        <v/>
      </c>
      <c r="G32" s="125" t="str">
        <f>IF(Main!$AJ$1=0,"",IF('4'!D33=0,"",'4'!D33))</f>
        <v/>
      </c>
      <c r="H32" s="47" t="str">
        <f>IF(Main!$AJ$1=0,"",IF('4'!E33=0,"",'4'!E33))</f>
        <v/>
      </c>
      <c r="I32" s="125" t="str">
        <f>IF(Main!$AP$2="A",IF('4'!DH33="-","",'4'!DH33),"")</f>
        <v/>
      </c>
      <c r="J32" s="47" t="str">
        <f>IF(Main!$AP$2="A",IF('4'!DI33="-","",'4'!DI33),"")</f>
        <v/>
      </c>
      <c r="K32" s="44" t="str">
        <f>IF(Main!$AP$2="A",IF('4'!EF33="-","",'4'!EF33),"")</f>
        <v/>
      </c>
      <c r="L32" s="47" t="str">
        <f>IF(Main!$AP$2="A",IF('4'!EG33="-","",'4'!EG33),"")</f>
        <v/>
      </c>
      <c r="M32" s="44" t="str">
        <f>IF(Main!$AQ$2="A",IF('5'!CV33="-","",'5'!CV33),"")</f>
        <v/>
      </c>
      <c r="N32" s="47" t="str">
        <f>IF(Main!$AQ$2="A",IF('5'!CW33="-","",'5'!CW33),"")</f>
        <v/>
      </c>
      <c r="O32" s="44" t="str">
        <f>IF(Main!$AQ$2="A",IF('5'!DT33="-","",'5'!DT33),"")</f>
        <v/>
      </c>
      <c r="P32" s="47" t="str">
        <f>IF(Main!$AQ$2="A",IF('5'!DU33="-","",'5'!DU33),"")</f>
        <v/>
      </c>
    </row>
    <row r="33" spans="1:16">
      <c r="A33" s="42" t="str">
        <f>IF(Main!$AJ$1=0,"",IF('4'!C34=0,"",'4'!C34))</f>
        <v/>
      </c>
      <c r="B33" s="42" t="str">
        <f>IF(Main!$AP$2="A",IF('4'!AK34="-","",'4'!AK34),"")</f>
        <v/>
      </c>
      <c r="C33" s="42" t="str">
        <f>IF(Main!$AP$2="A",IF('4'!AM34="-","",'4'!AM34),"")</f>
        <v/>
      </c>
      <c r="D33" s="42" t="str">
        <f>IF(Main!$AQ$2="A",IF('5'!AJ34="-","",'5'!AJ34),"")</f>
        <v/>
      </c>
      <c r="E33" s="42" t="str">
        <f>IF(Main!$AQ$2="A",IF('5'!AL34="-","",'5'!AL34),"")</f>
        <v/>
      </c>
      <c r="G33" s="125" t="str">
        <f>IF(Main!$AJ$1=0,"",IF('4'!D34=0,"",'4'!D34))</f>
        <v/>
      </c>
      <c r="H33" s="47" t="str">
        <f>IF(Main!$AJ$1=0,"",IF('4'!E34=0,"",'4'!E34))</f>
        <v/>
      </c>
      <c r="I33" s="125" t="str">
        <f>IF(Main!$AP$2="A",IF('4'!DH34="-","",'4'!DH34),"")</f>
        <v/>
      </c>
      <c r="J33" s="47" t="str">
        <f>IF(Main!$AP$2="A",IF('4'!DI34="-","",'4'!DI34),"")</f>
        <v/>
      </c>
      <c r="K33" s="44" t="str">
        <f>IF(Main!$AP$2="A",IF('4'!EF34="-","",'4'!EF34),"")</f>
        <v/>
      </c>
      <c r="L33" s="47" t="str">
        <f>IF(Main!$AP$2="A",IF('4'!EG34="-","",'4'!EG34),"")</f>
        <v/>
      </c>
      <c r="M33" s="44" t="str">
        <f>IF(Main!$AQ$2="A",IF('5'!CV34="-","",'5'!CV34),"")</f>
        <v/>
      </c>
      <c r="N33" s="47" t="str">
        <f>IF(Main!$AQ$2="A",IF('5'!CW34="-","",'5'!CW34),"")</f>
        <v/>
      </c>
      <c r="O33" s="44" t="str">
        <f>IF(Main!$AQ$2="A",IF('5'!DT34="-","",'5'!DT34),"")</f>
        <v/>
      </c>
      <c r="P33" s="47" t="str">
        <f>IF(Main!$AQ$2="A",IF('5'!DU34="-","",'5'!DU34),"")</f>
        <v/>
      </c>
    </row>
    <row r="34" spans="1:16">
      <c r="A34" s="42" t="str">
        <f>IF(Main!$AJ$1=0,"",IF('4'!C35=0,"",'4'!C35))</f>
        <v/>
      </c>
      <c r="B34" s="42" t="str">
        <f>IF(Main!$AP$2="A",IF('4'!AK35="-","",'4'!AK35),"")</f>
        <v/>
      </c>
      <c r="C34" s="42" t="str">
        <f>IF(Main!$AP$2="A",IF('4'!AM35="-","",'4'!AM35),"")</f>
        <v/>
      </c>
      <c r="D34" s="42" t="str">
        <f>IF(Main!$AQ$2="A",IF('5'!AJ35="-","",'5'!AJ35),"")</f>
        <v/>
      </c>
      <c r="E34" s="42" t="str">
        <f>IF(Main!$AQ$2="A",IF('5'!AL35="-","",'5'!AL35),"")</f>
        <v/>
      </c>
      <c r="G34" s="125" t="str">
        <f>IF(Main!$AJ$1=0,"",IF('4'!D35=0,"",'4'!D35))</f>
        <v/>
      </c>
      <c r="H34" s="47" t="str">
        <f>IF(Main!$AJ$1=0,"",IF('4'!E35=0,"",'4'!E35))</f>
        <v/>
      </c>
      <c r="I34" s="125" t="str">
        <f>IF(Main!$AP$2="A",IF('4'!DH35="-","",'4'!DH35),"")</f>
        <v/>
      </c>
      <c r="J34" s="47" t="str">
        <f>IF(Main!$AP$2="A",IF('4'!DI35="-","",'4'!DI35),"")</f>
        <v/>
      </c>
      <c r="K34" s="44" t="str">
        <f>IF(Main!$AP$2="A",IF('4'!EF35="-","",'4'!EF35),"")</f>
        <v/>
      </c>
      <c r="L34" s="47" t="str">
        <f>IF(Main!$AP$2="A",IF('4'!EG35="-","",'4'!EG35),"")</f>
        <v/>
      </c>
      <c r="M34" s="44" t="str">
        <f>IF(Main!$AQ$2="A",IF('5'!CV35="-","",'5'!CV35),"")</f>
        <v/>
      </c>
      <c r="N34" s="47" t="str">
        <f>IF(Main!$AQ$2="A",IF('5'!CW35="-","",'5'!CW35),"")</f>
        <v/>
      </c>
      <c r="O34" s="44" t="str">
        <f>IF(Main!$AQ$2="A",IF('5'!DT35="-","",'5'!DT35),"")</f>
        <v/>
      </c>
      <c r="P34" s="47" t="str">
        <f>IF(Main!$AQ$2="A",IF('5'!DU35="-","",'5'!DU35),"")</f>
        <v/>
      </c>
    </row>
    <row r="35" spans="1:16">
      <c r="A35" s="42" t="str">
        <f>IF(Main!$AJ$1=0,"",IF('4'!C36=0,"",'4'!C36))</f>
        <v/>
      </c>
      <c r="B35" s="42" t="str">
        <f>IF(Main!$AP$2="A",IF('4'!AK36="-","",'4'!AK36),"")</f>
        <v/>
      </c>
      <c r="C35" s="42" t="str">
        <f>IF(Main!$AP$2="A",IF('4'!AM36="-","",'4'!AM36),"")</f>
        <v/>
      </c>
      <c r="D35" s="42" t="str">
        <f>IF(Main!$AQ$2="A",IF('5'!AJ36="-","",'5'!AJ36),"")</f>
        <v/>
      </c>
      <c r="E35" s="42" t="str">
        <f>IF(Main!$AQ$2="A",IF('5'!AL36="-","",'5'!AL36),"")</f>
        <v/>
      </c>
      <c r="G35" s="125" t="str">
        <f>IF(Main!$AJ$1=0,"",IF('4'!D36=0,"",'4'!D36))</f>
        <v/>
      </c>
      <c r="H35" s="47" t="str">
        <f>IF(Main!$AJ$1=0,"",IF('4'!E36=0,"",'4'!E36))</f>
        <v/>
      </c>
      <c r="I35" s="125" t="str">
        <f>IF(Main!$AP$2="A",IF('4'!DH36="-","",'4'!DH36),"")</f>
        <v/>
      </c>
      <c r="J35" s="47" t="str">
        <f>IF(Main!$AP$2="A",IF('4'!DI36="-","",'4'!DI36),"")</f>
        <v/>
      </c>
      <c r="K35" s="44" t="str">
        <f>IF(Main!$AP$2="A",IF('4'!EF36="-","",'4'!EF36),"")</f>
        <v/>
      </c>
      <c r="L35" s="47" t="str">
        <f>IF(Main!$AP$2="A",IF('4'!EG36="-","",'4'!EG36),"")</f>
        <v/>
      </c>
      <c r="M35" s="44" t="str">
        <f>IF(Main!$AQ$2="A",IF('5'!CV36="-","",'5'!CV36),"")</f>
        <v/>
      </c>
      <c r="N35" s="47" t="str">
        <f>IF(Main!$AQ$2="A",IF('5'!CW36="-","",'5'!CW36),"")</f>
        <v/>
      </c>
      <c r="O35" s="44" t="str">
        <f>IF(Main!$AQ$2="A",IF('5'!DT36="-","",'5'!DT36),"")</f>
        <v/>
      </c>
      <c r="P35" s="47" t="str">
        <f>IF(Main!$AQ$2="A",IF('5'!DU36="-","",'5'!DU36),"")</f>
        <v/>
      </c>
    </row>
    <row r="36" spans="1:16">
      <c r="A36" s="42" t="str">
        <f>IF(Main!$AJ$1=0,"",IF('4'!C37=0,"",'4'!C37))</f>
        <v/>
      </c>
      <c r="B36" s="42" t="str">
        <f>IF(Main!$AP$2="A",IF('4'!AK37="-","",'4'!AK37),"")</f>
        <v/>
      </c>
      <c r="C36" s="42" t="str">
        <f>IF(Main!$AP$2="A",IF('4'!AM37="-","",'4'!AM37),"")</f>
        <v/>
      </c>
      <c r="D36" s="42" t="str">
        <f>IF(Main!$AQ$2="A",IF('5'!AJ37="-","",'5'!AJ37),"")</f>
        <v/>
      </c>
      <c r="E36" s="42" t="str">
        <f>IF(Main!$AQ$2="A",IF('5'!AL37="-","",'5'!AL37),"")</f>
        <v/>
      </c>
      <c r="G36" s="125" t="str">
        <f>IF(Main!$AJ$1=0,"",IF('4'!D37=0,"",'4'!D37))</f>
        <v/>
      </c>
      <c r="H36" s="47" t="str">
        <f>IF(Main!$AJ$1=0,"",IF('4'!E37=0,"",'4'!E37))</f>
        <v/>
      </c>
      <c r="I36" s="125" t="str">
        <f>IF(Main!$AP$2="A",IF('4'!DH37="-","",'4'!DH37),"")</f>
        <v/>
      </c>
      <c r="J36" s="47" t="str">
        <f>IF(Main!$AP$2="A",IF('4'!DI37="-","",'4'!DI37),"")</f>
        <v/>
      </c>
      <c r="K36" s="44" t="str">
        <f>IF(Main!$AP$2="A",IF('4'!EF37="-","",'4'!EF37),"")</f>
        <v/>
      </c>
      <c r="L36" s="47" t="str">
        <f>IF(Main!$AP$2="A",IF('4'!EG37="-","",'4'!EG37),"")</f>
        <v/>
      </c>
      <c r="M36" s="44" t="str">
        <f>IF(Main!$AQ$2="A",IF('5'!CV37="-","",'5'!CV37),"")</f>
        <v/>
      </c>
      <c r="N36" s="47" t="str">
        <f>IF(Main!$AQ$2="A",IF('5'!CW37="-","",'5'!CW37),"")</f>
        <v/>
      </c>
      <c r="O36" s="44" t="str">
        <f>IF(Main!$AQ$2="A",IF('5'!DT37="-","",'5'!DT37),"")</f>
        <v/>
      </c>
      <c r="P36" s="47" t="str">
        <f>IF(Main!$AQ$2="A",IF('5'!DU37="-","",'5'!DU37),"")</f>
        <v/>
      </c>
    </row>
    <row r="37" spans="1:16">
      <c r="A37" s="42" t="str">
        <f>IF(Main!$AJ$1=0,"",IF('4'!C38=0,"",'4'!C38))</f>
        <v/>
      </c>
      <c r="B37" s="42" t="str">
        <f>IF(Main!$AP$2="A",IF('4'!AK38="-","",'4'!AK38),"")</f>
        <v/>
      </c>
      <c r="C37" s="42" t="str">
        <f>IF(Main!$AP$2="A",IF('4'!AM38="-","",'4'!AM38),"")</f>
        <v/>
      </c>
      <c r="D37" s="42" t="str">
        <f>IF(Main!$AQ$2="A",IF('5'!AJ38="-","",'5'!AJ38),"")</f>
        <v/>
      </c>
      <c r="E37" s="42" t="str">
        <f>IF(Main!$AQ$2="A",IF('5'!AL38="-","",'5'!AL38),"")</f>
        <v/>
      </c>
      <c r="G37" s="125" t="str">
        <f>IF(Main!$AJ$1=0,"",IF('4'!D38=0,"",'4'!D38))</f>
        <v/>
      </c>
      <c r="H37" s="47" t="str">
        <f>IF(Main!$AJ$1=0,"",IF('4'!E38=0,"",'4'!E38))</f>
        <v/>
      </c>
      <c r="I37" s="125" t="str">
        <f>IF(Main!$AP$2="A",IF('4'!DH38="-","",'4'!DH38),"")</f>
        <v/>
      </c>
      <c r="J37" s="47" t="str">
        <f>IF(Main!$AP$2="A",IF('4'!DI38="-","",'4'!DI38),"")</f>
        <v/>
      </c>
      <c r="K37" s="44" t="str">
        <f>IF(Main!$AP$2="A",IF('4'!EF38="-","",'4'!EF38),"")</f>
        <v/>
      </c>
      <c r="L37" s="47" t="str">
        <f>IF(Main!$AP$2="A",IF('4'!EG38="-","",'4'!EG38),"")</f>
        <v/>
      </c>
      <c r="M37" s="44" t="str">
        <f>IF(Main!$AQ$2="A",IF('5'!CV38="-","",'5'!CV38),"")</f>
        <v/>
      </c>
      <c r="N37" s="47" t="str">
        <f>IF(Main!$AQ$2="A",IF('5'!CW38="-","",'5'!CW38),"")</f>
        <v/>
      </c>
      <c r="O37" s="44" t="str">
        <f>IF(Main!$AQ$2="A",IF('5'!DT38="-","",'5'!DT38),"")</f>
        <v/>
      </c>
      <c r="P37" s="47" t="str">
        <f>IF(Main!$AQ$2="A",IF('5'!DU38="-","",'5'!DU38),"")</f>
        <v/>
      </c>
    </row>
    <row r="38" spans="1:16">
      <c r="A38" s="42" t="str">
        <f>IF(Main!$AJ$1=0,"",IF('4'!C39=0,"",'4'!C39))</f>
        <v/>
      </c>
      <c r="B38" s="42" t="str">
        <f>IF(Main!$AP$2="A",IF('4'!AK39="-","",'4'!AK39),"")</f>
        <v/>
      </c>
      <c r="C38" s="42" t="str">
        <f>IF(Main!$AP$2="A",IF('4'!AM39="-","",'4'!AM39),"")</f>
        <v/>
      </c>
      <c r="D38" s="42" t="str">
        <f>IF(Main!$AQ$2="A",IF('5'!AJ39="-","",'5'!AJ39),"")</f>
        <v/>
      </c>
      <c r="E38" s="42" t="str">
        <f>IF(Main!$AQ$2="A",IF('5'!AL39="-","",'5'!AL39),"")</f>
        <v/>
      </c>
      <c r="G38" s="125" t="str">
        <f>IF(Main!$AJ$1=0,"",IF('4'!D39=0,"",'4'!D39))</f>
        <v/>
      </c>
      <c r="H38" s="47" t="str">
        <f>IF(Main!$AJ$1=0,"",IF('4'!E39=0,"",'4'!E39))</f>
        <v/>
      </c>
      <c r="I38" s="125" t="str">
        <f>IF(Main!$AP$2="A",IF('4'!DH39="-","",'4'!DH39),"")</f>
        <v/>
      </c>
      <c r="J38" s="47" t="str">
        <f>IF(Main!$AP$2="A",IF('4'!DI39="-","",'4'!DI39),"")</f>
        <v/>
      </c>
      <c r="K38" s="44" t="str">
        <f>IF(Main!$AP$2="A",IF('4'!EF39="-","",'4'!EF39),"")</f>
        <v/>
      </c>
      <c r="L38" s="47" t="str">
        <f>IF(Main!$AP$2="A",IF('4'!EG39="-","",'4'!EG39),"")</f>
        <v/>
      </c>
      <c r="M38" s="44" t="str">
        <f>IF(Main!$AQ$2="A",IF('5'!CV39="-","",'5'!CV39),"")</f>
        <v/>
      </c>
      <c r="N38" s="47" t="str">
        <f>IF(Main!$AQ$2="A",IF('5'!CW39="-","",'5'!CW39),"")</f>
        <v/>
      </c>
      <c r="O38" s="44" t="str">
        <f>IF(Main!$AQ$2="A",IF('5'!DT39="-","",'5'!DT39),"")</f>
        <v/>
      </c>
      <c r="P38" s="47" t="str">
        <f>IF(Main!$AQ$2="A",IF('5'!DU39="-","",'5'!DU39),"")</f>
        <v/>
      </c>
    </row>
    <row r="39" spans="1:16">
      <c r="A39" s="42" t="str">
        <f>IF(Main!$AJ$1=0,"",IF('4'!C40=0,"",'4'!C40))</f>
        <v/>
      </c>
      <c r="B39" s="42" t="str">
        <f>IF(Main!$AP$2="A",IF('4'!AK40="-","",'4'!AK40),"")</f>
        <v/>
      </c>
      <c r="C39" s="42" t="str">
        <f>IF(Main!$AP$2="A",IF('4'!AM40="-","",'4'!AM40),"")</f>
        <v/>
      </c>
      <c r="D39" s="42" t="str">
        <f>IF(Main!$AQ$2="A",IF('5'!AJ40="-","",'5'!AJ40),"")</f>
        <v/>
      </c>
      <c r="E39" s="42" t="str">
        <f>IF(Main!$AQ$2="A",IF('5'!AL40="-","",'5'!AL40),"")</f>
        <v/>
      </c>
      <c r="G39" s="125" t="str">
        <f>IF(Main!$AJ$1=0,"",IF('4'!D40=0,"",'4'!D40))</f>
        <v/>
      </c>
      <c r="H39" s="47" t="str">
        <f>IF(Main!$AJ$1=0,"",IF('4'!E40=0,"",'4'!E40))</f>
        <v/>
      </c>
      <c r="I39" s="125" t="str">
        <f>IF(Main!$AP$2="A",IF('4'!DH40="-","",'4'!DH40),"")</f>
        <v/>
      </c>
      <c r="J39" s="47" t="str">
        <f>IF(Main!$AP$2="A",IF('4'!DI40="-","",'4'!DI40),"")</f>
        <v/>
      </c>
      <c r="K39" s="44" t="str">
        <f>IF(Main!$AP$2="A",IF('4'!EF40="-","",'4'!EF40),"")</f>
        <v/>
      </c>
      <c r="L39" s="47" t="str">
        <f>IF(Main!$AP$2="A",IF('4'!EG40="-","",'4'!EG40),"")</f>
        <v/>
      </c>
      <c r="M39" s="44" t="str">
        <f>IF(Main!$AQ$2="A",IF('5'!CV40="-","",'5'!CV40),"")</f>
        <v/>
      </c>
      <c r="N39" s="47" t="str">
        <f>IF(Main!$AQ$2="A",IF('5'!CW40="-","",'5'!CW40),"")</f>
        <v/>
      </c>
      <c r="O39" s="44" t="str">
        <f>IF(Main!$AQ$2="A",IF('5'!DT40="-","",'5'!DT40),"")</f>
        <v/>
      </c>
      <c r="P39" s="47" t="str">
        <f>IF(Main!$AQ$2="A",IF('5'!DU40="-","",'5'!DU40),"")</f>
        <v/>
      </c>
    </row>
    <row r="40" spans="1:16">
      <c r="A40" s="42" t="str">
        <f>IF(Main!$AJ$1=0,"",IF('4'!C41=0,"",'4'!C41))</f>
        <v/>
      </c>
      <c r="B40" s="42" t="str">
        <f>IF(Main!$AP$2="A",IF('4'!AK41="-","",'4'!AK41),"")</f>
        <v/>
      </c>
      <c r="C40" s="42" t="str">
        <f>IF(Main!$AP$2="A",IF('4'!AM41="-","",'4'!AM41),"")</f>
        <v/>
      </c>
      <c r="D40" s="42" t="str">
        <f>IF(Main!$AQ$2="A",IF('5'!AJ41="-","",'5'!AJ41),"")</f>
        <v/>
      </c>
      <c r="E40" s="42" t="str">
        <f>IF(Main!$AQ$2="A",IF('5'!AL41="-","",'5'!AL41),"")</f>
        <v/>
      </c>
      <c r="G40" s="125" t="str">
        <f>IF(Main!$AJ$1=0,"",IF('4'!D41=0,"",'4'!D41))</f>
        <v/>
      </c>
      <c r="H40" s="47" t="str">
        <f>IF(Main!$AJ$1=0,"",IF('4'!E41=0,"",'4'!E41))</f>
        <v/>
      </c>
      <c r="I40" s="125" t="str">
        <f>IF(Main!$AP$2="A",IF('4'!DH41="-","",'4'!DH41),"")</f>
        <v/>
      </c>
      <c r="J40" s="47" t="str">
        <f>IF(Main!$AP$2="A",IF('4'!DI41="-","",'4'!DI41),"")</f>
        <v/>
      </c>
      <c r="K40" s="44" t="str">
        <f>IF(Main!$AP$2="A",IF('4'!EF41="-","",'4'!EF41),"")</f>
        <v/>
      </c>
      <c r="L40" s="47" t="str">
        <f>IF(Main!$AP$2="A",IF('4'!EG41="-","",'4'!EG41),"")</f>
        <v/>
      </c>
      <c r="M40" s="44" t="str">
        <f>IF(Main!$AQ$2="A",IF('5'!CV41="-","",'5'!CV41),"")</f>
        <v/>
      </c>
      <c r="N40" s="47" t="str">
        <f>IF(Main!$AQ$2="A",IF('5'!CW41="-","",'5'!CW41),"")</f>
        <v/>
      </c>
      <c r="O40" s="44" t="str">
        <f>IF(Main!$AQ$2="A",IF('5'!DT41="-","",'5'!DT41),"")</f>
        <v/>
      </c>
      <c r="P40" s="47" t="str">
        <f>IF(Main!$AQ$2="A",IF('5'!DU41="-","",'5'!DU41),"")</f>
        <v/>
      </c>
    </row>
    <row r="41" spans="1:16">
      <c r="A41" s="42" t="str">
        <f>IF(Main!$AJ$1=0,"",IF('4'!C42=0,"",'4'!C42))</f>
        <v/>
      </c>
      <c r="B41" s="42" t="str">
        <f>IF(Main!$AP$2="A",IF('4'!AK42="-","",'4'!AK42),"")</f>
        <v/>
      </c>
      <c r="C41" s="42" t="str">
        <f>IF(Main!$AP$2="A",IF('4'!AM42="-","",'4'!AM42),"")</f>
        <v/>
      </c>
      <c r="D41" s="42" t="str">
        <f>IF(Main!$AQ$2="A",IF('5'!AJ42="-","",'5'!AJ42),"")</f>
        <v/>
      </c>
      <c r="E41" s="42" t="str">
        <f>IF(Main!$AQ$2="A",IF('5'!AL42="-","",'5'!AL42),"")</f>
        <v/>
      </c>
      <c r="G41" s="125" t="str">
        <f>IF(Main!$AJ$1=0,"",IF('4'!D42=0,"",'4'!D42))</f>
        <v/>
      </c>
      <c r="H41" s="47" t="str">
        <f>IF(Main!$AJ$1=0,"",IF('4'!E42=0,"",'4'!E42))</f>
        <v/>
      </c>
      <c r="I41" s="125" t="str">
        <f>IF(Main!$AP$2="A",IF('4'!DH42="-","",'4'!DH42),"")</f>
        <v/>
      </c>
      <c r="J41" s="47" t="str">
        <f>IF(Main!$AP$2="A",IF('4'!DI42="-","",'4'!DI42),"")</f>
        <v/>
      </c>
      <c r="K41" s="44" t="str">
        <f>IF(Main!$AP$2="A",IF('4'!EF42="-","",'4'!EF42),"")</f>
        <v/>
      </c>
      <c r="L41" s="47" t="str">
        <f>IF(Main!$AP$2="A",IF('4'!EG42="-","",'4'!EG42),"")</f>
        <v/>
      </c>
      <c r="M41" s="44" t="str">
        <f>IF(Main!$AQ$2="A",IF('5'!CV42="-","",'5'!CV42),"")</f>
        <v/>
      </c>
      <c r="N41" s="47" t="str">
        <f>IF(Main!$AQ$2="A",IF('5'!CW42="-","",'5'!CW42),"")</f>
        <v/>
      </c>
      <c r="O41" s="44" t="str">
        <f>IF(Main!$AQ$2="A",IF('5'!DT42="-","",'5'!DT42),"")</f>
        <v/>
      </c>
      <c r="P41" s="47" t="str">
        <f>IF(Main!$AQ$2="A",IF('5'!DU42="-","",'5'!DU42),"")</f>
        <v/>
      </c>
    </row>
    <row r="42" spans="1:16">
      <c r="A42" s="42" t="str">
        <f>IF(Main!$AJ$1=0,"",IF('4'!C43=0,"",'4'!C43))</f>
        <v/>
      </c>
      <c r="B42" s="42" t="str">
        <f>IF(Main!$AP$2="A",IF('4'!AK43="-","",'4'!AK43),"")</f>
        <v/>
      </c>
      <c r="C42" s="42" t="str">
        <f>IF(Main!$AP$2="A",IF('4'!AM43="-","",'4'!AM43),"")</f>
        <v/>
      </c>
      <c r="D42" s="42" t="str">
        <f>IF(Main!$AQ$2="A",IF('5'!AJ43="-","",'5'!AJ43),"")</f>
        <v/>
      </c>
      <c r="E42" s="42" t="str">
        <f>IF(Main!$AQ$2="A",IF('5'!AL43="-","",'5'!AL43),"")</f>
        <v/>
      </c>
      <c r="G42" s="125" t="str">
        <f>IF(Main!$AJ$1=0,"",IF('4'!D43=0,"",'4'!D43))</f>
        <v/>
      </c>
      <c r="H42" s="47" t="str">
        <f>IF(Main!$AJ$1=0,"",IF('4'!E43=0,"",'4'!E43))</f>
        <v/>
      </c>
      <c r="I42" s="125" t="str">
        <f>IF(Main!$AP$2="A",IF('4'!DH43="-","",'4'!DH43),"")</f>
        <v/>
      </c>
      <c r="J42" s="47" t="str">
        <f>IF(Main!$AP$2="A",IF('4'!DI43="-","",'4'!DI43),"")</f>
        <v/>
      </c>
      <c r="K42" s="44" t="str">
        <f>IF(Main!$AP$2="A",IF('4'!EF43="-","",'4'!EF43),"")</f>
        <v/>
      </c>
      <c r="L42" s="47" t="str">
        <f>IF(Main!$AP$2="A",IF('4'!EG43="-","",'4'!EG43),"")</f>
        <v/>
      </c>
      <c r="M42" s="44" t="str">
        <f>IF(Main!$AQ$2="A",IF('5'!CV43="-","",'5'!CV43),"")</f>
        <v/>
      </c>
      <c r="N42" s="47" t="str">
        <f>IF(Main!$AQ$2="A",IF('5'!CW43="-","",'5'!CW43),"")</f>
        <v/>
      </c>
      <c r="O42" s="44" t="str">
        <f>IF(Main!$AQ$2="A",IF('5'!DT43="-","",'5'!DT43),"")</f>
        <v/>
      </c>
      <c r="P42" s="47" t="str">
        <f>IF(Main!$AQ$2="A",IF('5'!DU43="-","",'5'!DU43),"")</f>
        <v/>
      </c>
    </row>
    <row r="43" spans="1:16">
      <c r="A43" s="42" t="str">
        <f>IF(Main!$AJ$1=0,"",IF('4'!C44=0,"",'4'!C44))</f>
        <v/>
      </c>
      <c r="B43" s="42" t="str">
        <f>IF(Main!$AP$2="A",IF('4'!AK44="-","",'4'!AK44),"")</f>
        <v/>
      </c>
      <c r="C43" s="42" t="str">
        <f>IF(Main!$AP$2="A",IF('4'!AM44="-","",'4'!AM44),"")</f>
        <v/>
      </c>
      <c r="D43" s="42" t="str">
        <f>IF(Main!$AQ$2="A",IF('5'!AJ44="-","",'5'!AJ44),"")</f>
        <v/>
      </c>
      <c r="E43" s="42" t="str">
        <f>IF(Main!$AQ$2="A",IF('5'!AL44="-","",'5'!AL44),"")</f>
        <v/>
      </c>
      <c r="G43" s="125" t="str">
        <f>IF(Main!$AJ$1=0,"",IF('4'!D44=0,"",'4'!D44))</f>
        <v/>
      </c>
      <c r="H43" s="47" t="str">
        <f>IF(Main!$AJ$1=0,"",IF('4'!E44=0,"",'4'!E44))</f>
        <v/>
      </c>
      <c r="I43" s="125" t="str">
        <f>IF(Main!$AP$2="A",IF('4'!DH44="-","",'4'!DH44),"")</f>
        <v/>
      </c>
      <c r="J43" s="47" t="str">
        <f>IF(Main!$AP$2="A",IF('4'!DI44="-","",'4'!DI44),"")</f>
        <v/>
      </c>
      <c r="K43" s="44" t="str">
        <f>IF(Main!$AP$2="A",IF('4'!EF44="-","",'4'!EF44),"")</f>
        <v/>
      </c>
      <c r="L43" s="47" t="str">
        <f>IF(Main!$AP$2="A",IF('4'!EG44="-","",'4'!EG44),"")</f>
        <v/>
      </c>
      <c r="M43" s="44" t="str">
        <f>IF(Main!$AQ$2="A",IF('5'!CV44="-","",'5'!CV44),"")</f>
        <v/>
      </c>
      <c r="N43" s="47" t="str">
        <f>IF(Main!$AQ$2="A",IF('5'!CW44="-","",'5'!CW44),"")</f>
        <v/>
      </c>
      <c r="O43" s="44" t="str">
        <f>IF(Main!$AQ$2="A",IF('5'!DT44="-","",'5'!DT44),"")</f>
        <v/>
      </c>
      <c r="P43" s="47" t="str">
        <f>IF(Main!$AQ$2="A",IF('5'!DU44="-","",'5'!DU44),"")</f>
        <v/>
      </c>
    </row>
    <row r="44" spans="1:16">
      <c r="A44" s="42" t="str">
        <f>IF(Main!$AJ$1=0,"",IF('4'!C45=0,"",'4'!C45))</f>
        <v/>
      </c>
      <c r="B44" s="42" t="str">
        <f>IF(Main!$AP$2="A",IF('4'!AK45="-","",'4'!AK45),"")</f>
        <v/>
      </c>
      <c r="C44" s="42" t="str">
        <f>IF(Main!$AP$2="A",IF('4'!AM45="-","",'4'!AM45),"")</f>
        <v/>
      </c>
      <c r="D44" s="42" t="str">
        <f>IF(Main!$AQ$2="A",IF('5'!AJ45="-","",'5'!AJ45),"")</f>
        <v/>
      </c>
      <c r="E44" s="42" t="str">
        <f>IF(Main!$AQ$2="A",IF('5'!AL45="-","",'5'!AL45),"")</f>
        <v/>
      </c>
      <c r="G44" s="125" t="str">
        <f>IF(Main!$AJ$1=0,"",IF('4'!D45=0,"",'4'!D45))</f>
        <v/>
      </c>
      <c r="H44" s="47" t="str">
        <f>IF(Main!$AJ$1=0,"",IF('4'!E45=0,"",'4'!E45))</f>
        <v/>
      </c>
      <c r="I44" s="125" t="str">
        <f>IF(Main!$AP$2="A",IF('4'!DH45="-","",'4'!DH45),"")</f>
        <v/>
      </c>
      <c r="J44" s="47" t="str">
        <f>IF(Main!$AP$2="A",IF('4'!DI45="-","",'4'!DI45),"")</f>
        <v/>
      </c>
      <c r="K44" s="44" t="str">
        <f>IF(Main!$AP$2="A",IF('4'!EF45="-","",'4'!EF45),"")</f>
        <v/>
      </c>
      <c r="L44" s="47" t="str">
        <f>IF(Main!$AP$2="A",IF('4'!EG45="-","",'4'!EG45),"")</f>
        <v/>
      </c>
      <c r="M44" s="44" t="str">
        <f>IF(Main!$AQ$2="A",IF('5'!CV45="-","",'5'!CV45),"")</f>
        <v/>
      </c>
      <c r="N44" s="47" t="str">
        <f>IF(Main!$AQ$2="A",IF('5'!CW45="-","",'5'!CW45),"")</f>
        <v/>
      </c>
      <c r="O44" s="44" t="str">
        <f>IF(Main!$AQ$2="A",IF('5'!DT45="-","",'5'!DT45),"")</f>
        <v/>
      </c>
      <c r="P44" s="47" t="str">
        <f>IF(Main!$AQ$2="A",IF('5'!DU45="-","",'5'!DU45),"")</f>
        <v/>
      </c>
    </row>
    <row r="45" spans="1:16">
      <c r="A45" s="42" t="str">
        <f>IF(Main!$AJ$1=0,"",IF('4'!C46=0,"",'4'!C46))</f>
        <v/>
      </c>
      <c r="B45" s="42" t="str">
        <f>IF(Main!$AP$2="A",IF('4'!AK46="-","",'4'!AK46),"")</f>
        <v/>
      </c>
      <c r="C45" s="42" t="str">
        <f>IF(Main!$AP$2="A",IF('4'!AM46="-","",'4'!AM46),"")</f>
        <v/>
      </c>
      <c r="D45" s="42" t="str">
        <f>IF(Main!$AQ$2="A",IF('5'!AJ46="-","",'5'!AJ46),"")</f>
        <v/>
      </c>
      <c r="E45" s="42" t="str">
        <f>IF(Main!$AQ$2="A",IF('5'!AL46="-","",'5'!AL46),"")</f>
        <v/>
      </c>
      <c r="G45" s="125" t="str">
        <f>IF(Main!$AJ$1=0,"",IF('4'!D46=0,"",'4'!D46))</f>
        <v/>
      </c>
      <c r="H45" s="47" t="str">
        <f>IF(Main!$AJ$1=0,"",IF('4'!E46=0,"",'4'!E46))</f>
        <v/>
      </c>
      <c r="I45" s="125" t="str">
        <f>IF(Main!$AP$2="A",IF('4'!DH46="-","",'4'!DH46),"")</f>
        <v/>
      </c>
      <c r="J45" s="47" t="str">
        <f>IF(Main!$AP$2="A",IF('4'!DI46="-","",'4'!DI46),"")</f>
        <v/>
      </c>
      <c r="K45" s="44" t="str">
        <f>IF(Main!$AP$2="A",IF('4'!EF46="-","",'4'!EF46),"")</f>
        <v/>
      </c>
      <c r="L45" s="47" t="str">
        <f>IF(Main!$AP$2="A",IF('4'!EG46="-","",'4'!EG46),"")</f>
        <v/>
      </c>
      <c r="M45" s="44" t="str">
        <f>IF(Main!$AQ$2="A",IF('5'!CV46="-","",'5'!CV46),"")</f>
        <v/>
      </c>
      <c r="N45" s="47" t="str">
        <f>IF(Main!$AQ$2="A",IF('5'!CW46="-","",'5'!CW46),"")</f>
        <v/>
      </c>
      <c r="O45" s="44" t="str">
        <f>IF(Main!$AQ$2="A",IF('5'!DT46="-","",'5'!DT46),"")</f>
        <v/>
      </c>
      <c r="P45" s="47" t="str">
        <f>IF(Main!$AQ$2="A",IF('5'!DU46="-","",'5'!DU46),"")</f>
        <v/>
      </c>
    </row>
    <row r="46" spans="1:16">
      <c r="A46" s="42" t="str">
        <f>IF(Main!$AJ$1=0,"",IF('4'!C47=0,"",'4'!C47))</f>
        <v/>
      </c>
      <c r="B46" s="42" t="str">
        <f>IF(Main!$AP$2="A",IF('4'!AK47="-","",'4'!AK47),"")</f>
        <v/>
      </c>
      <c r="C46" s="42" t="str">
        <f>IF(Main!$AP$2="A",IF('4'!AM47="-","",'4'!AM47),"")</f>
        <v/>
      </c>
      <c r="D46" s="42" t="str">
        <f>IF(Main!$AQ$2="A",IF('5'!AJ47="-","",'5'!AJ47),"")</f>
        <v/>
      </c>
      <c r="E46" s="42" t="str">
        <f>IF(Main!$AQ$2="A",IF('5'!AL47="-","",'5'!AL47),"")</f>
        <v/>
      </c>
      <c r="G46" s="125" t="str">
        <f>IF(Main!$AJ$1=0,"",IF('4'!D47=0,"",'4'!D47))</f>
        <v/>
      </c>
      <c r="H46" s="47" t="str">
        <f>IF(Main!$AJ$1=0,"",IF('4'!E47=0,"",'4'!E47))</f>
        <v/>
      </c>
      <c r="I46" s="125" t="str">
        <f>IF(Main!$AP$2="A",IF('4'!DH47="-","",'4'!DH47),"")</f>
        <v/>
      </c>
      <c r="J46" s="47" t="str">
        <f>IF(Main!$AP$2="A",IF('4'!DI47="-","",'4'!DI47),"")</f>
        <v/>
      </c>
      <c r="K46" s="44" t="str">
        <f>IF(Main!$AP$2="A",IF('4'!EF47="-","",'4'!EF47),"")</f>
        <v/>
      </c>
      <c r="L46" s="47" t="str">
        <f>IF(Main!$AP$2="A",IF('4'!EG47="-","",'4'!EG47),"")</f>
        <v/>
      </c>
      <c r="M46" s="44" t="str">
        <f>IF(Main!$AQ$2="A",IF('5'!CV47="-","",'5'!CV47),"")</f>
        <v/>
      </c>
      <c r="N46" s="47" t="str">
        <f>IF(Main!$AQ$2="A",IF('5'!CW47="-","",'5'!CW47),"")</f>
        <v/>
      </c>
      <c r="O46" s="44" t="str">
        <f>IF(Main!$AQ$2="A",IF('5'!DT47="-","",'5'!DT47),"")</f>
        <v/>
      </c>
      <c r="P46" s="47" t="str">
        <f>IF(Main!$AQ$2="A",IF('5'!DU47="-","",'5'!DU47),"")</f>
        <v/>
      </c>
    </row>
    <row r="47" spans="1:16">
      <c r="A47" s="42" t="str">
        <f>IF(Main!$AJ$1=0,"",IF('4'!C48=0,"",'4'!C48))</f>
        <v/>
      </c>
      <c r="B47" s="42" t="str">
        <f>IF(Main!$AP$2="A",IF('4'!AK48="-","",'4'!AK48),"")</f>
        <v/>
      </c>
      <c r="C47" s="42" t="str">
        <f>IF(Main!$AP$2="A",IF('4'!AM48="-","",'4'!AM48),"")</f>
        <v/>
      </c>
      <c r="D47" s="42" t="str">
        <f>IF(Main!$AQ$2="A",IF('5'!AJ48="-","",'5'!AJ48),"")</f>
        <v/>
      </c>
      <c r="E47" s="42" t="str">
        <f>IF(Main!$AQ$2="A",IF('5'!AL48="-","",'5'!AL48),"")</f>
        <v/>
      </c>
      <c r="G47" s="125" t="str">
        <f>IF(Main!$AJ$1=0,"",IF('4'!D48=0,"",'4'!D48))</f>
        <v/>
      </c>
      <c r="H47" s="47" t="str">
        <f>IF(Main!$AJ$1=0,"",IF('4'!E48=0,"",'4'!E48))</f>
        <v/>
      </c>
      <c r="I47" s="125" t="str">
        <f>IF(Main!$AP$2="A",IF('4'!DH48="-","",'4'!DH48),"")</f>
        <v/>
      </c>
      <c r="J47" s="47" t="str">
        <f>IF(Main!$AP$2="A",IF('4'!DI48="-","",'4'!DI48),"")</f>
        <v/>
      </c>
      <c r="K47" s="44" t="str">
        <f>IF(Main!$AP$2="A",IF('4'!EF48="-","",'4'!EF48),"")</f>
        <v/>
      </c>
      <c r="L47" s="47" t="str">
        <f>IF(Main!$AP$2="A",IF('4'!EG48="-","",'4'!EG48),"")</f>
        <v/>
      </c>
      <c r="M47" s="44" t="str">
        <f>IF(Main!$AQ$2="A",IF('5'!CV48="-","",'5'!CV48),"")</f>
        <v/>
      </c>
      <c r="N47" s="47" t="str">
        <f>IF(Main!$AQ$2="A",IF('5'!CW48="-","",'5'!CW48),"")</f>
        <v/>
      </c>
      <c r="O47" s="44" t="str">
        <f>IF(Main!$AQ$2="A",IF('5'!DT48="-","",'5'!DT48),"")</f>
        <v/>
      </c>
      <c r="P47" s="47" t="str">
        <f>IF(Main!$AQ$2="A",IF('5'!DU48="-","",'5'!DU48),"")</f>
        <v/>
      </c>
    </row>
    <row r="48" spans="1:16">
      <c r="A48" s="42" t="str">
        <f>IF(Main!$AJ$1=0,"",IF('4'!C49=0,"",'4'!C49))</f>
        <v/>
      </c>
      <c r="B48" s="42" t="str">
        <f>IF(Main!$AP$2="A",IF('4'!AK49="-","",'4'!AK49),"")</f>
        <v/>
      </c>
      <c r="C48" s="42" t="str">
        <f>IF(Main!$AP$2="A",IF('4'!AM49="-","",'4'!AM49),"")</f>
        <v/>
      </c>
      <c r="D48" s="42" t="str">
        <f>IF(Main!$AQ$2="A",IF('5'!AJ49="-","",'5'!AJ49),"")</f>
        <v/>
      </c>
      <c r="E48" s="42" t="str">
        <f>IF(Main!$AQ$2="A",IF('5'!AL49="-","",'5'!AL49),"")</f>
        <v/>
      </c>
      <c r="G48" s="125" t="str">
        <f>IF(Main!$AJ$1=0,"",IF('4'!D49=0,"",'4'!D49))</f>
        <v/>
      </c>
      <c r="H48" s="47" t="str">
        <f>IF(Main!$AJ$1=0,"",IF('4'!E49=0,"",'4'!E49))</f>
        <v/>
      </c>
      <c r="I48" s="125" t="str">
        <f>IF(Main!$AP$2="A",IF('4'!DH49="-","",'4'!DH49),"")</f>
        <v/>
      </c>
      <c r="J48" s="47" t="str">
        <f>IF(Main!$AP$2="A",IF('4'!DI49="-","",'4'!DI49),"")</f>
        <v/>
      </c>
      <c r="K48" s="44" t="str">
        <f>IF(Main!$AP$2="A",IF('4'!EF49="-","",'4'!EF49),"")</f>
        <v/>
      </c>
      <c r="L48" s="47" t="str">
        <f>IF(Main!$AP$2="A",IF('4'!EG49="-","",'4'!EG49),"")</f>
        <v/>
      </c>
      <c r="M48" s="44" t="str">
        <f>IF(Main!$AQ$2="A",IF('5'!CV49="-","",'5'!CV49),"")</f>
        <v/>
      </c>
      <c r="N48" s="47" t="str">
        <f>IF(Main!$AQ$2="A",IF('5'!CW49="-","",'5'!CW49),"")</f>
        <v/>
      </c>
      <c r="O48" s="44" t="str">
        <f>IF(Main!$AQ$2="A",IF('5'!DT49="-","",'5'!DT49),"")</f>
        <v/>
      </c>
      <c r="P48" s="47" t="str">
        <f>IF(Main!$AQ$2="A",IF('5'!DU49="-","",'5'!DU49),"")</f>
        <v/>
      </c>
    </row>
    <row r="49" spans="1:16">
      <c r="A49" s="53" t="str">
        <f>IF(Main!$AJ$1=0,"",IF('4'!C50=0,"",'4'!C50))</f>
        <v/>
      </c>
      <c r="B49" s="53" t="str">
        <f>IF(Main!$AP$2="A",IF('4'!AK50="-","",'4'!AK50),"")</f>
        <v/>
      </c>
      <c r="C49" s="53" t="str">
        <f>IF(Main!$AP$2="A",IF('4'!AM50="-","",'4'!AM50),"")</f>
        <v/>
      </c>
      <c r="D49" s="53" t="str">
        <f>IF(Main!$AQ$2="A",IF('5'!AJ50="-","",'5'!AJ50),"")</f>
        <v/>
      </c>
      <c r="E49" s="53" t="str">
        <f>IF(Main!$AQ$2="A",IF('5'!AL50="-","",'5'!AL50),"")</f>
        <v/>
      </c>
      <c r="F49" s="127"/>
      <c r="G49" s="126" t="str">
        <f>IF(Main!$AJ$1=0,"",IF('4'!D50=0,"",'4'!D50))</f>
        <v/>
      </c>
      <c r="H49" s="49" t="str">
        <f>IF(Main!$AJ$1=0,"",IF('4'!E50=0,"",'4'!E50))</f>
        <v/>
      </c>
      <c r="I49" s="126" t="str">
        <f>IF(Main!$AP$2="A",IF('4'!DH50="-","",'4'!DH50),"")</f>
        <v/>
      </c>
      <c r="J49" s="49" t="str">
        <f>IF(Main!$AP$2="A",IF('4'!DI50="-","",'4'!DI50),"")</f>
        <v/>
      </c>
      <c r="K49" s="48" t="str">
        <f>IF(Main!$AP$2="A",IF('4'!EF50="-","",'4'!EF50),"")</f>
        <v/>
      </c>
      <c r="L49" s="49" t="str">
        <f>IF(Main!$AP$2="A",IF('4'!EG50="-","",'4'!EG50),"")</f>
        <v/>
      </c>
      <c r="M49" s="48" t="str">
        <f>IF(Main!$AQ$2="A",IF('5'!CV50="-","",'5'!CV50),"")</f>
        <v/>
      </c>
      <c r="N49" s="49" t="str">
        <f>IF(Main!$AQ$2="A",IF('5'!CW50="-","",'5'!CW50),"")</f>
        <v/>
      </c>
      <c r="O49" s="48" t="str">
        <f>IF(Main!$AQ$2="A",IF('5'!DT50="-","",'5'!DT50),"")</f>
        <v/>
      </c>
      <c r="P49" s="49" t="str">
        <f>IF(Main!$AQ$2="A",IF('5'!DU50="-","",'5'!DU50),"")</f>
        <v/>
      </c>
    </row>
    <row r="50" spans="1:16" s="55" customFormat="1" ht="14.25">
      <c r="A50" s="40"/>
      <c r="B50" s="40"/>
      <c r="C50" s="40"/>
      <c r="D50" s="40"/>
      <c r="E50" s="40"/>
      <c r="G50" s="40"/>
      <c r="H50" s="40"/>
      <c r="I50" s="40"/>
      <c r="J50" s="40"/>
      <c r="K50" s="40"/>
      <c r="L50" s="40"/>
      <c r="M50" s="40"/>
      <c r="N50" s="40"/>
      <c r="O50" s="40"/>
      <c r="P50" s="40"/>
    </row>
    <row r="51" spans="1:16" s="55" customFormat="1" ht="14.25">
      <c r="A51" s="40"/>
      <c r="B51" s="40"/>
      <c r="C51" s="40"/>
      <c r="D51" s="40"/>
      <c r="E51" s="40"/>
      <c r="G51" s="40"/>
      <c r="H51" s="40"/>
      <c r="I51" s="40"/>
      <c r="J51" s="40"/>
      <c r="K51" s="40"/>
      <c r="L51" s="40"/>
      <c r="M51" s="40"/>
      <c r="N51" s="40"/>
      <c r="O51" s="40"/>
      <c r="P51" s="40"/>
    </row>
    <row r="52" spans="1:16" s="55" customFormat="1" ht="14.25">
      <c r="A52" s="40"/>
      <c r="B52" s="40"/>
      <c r="C52" s="40"/>
      <c r="D52" s="40"/>
      <c r="E52" s="40"/>
      <c r="G52" s="40"/>
      <c r="H52" s="40"/>
      <c r="I52" s="40"/>
      <c r="J52" s="40"/>
      <c r="K52" s="40"/>
      <c r="L52" s="40"/>
      <c r="M52" s="40"/>
      <c r="N52" s="40"/>
      <c r="O52" s="40"/>
      <c r="P52" s="40"/>
    </row>
    <row r="53" spans="1:16" s="55" customFormat="1" ht="14.25">
      <c r="A53" s="40"/>
      <c r="B53" s="40"/>
      <c r="C53" s="40"/>
      <c r="D53" s="40"/>
      <c r="E53" s="40"/>
      <c r="G53" s="40"/>
      <c r="H53" s="40"/>
      <c r="I53" s="40"/>
      <c r="J53" s="40"/>
      <c r="K53" s="40"/>
      <c r="L53" s="40"/>
      <c r="M53" s="40"/>
      <c r="N53" s="40"/>
      <c r="O53" s="40"/>
      <c r="P53" s="40"/>
    </row>
    <row r="54" spans="1:16" s="55" customFormat="1" ht="14.25">
      <c r="A54" s="40"/>
      <c r="B54" s="40"/>
      <c r="C54" s="40"/>
      <c r="D54" s="40"/>
      <c r="E54" s="40"/>
      <c r="G54" s="40"/>
      <c r="H54" s="40"/>
      <c r="I54" s="40"/>
      <c r="J54" s="40"/>
      <c r="K54" s="40"/>
      <c r="L54" s="40"/>
      <c r="M54" s="40"/>
      <c r="N54" s="40"/>
      <c r="O54" s="40"/>
      <c r="P54" s="40"/>
    </row>
    <row r="55" spans="1:16" s="55" customFormat="1" ht="14.25">
      <c r="A55" s="40"/>
      <c r="B55" s="40"/>
      <c r="C55" s="40"/>
      <c r="D55" s="40"/>
      <c r="E55" s="40"/>
      <c r="G55" s="40"/>
      <c r="H55" s="40"/>
      <c r="I55" s="40"/>
      <c r="J55" s="40"/>
      <c r="K55" s="40"/>
      <c r="L55" s="40"/>
      <c r="M55" s="40"/>
      <c r="N55" s="40"/>
      <c r="O55" s="40"/>
      <c r="P55" s="40"/>
    </row>
    <row r="56" spans="1:16" s="55" customFormat="1" ht="14.25">
      <c r="A56" s="40"/>
      <c r="B56" s="40"/>
      <c r="C56" s="40"/>
      <c r="D56" s="40"/>
      <c r="E56" s="40"/>
      <c r="G56" s="40"/>
      <c r="H56" s="40"/>
      <c r="I56" s="40"/>
      <c r="J56" s="40"/>
      <c r="K56" s="40"/>
      <c r="L56" s="40"/>
      <c r="M56" s="40"/>
      <c r="N56" s="40"/>
      <c r="O56" s="40"/>
      <c r="P56" s="40"/>
    </row>
    <row r="57" spans="1:16" s="55" customFormat="1" ht="14.25">
      <c r="A57" s="40"/>
      <c r="B57" s="40"/>
      <c r="C57" s="40"/>
      <c r="D57" s="40"/>
      <c r="E57" s="40"/>
      <c r="G57" s="40"/>
      <c r="H57" s="40"/>
      <c r="I57" s="40"/>
      <c r="J57" s="40"/>
      <c r="K57" s="40"/>
      <c r="L57" s="40"/>
      <c r="M57" s="40"/>
      <c r="N57" s="40"/>
      <c r="O57" s="40"/>
      <c r="P57" s="40"/>
    </row>
    <row r="58" spans="1:16" s="55" customFormat="1" ht="14.25">
      <c r="A58" s="40"/>
      <c r="B58" s="40"/>
      <c r="C58" s="40"/>
      <c r="D58" s="40"/>
      <c r="E58" s="40"/>
      <c r="G58" s="40"/>
      <c r="H58" s="40"/>
      <c r="I58" s="40"/>
      <c r="J58" s="40"/>
      <c r="K58" s="40"/>
      <c r="L58" s="40"/>
      <c r="M58" s="40"/>
      <c r="N58" s="40"/>
      <c r="O58" s="40"/>
      <c r="P58" s="40"/>
    </row>
    <row r="59" spans="1:16" s="55" customFormat="1" ht="14.25">
      <c r="A59" s="40"/>
      <c r="B59" s="40"/>
      <c r="C59" s="40"/>
      <c r="D59" s="40"/>
      <c r="E59" s="40"/>
      <c r="G59" s="40"/>
      <c r="H59" s="40"/>
      <c r="I59" s="40"/>
      <c r="J59" s="40"/>
      <c r="K59" s="40"/>
      <c r="L59" s="40"/>
      <c r="M59" s="40"/>
      <c r="N59" s="40"/>
      <c r="O59" s="40"/>
      <c r="P59" s="40"/>
    </row>
    <row r="60" spans="1:16" s="55" customFormat="1" ht="14.25">
      <c r="A60" s="40"/>
      <c r="B60" s="40"/>
      <c r="C60" s="40"/>
      <c r="D60" s="40"/>
      <c r="E60" s="40"/>
      <c r="G60" s="40"/>
      <c r="H60" s="40"/>
      <c r="I60" s="40"/>
      <c r="J60" s="40"/>
      <c r="K60" s="40"/>
      <c r="L60" s="40"/>
      <c r="M60" s="40"/>
      <c r="N60" s="40"/>
      <c r="O60" s="40"/>
      <c r="P60" s="40"/>
    </row>
    <row r="61" spans="1:16" s="55" customFormat="1" ht="14.25">
      <c r="A61" s="40"/>
      <c r="B61" s="40"/>
      <c r="C61" s="40"/>
      <c r="D61" s="40"/>
      <c r="E61" s="40"/>
      <c r="G61" s="40"/>
      <c r="H61" s="40"/>
      <c r="I61" s="40"/>
      <c r="J61" s="40"/>
      <c r="K61" s="40"/>
      <c r="L61" s="40"/>
      <c r="M61" s="40"/>
      <c r="N61" s="40"/>
      <c r="O61" s="40"/>
      <c r="P61" s="40"/>
    </row>
    <row r="62" spans="1:16" s="55" customFormat="1" ht="14.25">
      <c r="A62" s="40"/>
      <c r="B62" s="40"/>
      <c r="C62" s="40"/>
      <c r="D62" s="40"/>
      <c r="E62" s="40"/>
      <c r="G62" s="40"/>
      <c r="H62" s="40"/>
      <c r="I62" s="40"/>
      <c r="J62" s="40"/>
      <c r="K62" s="40"/>
      <c r="L62" s="40"/>
      <c r="M62" s="40"/>
      <c r="N62" s="40"/>
      <c r="O62" s="40"/>
      <c r="P62" s="40"/>
    </row>
    <row r="63" spans="1:16" s="55" customFormat="1" ht="14.25">
      <c r="A63" s="40"/>
      <c r="B63" s="40"/>
      <c r="C63" s="40"/>
      <c r="D63" s="40"/>
      <c r="E63" s="40"/>
      <c r="G63" s="40"/>
      <c r="H63" s="40"/>
      <c r="I63" s="40"/>
      <c r="J63" s="40"/>
      <c r="K63" s="40"/>
      <c r="L63" s="40"/>
      <c r="M63" s="40"/>
      <c r="N63" s="40"/>
      <c r="O63" s="40"/>
      <c r="P63" s="40"/>
    </row>
    <row r="64" spans="1:16" s="55" customFormat="1" ht="14.25">
      <c r="A64" s="40"/>
      <c r="B64" s="40"/>
      <c r="C64" s="40"/>
      <c r="D64" s="40"/>
      <c r="E64" s="40"/>
      <c r="G64" s="40"/>
      <c r="H64" s="40"/>
      <c r="I64" s="40"/>
      <c r="J64" s="40"/>
      <c r="K64" s="40"/>
      <c r="L64" s="40"/>
      <c r="M64" s="40"/>
      <c r="N64" s="40"/>
      <c r="O64" s="40"/>
      <c r="P64" s="40"/>
    </row>
    <row r="65" spans="1:16" s="55" customFormat="1" ht="14.25">
      <c r="A65" s="40"/>
      <c r="B65" s="40"/>
      <c r="C65" s="40"/>
      <c r="D65" s="40"/>
      <c r="E65" s="40"/>
      <c r="G65" s="40"/>
      <c r="H65" s="40"/>
      <c r="I65" s="40"/>
      <c r="J65" s="40"/>
      <c r="K65" s="40"/>
      <c r="L65" s="40"/>
      <c r="M65" s="40"/>
      <c r="N65" s="40"/>
      <c r="O65" s="40"/>
      <c r="P65" s="40"/>
    </row>
    <row r="66" spans="1:16" s="55" customFormat="1" ht="14.25">
      <c r="A66" s="40"/>
      <c r="B66" s="40"/>
      <c r="C66" s="40"/>
      <c r="D66" s="40"/>
      <c r="E66" s="40"/>
      <c r="G66" s="40"/>
      <c r="H66" s="40"/>
      <c r="I66" s="40"/>
      <c r="J66" s="40"/>
      <c r="K66" s="40"/>
      <c r="L66" s="40"/>
      <c r="M66" s="40"/>
      <c r="N66" s="40"/>
      <c r="O66" s="40"/>
      <c r="P66" s="40"/>
    </row>
    <row r="67" spans="1:16">
      <c r="A67" s="38"/>
      <c r="B67" s="40"/>
      <c r="C67" s="40"/>
      <c r="D67" s="40"/>
    </row>
    <row r="68" spans="1:16">
      <c r="A68" s="38"/>
      <c r="B68" s="40"/>
      <c r="C68" s="40"/>
      <c r="D68" s="40"/>
    </row>
    <row r="69" spans="1:16">
      <c r="A69" s="38"/>
      <c r="B69" s="40"/>
      <c r="C69" s="40"/>
      <c r="D69" s="40"/>
    </row>
    <row r="70" spans="1:16">
      <c r="A70" s="38"/>
      <c r="B70" s="40"/>
      <c r="C70" s="40"/>
      <c r="D70" s="40"/>
    </row>
    <row r="71" spans="1:16">
      <c r="A71" s="38"/>
      <c r="B71" s="40"/>
      <c r="C71" s="40"/>
      <c r="D71" s="40"/>
    </row>
    <row r="72" spans="1:16">
      <c r="A72" s="38"/>
      <c r="B72" s="40"/>
      <c r="C72" s="40"/>
      <c r="D72" s="40"/>
    </row>
    <row r="73" spans="1:16">
      <c r="A73" s="38"/>
      <c r="B73" s="40"/>
      <c r="C73" s="40"/>
      <c r="D73" s="40"/>
    </row>
    <row r="74" spans="1:16">
      <c r="A74" s="38"/>
      <c r="B74" s="40"/>
      <c r="C74" s="40"/>
      <c r="D74" s="40"/>
    </row>
    <row r="75" spans="1:16">
      <c r="A75" s="38"/>
      <c r="B75" s="40"/>
      <c r="C75" s="40"/>
      <c r="D75" s="40"/>
    </row>
    <row r="76" spans="1:16">
      <c r="A76" s="38"/>
      <c r="B76" s="40"/>
      <c r="C76" s="40"/>
      <c r="D76" s="40"/>
    </row>
    <row r="77" spans="1:16">
      <c r="A77" s="38"/>
      <c r="B77" s="40"/>
      <c r="C77" s="40"/>
      <c r="D77" s="40"/>
    </row>
    <row r="78" spans="1:16">
      <c r="A78" s="38"/>
      <c r="B78" s="40"/>
      <c r="C78" s="40"/>
      <c r="D78" s="40"/>
    </row>
    <row r="79" spans="1:16">
      <c r="A79" s="38"/>
      <c r="B79" s="40"/>
      <c r="C79" s="40"/>
      <c r="D79" s="40"/>
    </row>
    <row r="80" spans="1:16">
      <c r="A80" s="38"/>
      <c r="B80" s="40"/>
      <c r="C80" s="40"/>
      <c r="D80" s="40"/>
    </row>
    <row r="81" spans="1:4">
      <c r="A81" s="38"/>
      <c r="B81" s="40"/>
      <c r="C81" s="40"/>
      <c r="D81" s="40"/>
    </row>
    <row r="82" spans="1:4">
      <c r="A82" s="38"/>
      <c r="B82" s="40"/>
      <c r="C82" s="40"/>
      <c r="D82" s="40"/>
    </row>
    <row r="83" spans="1:4">
      <c r="A83" s="38"/>
      <c r="B83" s="40"/>
      <c r="C83" s="40"/>
      <c r="D83" s="40"/>
    </row>
    <row r="84" spans="1:4">
      <c r="A84" s="38"/>
      <c r="B84" s="40"/>
      <c r="C84" s="40"/>
      <c r="D84" s="40"/>
    </row>
    <row r="85" spans="1:4">
      <c r="A85" s="38"/>
      <c r="B85" s="40"/>
      <c r="C85" s="40"/>
      <c r="D85" s="40"/>
    </row>
    <row r="86" spans="1:4">
      <c r="A86" s="38"/>
      <c r="B86" s="40"/>
      <c r="C86" s="40"/>
      <c r="D86" s="40"/>
    </row>
    <row r="87" spans="1:4">
      <c r="A87" s="38"/>
      <c r="B87" s="40"/>
      <c r="C87" s="40"/>
      <c r="D87" s="40"/>
    </row>
    <row r="88" spans="1:4">
      <c r="A88" s="38"/>
      <c r="B88" s="40"/>
      <c r="C88" s="40"/>
      <c r="D88" s="40"/>
    </row>
    <row r="89" spans="1:4">
      <c r="A89" s="38"/>
      <c r="B89" s="40"/>
      <c r="C89" s="40"/>
      <c r="D89" s="40"/>
    </row>
    <row r="90" spans="1:4">
      <c r="A90" s="38"/>
      <c r="B90" s="40"/>
      <c r="C90" s="40"/>
      <c r="D90" s="40"/>
    </row>
    <row r="91" spans="1:4">
      <c r="A91" s="38"/>
      <c r="B91" s="40"/>
      <c r="C91" s="40"/>
      <c r="D91" s="40"/>
    </row>
    <row r="92" spans="1:4">
      <c r="A92" s="38"/>
      <c r="B92" s="40"/>
      <c r="C92" s="40"/>
      <c r="D92" s="40"/>
    </row>
    <row r="93" spans="1:4">
      <c r="A93" s="38"/>
      <c r="B93" s="40"/>
      <c r="C93" s="40"/>
      <c r="D93" s="40"/>
    </row>
    <row r="94" spans="1:4">
      <c r="A94" s="38"/>
      <c r="B94" s="40"/>
      <c r="C94" s="40"/>
      <c r="D94" s="40"/>
    </row>
    <row r="95" spans="1:4">
      <c r="A95" s="38"/>
      <c r="B95" s="40"/>
      <c r="C95" s="40"/>
      <c r="D95" s="40"/>
    </row>
    <row r="96" spans="1:4">
      <c r="A96" s="38"/>
      <c r="B96" s="40"/>
      <c r="C96" s="40"/>
      <c r="D96" s="40"/>
    </row>
    <row r="97" spans="1:4">
      <c r="A97" s="38"/>
      <c r="B97" s="40"/>
      <c r="C97" s="40"/>
      <c r="D97" s="40"/>
    </row>
    <row r="98" spans="1:4">
      <c r="A98" s="38"/>
      <c r="B98" s="40"/>
      <c r="C98" s="40"/>
      <c r="D98" s="40"/>
    </row>
    <row r="99" spans="1:4">
      <c r="A99" s="38"/>
      <c r="B99" s="40"/>
      <c r="C99" s="40"/>
      <c r="D99" s="40"/>
    </row>
    <row r="100" spans="1:4">
      <c r="A100" s="38"/>
      <c r="B100" s="40"/>
      <c r="C100" s="40"/>
      <c r="D100" s="40"/>
    </row>
    <row r="101" spans="1:4">
      <c r="A101" s="38"/>
      <c r="B101" s="40"/>
      <c r="C101" s="40"/>
      <c r="D101" s="40"/>
    </row>
    <row r="102" spans="1:4">
      <c r="A102" s="38"/>
      <c r="B102" s="40"/>
      <c r="C102" s="40"/>
      <c r="D102" s="40"/>
    </row>
    <row r="103" spans="1:4">
      <c r="A103" s="38"/>
      <c r="B103" s="40"/>
      <c r="C103" s="40"/>
      <c r="D103" s="40"/>
    </row>
    <row r="104" spans="1:4">
      <c r="A104" s="38"/>
      <c r="B104" s="40"/>
      <c r="C104" s="40"/>
      <c r="D104" s="40"/>
    </row>
    <row r="105" spans="1:4">
      <c r="A105" s="38"/>
      <c r="B105" s="40"/>
      <c r="C105" s="40"/>
      <c r="D105" s="40"/>
    </row>
    <row r="106" spans="1:4">
      <c r="A106" s="38"/>
      <c r="B106" s="40"/>
      <c r="C106" s="40"/>
      <c r="D106" s="40"/>
    </row>
    <row r="107" spans="1:4">
      <c r="A107" s="38"/>
      <c r="B107" s="40"/>
      <c r="C107" s="40"/>
      <c r="D107" s="40"/>
    </row>
    <row r="108" spans="1:4">
      <c r="A108" s="38"/>
      <c r="B108" s="40"/>
      <c r="C108" s="40"/>
      <c r="D108" s="40"/>
    </row>
    <row r="109" spans="1:4">
      <c r="A109" s="38"/>
      <c r="B109" s="40"/>
      <c r="C109" s="40"/>
      <c r="D109" s="40"/>
    </row>
    <row r="110" spans="1:4">
      <c r="A110" s="38"/>
      <c r="B110" s="40"/>
      <c r="C110" s="40"/>
      <c r="D110" s="40"/>
    </row>
    <row r="111" spans="1:4">
      <c r="A111" s="38"/>
      <c r="B111" s="40"/>
      <c r="C111" s="40"/>
      <c r="D111" s="40"/>
    </row>
    <row r="112" spans="1:4">
      <c r="A112" s="38"/>
      <c r="B112" s="40"/>
      <c r="C112" s="40"/>
      <c r="D112" s="40"/>
    </row>
    <row r="113" spans="1:4">
      <c r="A113" s="38"/>
      <c r="B113" s="40"/>
      <c r="C113" s="40"/>
      <c r="D113" s="40"/>
    </row>
    <row r="114" spans="1:4">
      <c r="A114" s="38"/>
      <c r="B114" s="40"/>
      <c r="C114" s="40"/>
      <c r="D114" s="40"/>
    </row>
  </sheetData>
  <sheetProtection password="EA63" sheet="1" objects="1" scenarios="1" selectLockedCells="1" selectUnlockedCells="1"/>
  <mergeCells count="16">
    <mergeCell ref="A1:E1"/>
    <mergeCell ref="G1:P1"/>
    <mergeCell ref="B2:C2"/>
    <mergeCell ref="D2:E2"/>
    <mergeCell ref="B3:C3"/>
    <mergeCell ref="D3:E3"/>
    <mergeCell ref="A2:A4"/>
    <mergeCell ref="G2:H4"/>
    <mergeCell ref="M4:N4"/>
    <mergeCell ref="O4:P4"/>
    <mergeCell ref="M2:P2"/>
    <mergeCell ref="M3:P3"/>
    <mergeCell ref="I2:L2"/>
    <mergeCell ref="I3:L3"/>
    <mergeCell ref="I4:J4"/>
    <mergeCell ref="K4:L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S100"/>
  <sheetViews>
    <sheetView workbookViewId="0"/>
  </sheetViews>
  <sheetFormatPr defaultColWidth="11.42578125" defaultRowHeight="15"/>
  <cols>
    <col min="1" max="1" width="11.42578125" style="29"/>
    <col min="2" max="2" width="8.140625" style="29" customWidth="1"/>
    <col min="3" max="3" width="8" style="29" customWidth="1"/>
    <col min="4" max="5" width="8.7109375" style="29" customWidth="1"/>
    <col min="6" max="6" width="9" style="29" customWidth="1"/>
    <col min="7" max="7" width="8" style="71" customWidth="1"/>
    <col min="8" max="8" width="7.42578125" style="29" customWidth="1"/>
    <col min="9" max="9" width="4.7109375" style="29" customWidth="1"/>
    <col min="10" max="11" width="11.42578125" style="29"/>
    <col min="12" max="12" width="5.42578125" style="29" customWidth="1"/>
    <col min="13" max="13" width="6.7109375" style="29" customWidth="1"/>
    <col min="14" max="14" width="6.5703125" style="29" customWidth="1"/>
    <col min="15" max="15" width="5.5703125" style="29" customWidth="1"/>
    <col min="16" max="16" width="4.7109375" style="29" customWidth="1"/>
    <col min="17" max="17" width="4" style="29" customWidth="1"/>
    <col min="18" max="18" width="11.42578125" style="29"/>
    <col min="19" max="19" width="4.42578125" style="29" customWidth="1"/>
    <col min="20" max="16384" width="11.42578125" style="29"/>
  </cols>
  <sheetData>
    <row r="1" spans="1:19">
      <c r="A1" s="70"/>
    </row>
    <row r="2" spans="1:19">
      <c r="E2" s="70"/>
      <c r="F2" s="70"/>
      <c r="G2" s="72"/>
      <c r="I2" s="70"/>
      <c r="J2" s="73" t="s">
        <v>16</v>
      </c>
      <c r="M2" s="60"/>
      <c r="R2" s="60" t="s">
        <v>0</v>
      </c>
    </row>
    <row r="3" spans="1:19" s="77" customFormat="1">
      <c r="A3" s="58">
        <f>Main!A4</f>
        <v>0</v>
      </c>
      <c r="B3" s="29">
        <f>Main!B4</f>
        <v>0</v>
      </c>
      <c r="C3" s="74" t="str">
        <f>IF(B3=0,"-",0)</f>
        <v>-</v>
      </c>
      <c r="D3" s="74">
        <f>IF(B3=0,IF(A3=0,0,A3),IF(A3=0,A2,A3))</f>
        <v>0</v>
      </c>
      <c r="E3" s="75">
        <f>IF(B3=0,0,D3+0.000000001*ROW()+0.0000001*B3)</f>
        <v>0</v>
      </c>
      <c r="F3" s="75">
        <f>B3</f>
        <v>0</v>
      </c>
      <c r="G3" s="76" t="str">
        <f>IF(C3="-","-",RANK(E3,$E$3:$E$100))</f>
        <v>-</v>
      </c>
      <c r="I3" s="77">
        <v>1</v>
      </c>
      <c r="J3" s="78">
        <f>IF(I3&gt;MAX($G$3:$G$100),0,INDEX($D$3:$D$100, MATCH(I3,$G$3:$G$100,0)))</f>
        <v>0</v>
      </c>
      <c r="K3" s="78">
        <f>IF(I3&gt;MAX($G$3:$G$100),0,INDEX($F$3:$F$100, MATCH(I3,$G$3:$G$100,0)))</f>
        <v>0</v>
      </c>
      <c r="M3" s="77">
        <f>IF(B3=0,IF(A3=0,0,A3),IF(A3=0,0,A3))</f>
        <v>0</v>
      </c>
      <c r="N3" s="79">
        <f>IF(M3=0,0,VALUE(M3)+0.0000000001*ROW())</f>
        <v>0</v>
      </c>
      <c r="O3" s="76">
        <f>IF(N3=0,0,RANK(N3,$N$3:$N$100))</f>
        <v>0</v>
      </c>
      <c r="Q3" s="77">
        <v>1</v>
      </c>
      <c r="R3" s="78">
        <f>IF(Q3&gt;MAX($O$3:$O$100),0,INDEX($N$3:$N$100, MATCH(Q3,$O$3:$O$100,0)))</f>
        <v>0</v>
      </c>
      <c r="S3" s="74"/>
    </row>
    <row r="4" spans="1:19" s="77" customFormat="1">
      <c r="A4" s="58">
        <f>Main!A5</f>
        <v>0</v>
      </c>
      <c r="B4" s="29">
        <f>Main!B5</f>
        <v>0</v>
      </c>
      <c r="C4" s="74" t="str">
        <f t="shared" ref="C4:C67" si="0">IF(B4=0,"-",0)</f>
        <v>-</v>
      </c>
      <c r="D4" s="74">
        <f t="shared" ref="D4:D67" si="1">IF(B4=0,IF(A4=0,0,A4),IF(A4=0,A3,A4))</f>
        <v>0</v>
      </c>
      <c r="E4" s="75">
        <f t="shared" ref="E4:E67" si="2">IF(B4=0,0,D4+0.000000001*ROW()+0.0000001*B4)</f>
        <v>0</v>
      </c>
      <c r="F4" s="75">
        <f t="shared" ref="F4:F67" si="3">B4</f>
        <v>0</v>
      </c>
      <c r="G4" s="76" t="str">
        <f t="shared" ref="G4:G67" si="4">IF(C4="-","-",RANK(E4,$E$3:$E$100))</f>
        <v>-</v>
      </c>
      <c r="I4" s="77">
        <v>2</v>
      </c>
      <c r="J4" s="78">
        <f t="shared" ref="J4:J67" si="5">IF(I4&gt;MAX($G$3:$G$100),0,INDEX($D$3:$D$100, MATCH(I4,$G$3:$G$100,0)))</f>
        <v>0</v>
      </c>
      <c r="K4" s="78">
        <f t="shared" ref="K4:K67" si="6">IF(I4&gt;MAX($G$3:$G$100),0,INDEX($F$3:$F$100, MATCH(I4,$G$3:$G$100,0)))</f>
        <v>0</v>
      </c>
      <c r="M4" s="77">
        <f t="shared" ref="M4:M67" si="7">IF(B4=0,IF(A4=0,0,A4),IF(A4=0,0,A4))</f>
        <v>0</v>
      </c>
      <c r="N4" s="79">
        <f t="shared" ref="N4:N67" si="8">IF(M4=0,0,VALUE(M4)+0.0000000001*ROW())</f>
        <v>0</v>
      </c>
      <c r="O4" s="76">
        <f t="shared" ref="O4:O67" si="9">IF(N4=0,0,RANK(N4,$N$3:$N$100))</f>
        <v>0</v>
      </c>
      <c r="Q4" s="77">
        <v>2</v>
      </c>
      <c r="R4" s="78">
        <f t="shared" ref="R4:R67" si="10">IF(Q4&gt;MAX($O$3:$O$100),0,INDEX($N$3:$N$100, MATCH(Q4,$O$3:$O$100,0)))</f>
        <v>0</v>
      </c>
      <c r="S4" s="74"/>
    </row>
    <row r="5" spans="1:19" s="77" customFormat="1">
      <c r="A5" s="58">
        <f>Main!A6</f>
        <v>0</v>
      </c>
      <c r="B5" s="29">
        <f>Main!B6</f>
        <v>0</v>
      </c>
      <c r="C5" s="74" t="str">
        <f t="shared" si="0"/>
        <v>-</v>
      </c>
      <c r="D5" s="74">
        <f t="shared" si="1"/>
        <v>0</v>
      </c>
      <c r="E5" s="75">
        <f t="shared" si="2"/>
        <v>0</v>
      </c>
      <c r="F5" s="75">
        <f t="shared" si="3"/>
        <v>0</v>
      </c>
      <c r="G5" s="76" t="str">
        <f t="shared" si="4"/>
        <v>-</v>
      </c>
      <c r="I5" s="77">
        <v>3</v>
      </c>
      <c r="J5" s="78">
        <f t="shared" si="5"/>
        <v>0</v>
      </c>
      <c r="K5" s="78">
        <f t="shared" si="6"/>
        <v>0</v>
      </c>
      <c r="M5" s="77">
        <f t="shared" si="7"/>
        <v>0</v>
      </c>
      <c r="N5" s="79">
        <f t="shared" si="8"/>
        <v>0</v>
      </c>
      <c r="O5" s="76">
        <f t="shared" si="9"/>
        <v>0</v>
      </c>
      <c r="Q5" s="77">
        <v>3</v>
      </c>
      <c r="R5" s="78">
        <f t="shared" si="10"/>
        <v>0</v>
      </c>
      <c r="S5" s="74"/>
    </row>
    <row r="6" spans="1:19" s="77" customFormat="1">
      <c r="A6" s="58">
        <f>Main!A7</f>
        <v>0</v>
      </c>
      <c r="B6" s="29">
        <f>Main!B7</f>
        <v>0</v>
      </c>
      <c r="C6" s="74" t="str">
        <f t="shared" si="0"/>
        <v>-</v>
      </c>
      <c r="D6" s="74">
        <f t="shared" si="1"/>
        <v>0</v>
      </c>
      <c r="E6" s="75">
        <f t="shared" si="2"/>
        <v>0</v>
      </c>
      <c r="F6" s="75">
        <f t="shared" si="3"/>
        <v>0</v>
      </c>
      <c r="G6" s="76" t="str">
        <f t="shared" si="4"/>
        <v>-</v>
      </c>
      <c r="I6" s="77">
        <v>4</v>
      </c>
      <c r="J6" s="78">
        <f t="shared" si="5"/>
        <v>0</v>
      </c>
      <c r="K6" s="78">
        <f t="shared" si="6"/>
        <v>0</v>
      </c>
      <c r="M6" s="77">
        <f t="shared" si="7"/>
        <v>0</v>
      </c>
      <c r="N6" s="79">
        <f t="shared" si="8"/>
        <v>0</v>
      </c>
      <c r="O6" s="76">
        <f t="shared" si="9"/>
        <v>0</v>
      </c>
      <c r="Q6" s="77">
        <v>4</v>
      </c>
      <c r="R6" s="78">
        <f t="shared" si="10"/>
        <v>0</v>
      </c>
      <c r="S6" s="74"/>
    </row>
    <row r="7" spans="1:19">
      <c r="A7" s="58">
        <f>Main!A8</f>
        <v>0</v>
      </c>
      <c r="B7" s="29">
        <f>Main!B8</f>
        <v>0</v>
      </c>
      <c r="C7" s="74" t="str">
        <f t="shared" si="0"/>
        <v>-</v>
      </c>
      <c r="D7" s="74">
        <f t="shared" si="1"/>
        <v>0</v>
      </c>
      <c r="E7" s="75">
        <f t="shared" si="2"/>
        <v>0</v>
      </c>
      <c r="F7" s="75">
        <f t="shared" si="3"/>
        <v>0</v>
      </c>
      <c r="G7" s="76" t="str">
        <f t="shared" si="4"/>
        <v>-</v>
      </c>
      <c r="I7" s="77">
        <v>5</v>
      </c>
      <c r="J7" s="78">
        <f t="shared" si="5"/>
        <v>0</v>
      </c>
      <c r="K7" s="78">
        <f t="shared" si="6"/>
        <v>0</v>
      </c>
      <c r="M7" s="77">
        <f t="shared" si="7"/>
        <v>0</v>
      </c>
      <c r="N7" s="79">
        <f t="shared" si="8"/>
        <v>0</v>
      </c>
      <c r="O7" s="76">
        <f t="shared" si="9"/>
        <v>0</v>
      </c>
      <c r="Q7" s="77">
        <v>5</v>
      </c>
      <c r="R7" s="78">
        <f t="shared" si="10"/>
        <v>0</v>
      </c>
      <c r="S7" s="74"/>
    </row>
    <row r="8" spans="1:19">
      <c r="A8" s="58">
        <f>Main!A9</f>
        <v>0</v>
      </c>
      <c r="B8" s="29">
        <f>Main!B9</f>
        <v>0</v>
      </c>
      <c r="C8" s="74" t="str">
        <f t="shared" si="0"/>
        <v>-</v>
      </c>
      <c r="D8" s="74">
        <f t="shared" si="1"/>
        <v>0</v>
      </c>
      <c r="E8" s="75">
        <f t="shared" si="2"/>
        <v>0</v>
      </c>
      <c r="F8" s="75">
        <f t="shared" si="3"/>
        <v>0</v>
      </c>
      <c r="G8" s="76" t="str">
        <f t="shared" si="4"/>
        <v>-</v>
      </c>
      <c r="I8" s="77">
        <v>6</v>
      </c>
      <c r="J8" s="78">
        <f t="shared" si="5"/>
        <v>0</v>
      </c>
      <c r="K8" s="78">
        <f t="shared" si="6"/>
        <v>0</v>
      </c>
      <c r="M8" s="77">
        <f t="shared" si="7"/>
        <v>0</v>
      </c>
      <c r="N8" s="79">
        <f t="shared" si="8"/>
        <v>0</v>
      </c>
      <c r="O8" s="76">
        <f t="shared" si="9"/>
        <v>0</v>
      </c>
      <c r="Q8" s="77">
        <v>6</v>
      </c>
      <c r="R8" s="78">
        <f t="shared" si="10"/>
        <v>0</v>
      </c>
      <c r="S8" s="74"/>
    </row>
    <row r="9" spans="1:19">
      <c r="A9" s="58">
        <f>Main!A10</f>
        <v>0</v>
      </c>
      <c r="B9" s="29">
        <f>Main!B10</f>
        <v>0</v>
      </c>
      <c r="C9" s="74" t="str">
        <f t="shared" si="0"/>
        <v>-</v>
      </c>
      <c r="D9" s="74">
        <f t="shared" si="1"/>
        <v>0</v>
      </c>
      <c r="E9" s="75">
        <f t="shared" si="2"/>
        <v>0</v>
      </c>
      <c r="F9" s="75">
        <f t="shared" si="3"/>
        <v>0</v>
      </c>
      <c r="G9" s="76" t="str">
        <f t="shared" si="4"/>
        <v>-</v>
      </c>
      <c r="I9" s="77">
        <v>7</v>
      </c>
      <c r="J9" s="78">
        <f t="shared" si="5"/>
        <v>0</v>
      </c>
      <c r="K9" s="78">
        <f t="shared" si="6"/>
        <v>0</v>
      </c>
      <c r="M9" s="77">
        <f t="shared" si="7"/>
        <v>0</v>
      </c>
      <c r="N9" s="79">
        <f t="shared" si="8"/>
        <v>0</v>
      </c>
      <c r="O9" s="76">
        <f t="shared" si="9"/>
        <v>0</v>
      </c>
      <c r="Q9" s="77">
        <v>7</v>
      </c>
      <c r="R9" s="78">
        <f t="shared" si="10"/>
        <v>0</v>
      </c>
      <c r="S9" s="74"/>
    </row>
    <row r="10" spans="1:19">
      <c r="A10" s="58">
        <f>Main!A11</f>
        <v>0</v>
      </c>
      <c r="B10" s="29">
        <f>Main!B11</f>
        <v>0</v>
      </c>
      <c r="C10" s="74" t="str">
        <f t="shared" si="0"/>
        <v>-</v>
      </c>
      <c r="D10" s="74">
        <f t="shared" si="1"/>
        <v>0</v>
      </c>
      <c r="E10" s="75">
        <f t="shared" si="2"/>
        <v>0</v>
      </c>
      <c r="F10" s="75">
        <f t="shared" si="3"/>
        <v>0</v>
      </c>
      <c r="G10" s="76" t="str">
        <f t="shared" si="4"/>
        <v>-</v>
      </c>
      <c r="I10" s="77">
        <v>8</v>
      </c>
      <c r="J10" s="78">
        <f t="shared" si="5"/>
        <v>0</v>
      </c>
      <c r="K10" s="78">
        <f t="shared" si="6"/>
        <v>0</v>
      </c>
      <c r="M10" s="77">
        <f t="shared" si="7"/>
        <v>0</v>
      </c>
      <c r="N10" s="79">
        <f t="shared" si="8"/>
        <v>0</v>
      </c>
      <c r="O10" s="76">
        <f t="shared" si="9"/>
        <v>0</v>
      </c>
      <c r="Q10" s="77">
        <v>8</v>
      </c>
      <c r="R10" s="78">
        <f t="shared" si="10"/>
        <v>0</v>
      </c>
      <c r="S10" s="74"/>
    </row>
    <row r="11" spans="1:19">
      <c r="A11" s="58">
        <f>Main!A12</f>
        <v>0</v>
      </c>
      <c r="B11" s="29">
        <f>Main!B12</f>
        <v>0</v>
      </c>
      <c r="C11" s="74" t="str">
        <f t="shared" si="0"/>
        <v>-</v>
      </c>
      <c r="D11" s="74">
        <f t="shared" si="1"/>
        <v>0</v>
      </c>
      <c r="E11" s="75">
        <f t="shared" si="2"/>
        <v>0</v>
      </c>
      <c r="F11" s="75">
        <f t="shared" si="3"/>
        <v>0</v>
      </c>
      <c r="G11" s="76" t="str">
        <f t="shared" si="4"/>
        <v>-</v>
      </c>
      <c r="I11" s="77">
        <v>9</v>
      </c>
      <c r="J11" s="78">
        <f t="shared" si="5"/>
        <v>0</v>
      </c>
      <c r="K11" s="78">
        <f t="shared" si="6"/>
        <v>0</v>
      </c>
      <c r="M11" s="77">
        <f t="shared" si="7"/>
        <v>0</v>
      </c>
      <c r="N11" s="79">
        <f t="shared" si="8"/>
        <v>0</v>
      </c>
      <c r="O11" s="76">
        <f t="shared" si="9"/>
        <v>0</v>
      </c>
      <c r="Q11" s="77">
        <v>9</v>
      </c>
      <c r="R11" s="78">
        <f t="shared" si="10"/>
        <v>0</v>
      </c>
      <c r="S11" s="74"/>
    </row>
    <row r="12" spans="1:19">
      <c r="A12" s="58">
        <f>Main!A13</f>
        <v>0</v>
      </c>
      <c r="B12" s="29">
        <f>Main!B13</f>
        <v>0</v>
      </c>
      <c r="C12" s="74" t="str">
        <f t="shared" si="0"/>
        <v>-</v>
      </c>
      <c r="D12" s="74">
        <f t="shared" si="1"/>
        <v>0</v>
      </c>
      <c r="E12" s="75">
        <f t="shared" si="2"/>
        <v>0</v>
      </c>
      <c r="F12" s="75">
        <f t="shared" si="3"/>
        <v>0</v>
      </c>
      <c r="G12" s="76" t="str">
        <f t="shared" si="4"/>
        <v>-</v>
      </c>
      <c r="I12" s="77">
        <v>10</v>
      </c>
      <c r="J12" s="78">
        <f t="shared" si="5"/>
        <v>0</v>
      </c>
      <c r="K12" s="78">
        <f t="shared" si="6"/>
        <v>0</v>
      </c>
      <c r="M12" s="77">
        <f t="shared" si="7"/>
        <v>0</v>
      </c>
      <c r="N12" s="79">
        <f t="shared" si="8"/>
        <v>0</v>
      </c>
      <c r="O12" s="76">
        <f t="shared" si="9"/>
        <v>0</v>
      </c>
      <c r="Q12" s="77">
        <v>10</v>
      </c>
      <c r="R12" s="78">
        <f t="shared" si="10"/>
        <v>0</v>
      </c>
      <c r="S12" s="74"/>
    </row>
    <row r="13" spans="1:19">
      <c r="A13" s="58">
        <f>Main!A14</f>
        <v>0</v>
      </c>
      <c r="B13" s="29">
        <f>Main!B14</f>
        <v>0</v>
      </c>
      <c r="C13" s="74" t="str">
        <f t="shared" si="0"/>
        <v>-</v>
      </c>
      <c r="D13" s="74">
        <f t="shared" si="1"/>
        <v>0</v>
      </c>
      <c r="E13" s="75">
        <f t="shared" si="2"/>
        <v>0</v>
      </c>
      <c r="F13" s="75">
        <f t="shared" si="3"/>
        <v>0</v>
      </c>
      <c r="G13" s="76" t="str">
        <f t="shared" si="4"/>
        <v>-</v>
      </c>
      <c r="I13" s="77">
        <v>11</v>
      </c>
      <c r="J13" s="78">
        <f t="shared" si="5"/>
        <v>0</v>
      </c>
      <c r="K13" s="78">
        <f t="shared" si="6"/>
        <v>0</v>
      </c>
      <c r="M13" s="77">
        <f t="shared" si="7"/>
        <v>0</v>
      </c>
      <c r="N13" s="79">
        <f t="shared" si="8"/>
        <v>0</v>
      </c>
      <c r="O13" s="76">
        <f t="shared" si="9"/>
        <v>0</v>
      </c>
      <c r="Q13" s="77">
        <v>11</v>
      </c>
      <c r="R13" s="78">
        <f t="shared" si="10"/>
        <v>0</v>
      </c>
      <c r="S13" s="74"/>
    </row>
    <row r="14" spans="1:19">
      <c r="A14" s="58">
        <f>Main!A15</f>
        <v>0</v>
      </c>
      <c r="B14" s="29">
        <f>Main!B15</f>
        <v>0</v>
      </c>
      <c r="C14" s="74" t="str">
        <f t="shared" si="0"/>
        <v>-</v>
      </c>
      <c r="D14" s="74">
        <f t="shared" si="1"/>
        <v>0</v>
      </c>
      <c r="E14" s="75">
        <f t="shared" si="2"/>
        <v>0</v>
      </c>
      <c r="F14" s="75">
        <f t="shared" si="3"/>
        <v>0</v>
      </c>
      <c r="G14" s="76" t="str">
        <f t="shared" si="4"/>
        <v>-</v>
      </c>
      <c r="I14" s="77">
        <v>12</v>
      </c>
      <c r="J14" s="78">
        <f t="shared" si="5"/>
        <v>0</v>
      </c>
      <c r="K14" s="78">
        <f t="shared" si="6"/>
        <v>0</v>
      </c>
      <c r="M14" s="77">
        <f t="shared" si="7"/>
        <v>0</v>
      </c>
      <c r="N14" s="79">
        <f t="shared" si="8"/>
        <v>0</v>
      </c>
      <c r="O14" s="76">
        <f t="shared" si="9"/>
        <v>0</v>
      </c>
      <c r="Q14" s="77">
        <v>12</v>
      </c>
      <c r="R14" s="78">
        <f t="shared" si="10"/>
        <v>0</v>
      </c>
      <c r="S14" s="74"/>
    </row>
    <row r="15" spans="1:19">
      <c r="A15" s="58">
        <f>Main!A16</f>
        <v>0</v>
      </c>
      <c r="B15" s="29">
        <f>Main!B16</f>
        <v>0</v>
      </c>
      <c r="C15" s="74" t="str">
        <f t="shared" si="0"/>
        <v>-</v>
      </c>
      <c r="D15" s="74">
        <f t="shared" si="1"/>
        <v>0</v>
      </c>
      <c r="E15" s="75">
        <f t="shared" si="2"/>
        <v>0</v>
      </c>
      <c r="F15" s="75">
        <f t="shared" si="3"/>
        <v>0</v>
      </c>
      <c r="G15" s="76" t="str">
        <f t="shared" si="4"/>
        <v>-</v>
      </c>
      <c r="I15" s="77">
        <v>13</v>
      </c>
      <c r="J15" s="78">
        <f t="shared" si="5"/>
        <v>0</v>
      </c>
      <c r="K15" s="78">
        <f t="shared" si="6"/>
        <v>0</v>
      </c>
      <c r="M15" s="77">
        <f t="shared" si="7"/>
        <v>0</v>
      </c>
      <c r="N15" s="79">
        <f t="shared" si="8"/>
        <v>0</v>
      </c>
      <c r="O15" s="76">
        <f t="shared" si="9"/>
        <v>0</v>
      </c>
      <c r="Q15" s="77">
        <v>13</v>
      </c>
      <c r="R15" s="78">
        <f t="shared" si="10"/>
        <v>0</v>
      </c>
      <c r="S15" s="74"/>
    </row>
    <row r="16" spans="1:19">
      <c r="A16" s="58">
        <f>Main!A17</f>
        <v>0</v>
      </c>
      <c r="B16" s="29">
        <f>Main!B17</f>
        <v>0</v>
      </c>
      <c r="C16" s="74" t="str">
        <f t="shared" si="0"/>
        <v>-</v>
      </c>
      <c r="D16" s="74">
        <f t="shared" si="1"/>
        <v>0</v>
      </c>
      <c r="E16" s="75">
        <f t="shared" si="2"/>
        <v>0</v>
      </c>
      <c r="F16" s="75">
        <f t="shared" si="3"/>
        <v>0</v>
      </c>
      <c r="G16" s="76" t="str">
        <f t="shared" si="4"/>
        <v>-</v>
      </c>
      <c r="I16" s="77">
        <v>14</v>
      </c>
      <c r="J16" s="78">
        <f t="shared" si="5"/>
        <v>0</v>
      </c>
      <c r="K16" s="78">
        <f t="shared" si="6"/>
        <v>0</v>
      </c>
      <c r="M16" s="77">
        <f t="shared" si="7"/>
        <v>0</v>
      </c>
      <c r="N16" s="79">
        <f t="shared" si="8"/>
        <v>0</v>
      </c>
      <c r="O16" s="76">
        <f t="shared" si="9"/>
        <v>0</v>
      </c>
      <c r="Q16" s="77">
        <v>14</v>
      </c>
      <c r="R16" s="78">
        <f t="shared" si="10"/>
        <v>0</v>
      </c>
      <c r="S16" s="74"/>
    </row>
    <row r="17" spans="1:19">
      <c r="A17" s="58">
        <f>Main!A18</f>
        <v>0</v>
      </c>
      <c r="B17" s="29">
        <f>Main!B18</f>
        <v>0</v>
      </c>
      <c r="C17" s="74" t="str">
        <f t="shared" si="0"/>
        <v>-</v>
      </c>
      <c r="D17" s="74">
        <f t="shared" si="1"/>
        <v>0</v>
      </c>
      <c r="E17" s="75">
        <f t="shared" si="2"/>
        <v>0</v>
      </c>
      <c r="F17" s="75">
        <f t="shared" si="3"/>
        <v>0</v>
      </c>
      <c r="G17" s="76" t="str">
        <f t="shared" si="4"/>
        <v>-</v>
      </c>
      <c r="I17" s="77">
        <v>15</v>
      </c>
      <c r="J17" s="78">
        <f t="shared" si="5"/>
        <v>0</v>
      </c>
      <c r="K17" s="78">
        <f t="shared" si="6"/>
        <v>0</v>
      </c>
      <c r="M17" s="77">
        <f t="shared" si="7"/>
        <v>0</v>
      </c>
      <c r="N17" s="79">
        <f t="shared" si="8"/>
        <v>0</v>
      </c>
      <c r="O17" s="76">
        <f t="shared" si="9"/>
        <v>0</v>
      </c>
      <c r="Q17" s="77">
        <v>15</v>
      </c>
      <c r="R17" s="78">
        <f t="shared" si="10"/>
        <v>0</v>
      </c>
      <c r="S17" s="74"/>
    </row>
    <row r="18" spans="1:19">
      <c r="A18" s="58">
        <f>Main!A19</f>
        <v>0</v>
      </c>
      <c r="B18" s="29">
        <f>Main!B19</f>
        <v>0</v>
      </c>
      <c r="C18" s="74" t="str">
        <f t="shared" si="0"/>
        <v>-</v>
      </c>
      <c r="D18" s="74">
        <f t="shared" si="1"/>
        <v>0</v>
      </c>
      <c r="E18" s="75">
        <f t="shared" si="2"/>
        <v>0</v>
      </c>
      <c r="F18" s="75">
        <f t="shared" si="3"/>
        <v>0</v>
      </c>
      <c r="G18" s="76" t="str">
        <f t="shared" si="4"/>
        <v>-</v>
      </c>
      <c r="I18" s="77">
        <v>16</v>
      </c>
      <c r="J18" s="78">
        <f t="shared" si="5"/>
        <v>0</v>
      </c>
      <c r="K18" s="78">
        <f t="shared" si="6"/>
        <v>0</v>
      </c>
      <c r="M18" s="77">
        <f t="shared" si="7"/>
        <v>0</v>
      </c>
      <c r="N18" s="79">
        <f t="shared" si="8"/>
        <v>0</v>
      </c>
      <c r="O18" s="76">
        <f t="shared" si="9"/>
        <v>0</v>
      </c>
      <c r="Q18" s="77">
        <v>16</v>
      </c>
      <c r="R18" s="78">
        <f t="shared" si="10"/>
        <v>0</v>
      </c>
      <c r="S18" s="74"/>
    </row>
    <row r="19" spans="1:19">
      <c r="A19" s="58">
        <f>Main!A20</f>
        <v>0</v>
      </c>
      <c r="B19" s="29">
        <f>Main!B20</f>
        <v>0</v>
      </c>
      <c r="C19" s="74" t="str">
        <f t="shared" si="0"/>
        <v>-</v>
      </c>
      <c r="D19" s="74">
        <f t="shared" si="1"/>
        <v>0</v>
      </c>
      <c r="E19" s="75">
        <f t="shared" si="2"/>
        <v>0</v>
      </c>
      <c r="F19" s="75">
        <f t="shared" si="3"/>
        <v>0</v>
      </c>
      <c r="G19" s="76" t="str">
        <f t="shared" si="4"/>
        <v>-</v>
      </c>
      <c r="I19" s="77">
        <v>17</v>
      </c>
      <c r="J19" s="78">
        <f t="shared" si="5"/>
        <v>0</v>
      </c>
      <c r="K19" s="78">
        <f t="shared" si="6"/>
        <v>0</v>
      </c>
      <c r="M19" s="77">
        <f t="shared" si="7"/>
        <v>0</v>
      </c>
      <c r="N19" s="79">
        <f t="shared" si="8"/>
        <v>0</v>
      </c>
      <c r="O19" s="76">
        <f t="shared" si="9"/>
        <v>0</v>
      </c>
      <c r="Q19" s="77">
        <v>17</v>
      </c>
      <c r="R19" s="78">
        <f t="shared" si="10"/>
        <v>0</v>
      </c>
      <c r="S19" s="74"/>
    </row>
    <row r="20" spans="1:19">
      <c r="A20" s="58">
        <f>Main!A21</f>
        <v>0</v>
      </c>
      <c r="B20" s="29">
        <f>Main!B21</f>
        <v>0</v>
      </c>
      <c r="C20" s="74" t="str">
        <f t="shared" si="0"/>
        <v>-</v>
      </c>
      <c r="D20" s="74">
        <f t="shared" si="1"/>
        <v>0</v>
      </c>
      <c r="E20" s="75">
        <f t="shared" si="2"/>
        <v>0</v>
      </c>
      <c r="F20" s="75">
        <f t="shared" si="3"/>
        <v>0</v>
      </c>
      <c r="G20" s="76" t="str">
        <f t="shared" si="4"/>
        <v>-</v>
      </c>
      <c r="I20" s="77">
        <v>18</v>
      </c>
      <c r="J20" s="78">
        <f t="shared" si="5"/>
        <v>0</v>
      </c>
      <c r="K20" s="78">
        <f t="shared" si="6"/>
        <v>0</v>
      </c>
      <c r="M20" s="77">
        <f t="shared" si="7"/>
        <v>0</v>
      </c>
      <c r="N20" s="79">
        <f t="shared" si="8"/>
        <v>0</v>
      </c>
      <c r="O20" s="76">
        <f t="shared" si="9"/>
        <v>0</v>
      </c>
      <c r="Q20" s="77">
        <v>18</v>
      </c>
      <c r="R20" s="78">
        <f t="shared" si="10"/>
        <v>0</v>
      </c>
      <c r="S20" s="74"/>
    </row>
    <row r="21" spans="1:19">
      <c r="A21" s="58">
        <f>Main!A22</f>
        <v>0</v>
      </c>
      <c r="B21" s="29">
        <f>Main!B22</f>
        <v>0</v>
      </c>
      <c r="C21" s="74" t="str">
        <f t="shared" si="0"/>
        <v>-</v>
      </c>
      <c r="D21" s="74">
        <f t="shared" si="1"/>
        <v>0</v>
      </c>
      <c r="E21" s="75">
        <f t="shared" si="2"/>
        <v>0</v>
      </c>
      <c r="F21" s="75">
        <f t="shared" si="3"/>
        <v>0</v>
      </c>
      <c r="G21" s="76" t="str">
        <f t="shared" si="4"/>
        <v>-</v>
      </c>
      <c r="I21" s="77">
        <v>19</v>
      </c>
      <c r="J21" s="78">
        <f t="shared" si="5"/>
        <v>0</v>
      </c>
      <c r="K21" s="78">
        <f t="shared" si="6"/>
        <v>0</v>
      </c>
      <c r="M21" s="77">
        <f t="shared" si="7"/>
        <v>0</v>
      </c>
      <c r="N21" s="79">
        <f t="shared" si="8"/>
        <v>0</v>
      </c>
      <c r="O21" s="76">
        <f t="shared" si="9"/>
        <v>0</v>
      </c>
      <c r="Q21" s="77">
        <v>19</v>
      </c>
      <c r="R21" s="78">
        <f t="shared" si="10"/>
        <v>0</v>
      </c>
      <c r="S21" s="74"/>
    </row>
    <row r="22" spans="1:19">
      <c r="A22" s="58">
        <f>Main!A23</f>
        <v>0</v>
      </c>
      <c r="B22" s="29">
        <f>Main!B23</f>
        <v>0</v>
      </c>
      <c r="C22" s="74" t="str">
        <f t="shared" si="0"/>
        <v>-</v>
      </c>
      <c r="D22" s="74">
        <f t="shared" si="1"/>
        <v>0</v>
      </c>
      <c r="E22" s="75">
        <f t="shared" si="2"/>
        <v>0</v>
      </c>
      <c r="F22" s="75">
        <f t="shared" si="3"/>
        <v>0</v>
      </c>
      <c r="G22" s="76" t="str">
        <f t="shared" si="4"/>
        <v>-</v>
      </c>
      <c r="I22" s="77">
        <v>20</v>
      </c>
      <c r="J22" s="78">
        <f t="shared" si="5"/>
        <v>0</v>
      </c>
      <c r="K22" s="78">
        <f t="shared" si="6"/>
        <v>0</v>
      </c>
      <c r="M22" s="77">
        <f t="shared" si="7"/>
        <v>0</v>
      </c>
      <c r="N22" s="79">
        <f t="shared" si="8"/>
        <v>0</v>
      </c>
      <c r="O22" s="76">
        <f t="shared" si="9"/>
        <v>0</v>
      </c>
      <c r="Q22" s="77">
        <v>20</v>
      </c>
      <c r="R22" s="78">
        <f t="shared" si="10"/>
        <v>0</v>
      </c>
      <c r="S22" s="74"/>
    </row>
    <row r="23" spans="1:19">
      <c r="A23" s="58">
        <f>Main!A24</f>
        <v>0</v>
      </c>
      <c r="B23" s="29">
        <f>Main!B24</f>
        <v>0</v>
      </c>
      <c r="C23" s="74" t="str">
        <f t="shared" si="0"/>
        <v>-</v>
      </c>
      <c r="D23" s="74">
        <f t="shared" si="1"/>
        <v>0</v>
      </c>
      <c r="E23" s="75">
        <f t="shared" si="2"/>
        <v>0</v>
      </c>
      <c r="F23" s="75">
        <f t="shared" si="3"/>
        <v>0</v>
      </c>
      <c r="G23" s="76" t="str">
        <f t="shared" si="4"/>
        <v>-</v>
      </c>
      <c r="I23" s="77">
        <v>21</v>
      </c>
      <c r="J23" s="78">
        <f t="shared" si="5"/>
        <v>0</v>
      </c>
      <c r="K23" s="78">
        <f t="shared" si="6"/>
        <v>0</v>
      </c>
      <c r="M23" s="77">
        <f t="shared" si="7"/>
        <v>0</v>
      </c>
      <c r="N23" s="79">
        <f t="shared" si="8"/>
        <v>0</v>
      </c>
      <c r="O23" s="76">
        <f t="shared" si="9"/>
        <v>0</v>
      </c>
      <c r="Q23" s="77">
        <v>21</v>
      </c>
      <c r="R23" s="78">
        <f t="shared" si="10"/>
        <v>0</v>
      </c>
      <c r="S23" s="74"/>
    </row>
    <row r="24" spans="1:19">
      <c r="A24" s="58">
        <f>Main!A25</f>
        <v>0</v>
      </c>
      <c r="B24" s="29">
        <f>Main!B25</f>
        <v>0</v>
      </c>
      <c r="C24" s="74" t="str">
        <f t="shared" si="0"/>
        <v>-</v>
      </c>
      <c r="D24" s="74">
        <f t="shared" si="1"/>
        <v>0</v>
      </c>
      <c r="E24" s="75">
        <f t="shared" si="2"/>
        <v>0</v>
      </c>
      <c r="F24" s="75">
        <f t="shared" si="3"/>
        <v>0</v>
      </c>
      <c r="G24" s="76" t="str">
        <f t="shared" si="4"/>
        <v>-</v>
      </c>
      <c r="I24" s="77">
        <v>22</v>
      </c>
      <c r="J24" s="78">
        <f t="shared" si="5"/>
        <v>0</v>
      </c>
      <c r="K24" s="78">
        <f t="shared" si="6"/>
        <v>0</v>
      </c>
      <c r="M24" s="77">
        <f t="shared" si="7"/>
        <v>0</v>
      </c>
      <c r="N24" s="79">
        <f t="shared" si="8"/>
        <v>0</v>
      </c>
      <c r="O24" s="76">
        <f t="shared" si="9"/>
        <v>0</v>
      </c>
      <c r="Q24" s="77">
        <v>22</v>
      </c>
      <c r="R24" s="78">
        <f t="shared" si="10"/>
        <v>0</v>
      </c>
      <c r="S24" s="74"/>
    </row>
    <row r="25" spans="1:19">
      <c r="A25" s="58">
        <f>Main!A26</f>
        <v>0</v>
      </c>
      <c r="B25" s="29">
        <f>Main!B26</f>
        <v>0</v>
      </c>
      <c r="C25" s="74" t="str">
        <f t="shared" si="0"/>
        <v>-</v>
      </c>
      <c r="D25" s="74">
        <f t="shared" si="1"/>
        <v>0</v>
      </c>
      <c r="E25" s="75">
        <f t="shared" si="2"/>
        <v>0</v>
      </c>
      <c r="F25" s="75">
        <f t="shared" si="3"/>
        <v>0</v>
      </c>
      <c r="G25" s="76" t="str">
        <f t="shared" si="4"/>
        <v>-</v>
      </c>
      <c r="I25" s="77">
        <v>23</v>
      </c>
      <c r="J25" s="78">
        <f t="shared" si="5"/>
        <v>0</v>
      </c>
      <c r="K25" s="78">
        <f t="shared" si="6"/>
        <v>0</v>
      </c>
      <c r="M25" s="77">
        <f t="shared" si="7"/>
        <v>0</v>
      </c>
      <c r="N25" s="79">
        <f t="shared" si="8"/>
        <v>0</v>
      </c>
      <c r="O25" s="76">
        <f t="shared" si="9"/>
        <v>0</v>
      </c>
      <c r="Q25" s="77">
        <v>23</v>
      </c>
      <c r="R25" s="78">
        <f t="shared" si="10"/>
        <v>0</v>
      </c>
      <c r="S25" s="74"/>
    </row>
    <row r="26" spans="1:19">
      <c r="A26" s="58">
        <f>Main!A27</f>
        <v>0</v>
      </c>
      <c r="B26" s="29">
        <f>Main!B27</f>
        <v>0</v>
      </c>
      <c r="C26" s="74" t="str">
        <f t="shared" si="0"/>
        <v>-</v>
      </c>
      <c r="D26" s="74">
        <f t="shared" si="1"/>
        <v>0</v>
      </c>
      <c r="E26" s="75">
        <f t="shared" si="2"/>
        <v>0</v>
      </c>
      <c r="F26" s="75">
        <f t="shared" si="3"/>
        <v>0</v>
      </c>
      <c r="G26" s="76" t="str">
        <f t="shared" si="4"/>
        <v>-</v>
      </c>
      <c r="I26" s="77">
        <v>24</v>
      </c>
      <c r="J26" s="78">
        <f t="shared" si="5"/>
        <v>0</v>
      </c>
      <c r="K26" s="78">
        <f t="shared" si="6"/>
        <v>0</v>
      </c>
      <c r="M26" s="77">
        <f t="shared" si="7"/>
        <v>0</v>
      </c>
      <c r="N26" s="79">
        <f t="shared" si="8"/>
        <v>0</v>
      </c>
      <c r="O26" s="76">
        <f t="shared" si="9"/>
        <v>0</v>
      </c>
      <c r="Q26" s="77">
        <v>24</v>
      </c>
      <c r="R26" s="78">
        <f t="shared" si="10"/>
        <v>0</v>
      </c>
      <c r="S26" s="74"/>
    </row>
    <row r="27" spans="1:19">
      <c r="A27" s="58">
        <f>Main!A28</f>
        <v>0</v>
      </c>
      <c r="B27" s="29">
        <f>Main!B28</f>
        <v>0</v>
      </c>
      <c r="C27" s="74" t="str">
        <f t="shared" si="0"/>
        <v>-</v>
      </c>
      <c r="D27" s="74">
        <f t="shared" si="1"/>
        <v>0</v>
      </c>
      <c r="E27" s="75">
        <f t="shared" si="2"/>
        <v>0</v>
      </c>
      <c r="F27" s="75">
        <f t="shared" si="3"/>
        <v>0</v>
      </c>
      <c r="G27" s="76" t="str">
        <f t="shared" si="4"/>
        <v>-</v>
      </c>
      <c r="I27" s="77">
        <v>25</v>
      </c>
      <c r="J27" s="78">
        <f t="shared" si="5"/>
        <v>0</v>
      </c>
      <c r="K27" s="78">
        <f t="shared" si="6"/>
        <v>0</v>
      </c>
      <c r="M27" s="77">
        <f t="shared" si="7"/>
        <v>0</v>
      </c>
      <c r="N27" s="79">
        <f t="shared" si="8"/>
        <v>0</v>
      </c>
      <c r="O27" s="76">
        <f t="shared" si="9"/>
        <v>0</v>
      </c>
      <c r="Q27" s="77">
        <v>25</v>
      </c>
      <c r="R27" s="78">
        <f t="shared" si="10"/>
        <v>0</v>
      </c>
      <c r="S27" s="74"/>
    </row>
    <row r="28" spans="1:19">
      <c r="A28" s="58">
        <f>Main!A29</f>
        <v>0</v>
      </c>
      <c r="B28" s="29">
        <f>Main!B29</f>
        <v>0</v>
      </c>
      <c r="C28" s="74" t="str">
        <f t="shared" si="0"/>
        <v>-</v>
      </c>
      <c r="D28" s="74">
        <f t="shared" si="1"/>
        <v>0</v>
      </c>
      <c r="E28" s="75">
        <f t="shared" si="2"/>
        <v>0</v>
      </c>
      <c r="F28" s="75">
        <f t="shared" si="3"/>
        <v>0</v>
      </c>
      <c r="G28" s="76" t="str">
        <f t="shared" si="4"/>
        <v>-</v>
      </c>
      <c r="I28" s="77">
        <v>26</v>
      </c>
      <c r="J28" s="78">
        <f t="shared" si="5"/>
        <v>0</v>
      </c>
      <c r="K28" s="78">
        <f t="shared" si="6"/>
        <v>0</v>
      </c>
      <c r="M28" s="77">
        <f t="shared" si="7"/>
        <v>0</v>
      </c>
      <c r="N28" s="79">
        <f t="shared" si="8"/>
        <v>0</v>
      </c>
      <c r="O28" s="76">
        <f t="shared" si="9"/>
        <v>0</v>
      </c>
      <c r="Q28" s="77">
        <v>26</v>
      </c>
      <c r="R28" s="78">
        <f t="shared" si="10"/>
        <v>0</v>
      </c>
      <c r="S28" s="74"/>
    </row>
    <row r="29" spans="1:19">
      <c r="A29" s="58">
        <f>Main!A30</f>
        <v>0</v>
      </c>
      <c r="B29" s="29">
        <f>Main!B30</f>
        <v>0</v>
      </c>
      <c r="C29" s="74" t="str">
        <f t="shared" si="0"/>
        <v>-</v>
      </c>
      <c r="D29" s="74">
        <f t="shared" si="1"/>
        <v>0</v>
      </c>
      <c r="E29" s="75">
        <f t="shared" si="2"/>
        <v>0</v>
      </c>
      <c r="F29" s="75">
        <f t="shared" si="3"/>
        <v>0</v>
      </c>
      <c r="G29" s="76" t="str">
        <f t="shared" si="4"/>
        <v>-</v>
      </c>
      <c r="I29" s="77">
        <v>27</v>
      </c>
      <c r="J29" s="78">
        <f t="shared" si="5"/>
        <v>0</v>
      </c>
      <c r="K29" s="78">
        <f t="shared" si="6"/>
        <v>0</v>
      </c>
      <c r="M29" s="77">
        <f t="shared" si="7"/>
        <v>0</v>
      </c>
      <c r="N29" s="79">
        <f t="shared" si="8"/>
        <v>0</v>
      </c>
      <c r="O29" s="76">
        <f t="shared" si="9"/>
        <v>0</v>
      </c>
      <c r="Q29" s="77">
        <v>27</v>
      </c>
      <c r="R29" s="78">
        <f t="shared" si="10"/>
        <v>0</v>
      </c>
      <c r="S29" s="74"/>
    </row>
    <row r="30" spans="1:19">
      <c r="A30" s="58">
        <f>Main!A31</f>
        <v>0</v>
      </c>
      <c r="B30" s="29">
        <f>Main!B31</f>
        <v>0</v>
      </c>
      <c r="C30" s="74" t="str">
        <f t="shared" si="0"/>
        <v>-</v>
      </c>
      <c r="D30" s="74">
        <f t="shared" si="1"/>
        <v>0</v>
      </c>
      <c r="E30" s="75">
        <f t="shared" si="2"/>
        <v>0</v>
      </c>
      <c r="F30" s="75">
        <f t="shared" si="3"/>
        <v>0</v>
      </c>
      <c r="G30" s="76" t="str">
        <f t="shared" si="4"/>
        <v>-</v>
      </c>
      <c r="I30" s="77">
        <v>28</v>
      </c>
      <c r="J30" s="78">
        <f t="shared" si="5"/>
        <v>0</v>
      </c>
      <c r="K30" s="78">
        <f t="shared" si="6"/>
        <v>0</v>
      </c>
      <c r="M30" s="77">
        <f t="shared" si="7"/>
        <v>0</v>
      </c>
      <c r="N30" s="79">
        <f t="shared" si="8"/>
        <v>0</v>
      </c>
      <c r="O30" s="76">
        <f t="shared" si="9"/>
        <v>0</v>
      </c>
      <c r="Q30" s="77">
        <v>28</v>
      </c>
      <c r="R30" s="78">
        <f t="shared" si="10"/>
        <v>0</v>
      </c>
      <c r="S30" s="74"/>
    </row>
    <row r="31" spans="1:19">
      <c r="A31" s="58">
        <f>Main!A32</f>
        <v>0</v>
      </c>
      <c r="B31" s="29">
        <f>Main!B32</f>
        <v>0</v>
      </c>
      <c r="C31" s="74" t="str">
        <f t="shared" si="0"/>
        <v>-</v>
      </c>
      <c r="D31" s="74">
        <f t="shared" si="1"/>
        <v>0</v>
      </c>
      <c r="E31" s="75">
        <f t="shared" si="2"/>
        <v>0</v>
      </c>
      <c r="F31" s="75">
        <f t="shared" si="3"/>
        <v>0</v>
      </c>
      <c r="G31" s="76" t="str">
        <f t="shared" si="4"/>
        <v>-</v>
      </c>
      <c r="I31" s="77">
        <v>29</v>
      </c>
      <c r="J31" s="78">
        <f t="shared" si="5"/>
        <v>0</v>
      </c>
      <c r="K31" s="78">
        <f t="shared" si="6"/>
        <v>0</v>
      </c>
      <c r="M31" s="77">
        <f t="shared" si="7"/>
        <v>0</v>
      </c>
      <c r="N31" s="79">
        <f t="shared" si="8"/>
        <v>0</v>
      </c>
      <c r="O31" s="76">
        <f t="shared" si="9"/>
        <v>0</v>
      </c>
      <c r="Q31" s="77">
        <v>29</v>
      </c>
      <c r="R31" s="78">
        <f t="shared" si="10"/>
        <v>0</v>
      </c>
      <c r="S31" s="74"/>
    </row>
    <row r="32" spans="1:19">
      <c r="A32" s="58">
        <f>Main!A33</f>
        <v>0</v>
      </c>
      <c r="B32" s="29">
        <f>Main!B33</f>
        <v>0</v>
      </c>
      <c r="C32" s="74" t="str">
        <f t="shared" si="0"/>
        <v>-</v>
      </c>
      <c r="D32" s="74">
        <f t="shared" si="1"/>
        <v>0</v>
      </c>
      <c r="E32" s="75">
        <f t="shared" si="2"/>
        <v>0</v>
      </c>
      <c r="F32" s="75">
        <f t="shared" si="3"/>
        <v>0</v>
      </c>
      <c r="G32" s="76" t="str">
        <f t="shared" si="4"/>
        <v>-</v>
      </c>
      <c r="I32" s="77">
        <v>30</v>
      </c>
      <c r="J32" s="78">
        <f t="shared" si="5"/>
        <v>0</v>
      </c>
      <c r="K32" s="78">
        <f t="shared" si="6"/>
        <v>0</v>
      </c>
      <c r="M32" s="77">
        <f t="shared" si="7"/>
        <v>0</v>
      </c>
      <c r="N32" s="79">
        <f t="shared" si="8"/>
        <v>0</v>
      </c>
      <c r="O32" s="76">
        <f t="shared" si="9"/>
        <v>0</v>
      </c>
      <c r="Q32" s="77">
        <v>30</v>
      </c>
      <c r="R32" s="78">
        <f t="shared" si="10"/>
        <v>0</v>
      </c>
      <c r="S32" s="74"/>
    </row>
    <row r="33" spans="1:19">
      <c r="A33" s="58">
        <f>Main!A34</f>
        <v>0</v>
      </c>
      <c r="B33" s="29">
        <f>Main!B34</f>
        <v>0</v>
      </c>
      <c r="C33" s="74" t="str">
        <f t="shared" si="0"/>
        <v>-</v>
      </c>
      <c r="D33" s="74">
        <f t="shared" si="1"/>
        <v>0</v>
      </c>
      <c r="E33" s="75">
        <f t="shared" si="2"/>
        <v>0</v>
      </c>
      <c r="F33" s="75">
        <f t="shared" si="3"/>
        <v>0</v>
      </c>
      <c r="G33" s="76" t="str">
        <f t="shared" si="4"/>
        <v>-</v>
      </c>
      <c r="I33" s="77">
        <v>31</v>
      </c>
      <c r="J33" s="78">
        <f t="shared" si="5"/>
        <v>0</v>
      </c>
      <c r="K33" s="78">
        <f t="shared" si="6"/>
        <v>0</v>
      </c>
      <c r="M33" s="77">
        <f t="shared" si="7"/>
        <v>0</v>
      </c>
      <c r="N33" s="79">
        <f t="shared" si="8"/>
        <v>0</v>
      </c>
      <c r="O33" s="76">
        <f t="shared" si="9"/>
        <v>0</v>
      </c>
      <c r="Q33" s="77">
        <v>31</v>
      </c>
      <c r="R33" s="78">
        <f t="shared" si="10"/>
        <v>0</v>
      </c>
      <c r="S33" s="74"/>
    </row>
    <row r="34" spans="1:19">
      <c r="A34" s="58">
        <f>Main!A35</f>
        <v>0</v>
      </c>
      <c r="B34" s="29">
        <f>Main!B35</f>
        <v>0</v>
      </c>
      <c r="C34" s="74" t="str">
        <f t="shared" si="0"/>
        <v>-</v>
      </c>
      <c r="D34" s="74">
        <f t="shared" si="1"/>
        <v>0</v>
      </c>
      <c r="E34" s="75">
        <f t="shared" si="2"/>
        <v>0</v>
      </c>
      <c r="F34" s="75">
        <f t="shared" si="3"/>
        <v>0</v>
      </c>
      <c r="G34" s="76" t="str">
        <f t="shared" si="4"/>
        <v>-</v>
      </c>
      <c r="I34" s="77">
        <v>32</v>
      </c>
      <c r="J34" s="78">
        <f t="shared" si="5"/>
        <v>0</v>
      </c>
      <c r="K34" s="78">
        <f t="shared" si="6"/>
        <v>0</v>
      </c>
      <c r="M34" s="77">
        <f t="shared" si="7"/>
        <v>0</v>
      </c>
      <c r="N34" s="79">
        <f t="shared" si="8"/>
        <v>0</v>
      </c>
      <c r="O34" s="76">
        <f t="shared" si="9"/>
        <v>0</v>
      </c>
      <c r="Q34" s="77">
        <v>32</v>
      </c>
      <c r="R34" s="78">
        <f t="shared" si="10"/>
        <v>0</v>
      </c>
      <c r="S34" s="74"/>
    </row>
    <row r="35" spans="1:19">
      <c r="A35" s="58">
        <f>Main!A36</f>
        <v>0</v>
      </c>
      <c r="B35" s="29">
        <f>Main!B36</f>
        <v>0</v>
      </c>
      <c r="C35" s="74" t="str">
        <f t="shared" si="0"/>
        <v>-</v>
      </c>
      <c r="D35" s="74">
        <f t="shared" si="1"/>
        <v>0</v>
      </c>
      <c r="E35" s="75">
        <f t="shared" si="2"/>
        <v>0</v>
      </c>
      <c r="F35" s="75">
        <f t="shared" si="3"/>
        <v>0</v>
      </c>
      <c r="G35" s="76" t="str">
        <f t="shared" si="4"/>
        <v>-</v>
      </c>
      <c r="I35" s="77">
        <v>33</v>
      </c>
      <c r="J35" s="78">
        <f t="shared" si="5"/>
        <v>0</v>
      </c>
      <c r="K35" s="78">
        <f t="shared" si="6"/>
        <v>0</v>
      </c>
      <c r="M35" s="77">
        <f t="shared" si="7"/>
        <v>0</v>
      </c>
      <c r="N35" s="79">
        <f t="shared" si="8"/>
        <v>0</v>
      </c>
      <c r="O35" s="76">
        <f t="shared" si="9"/>
        <v>0</v>
      </c>
      <c r="Q35" s="77">
        <v>33</v>
      </c>
      <c r="R35" s="78">
        <f t="shared" si="10"/>
        <v>0</v>
      </c>
      <c r="S35" s="74"/>
    </row>
    <row r="36" spans="1:19">
      <c r="A36" s="58">
        <f>Main!A37</f>
        <v>0</v>
      </c>
      <c r="B36" s="29">
        <f>Main!B37</f>
        <v>0</v>
      </c>
      <c r="C36" s="74" t="str">
        <f t="shared" si="0"/>
        <v>-</v>
      </c>
      <c r="D36" s="74">
        <f t="shared" si="1"/>
        <v>0</v>
      </c>
      <c r="E36" s="75">
        <f t="shared" si="2"/>
        <v>0</v>
      </c>
      <c r="F36" s="75">
        <f t="shared" si="3"/>
        <v>0</v>
      </c>
      <c r="G36" s="76" t="str">
        <f t="shared" si="4"/>
        <v>-</v>
      </c>
      <c r="I36" s="77">
        <v>34</v>
      </c>
      <c r="J36" s="78">
        <f t="shared" si="5"/>
        <v>0</v>
      </c>
      <c r="K36" s="78">
        <f t="shared" si="6"/>
        <v>0</v>
      </c>
      <c r="M36" s="77">
        <f t="shared" si="7"/>
        <v>0</v>
      </c>
      <c r="N36" s="79">
        <f t="shared" si="8"/>
        <v>0</v>
      </c>
      <c r="O36" s="76">
        <f t="shared" si="9"/>
        <v>0</v>
      </c>
      <c r="Q36" s="77">
        <v>34</v>
      </c>
      <c r="R36" s="78">
        <f t="shared" si="10"/>
        <v>0</v>
      </c>
      <c r="S36" s="74"/>
    </row>
    <row r="37" spans="1:19">
      <c r="A37" s="58">
        <f>Main!A38</f>
        <v>0</v>
      </c>
      <c r="B37" s="29">
        <f>Main!B38</f>
        <v>0</v>
      </c>
      <c r="C37" s="74" t="str">
        <f t="shared" si="0"/>
        <v>-</v>
      </c>
      <c r="D37" s="74">
        <f t="shared" si="1"/>
        <v>0</v>
      </c>
      <c r="E37" s="75">
        <f t="shared" si="2"/>
        <v>0</v>
      </c>
      <c r="F37" s="75">
        <f t="shared" si="3"/>
        <v>0</v>
      </c>
      <c r="G37" s="76" t="str">
        <f t="shared" si="4"/>
        <v>-</v>
      </c>
      <c r="I37" s="77">
        <v>35</v>
      </c>
      <c r="J37" s="78">
        <f t="shared" si="5"/>
        <v>0</v>
      </c>
      <c r="K37" s="78">
        <f t="shared" si="6"/>
        <v>0</v>
      </c>
      <c r="M37" s="77">
        <f t="shared" si="7"/>
        <v>0</v>
      </c>
      <c r="N37" s="79">
        <f t="shared" si="8"/>
        <v>0</v>
      </c>
      <c r="O37" s="76">
        <f t="shared" si="9"/>
        <v>0</v>
      </c>
      <c r="Q37" s="77">
        <v>35</v>
      </c>
      <c r="R37" s="78">
        <f t="shared" si="10"/>
        <v>0</v>
      </c>
      <c r="S37" s="74"/>
    </row>
    <row r="38" spans="1:19">
      <c r="A38" s="58">
        <f>Main!A39</f>
        <v>0</v>
      </c>
      <c r="B38" s="29">
        <f>Main!B39</f>
        <v>0</v>
      </c>
      <c r="C38" s="74" t="str">
        <f t="shared" si="0"/>
        <v>-</v>
      </c>
      <c r="D38" s="74">
        <f t="shared" si="1"/>
        <v>0</v>
      </c>
      <c r="E38" s="75">
        <f t="shared" si="2"/>
        <v>0</v>
      </c>
      <c r="F38" s="75">
        <f t="shared" si="3"/>
        <v>0</v>
      </c>
      <c r="G38" s="76" t="str">
        <f t="shared" si="4"/>
        <v>-</v>
      </c>
      <c r="I38" s="77">
        <v>36</v>
      </c>
      <c r="J38" s="78">
        <f t="shared" si="5"/>
        <v>0</v>
      </c>
      <c r="K38" s="78">
        <f t="shared" si="6"/>
        <v>0</v>
      </c>
      <c r="M38" s="77">
        <f t="shared" si="7"/>
        <v>0</v>
      </c>
      <c r="N38" s="79">
        <f t="shared" si="8"/>
        <v>0</v>
      </c>
      <c r="O38" s="76">
        <f t="shared" si="9"/>
        <v>0</v>
      </c>
      <c r="Q38" s="77">
        <v>36</v>
      </c>
      <c r="R38" s="78">
        <f t="shared" si="10"/>
        <v>0</v>
      </c>
      <c r="S38" s="74"/>
    </row>
    <row r="39" spans="1:19">
      <c r="A39" s="58">
        <f>Main!A40</f>
        <v>0</v>
      </c>
      <c r="B39" s="29">
        <f>Main!B40</f>
        <v>0</v>
      </c>
      <c r="C39" s="74" t="str">
        <f t="shared" si="0"/>
        <v>-</v>
      </c>
      <c r="D39" s="74">
        <f t="shared" si="1"/>
        <v>0</v>
      </c>
      <c r="E39" s="75">
        <f t="shared" si="2"/>
        <v>0</v>
      </c>
      <c r="F39" s="75">
        <f t="shared" si="3"/>
        <v>0</v>
      </c>
      <c r="G39" s="76" t="str">
        <f t="shared" si="4"/>
        <v>-</v>
      </c>
      <c r="I39" s="77">
        <v>37</v>
      </c>
      <c r="J39" s="78">
        <f t="shared" si="5"/>
        <v>0</v>
      </c>
      <c r="K39" s="78">
        <f t="shared" si="6"/>
        <v>0</v>
      </c>
      <c r="M39" s="77">
        <f t="shared" si="7"/>
        <v>0</v>
      </c>
      <c r="N39" s="79">
        <f t="shared" si="8"/>
        <v>0</v>
      </c>
      <c r="O39" s="76">
        <f t="shared" si="9"/>
        <v>0</v>
      </c>
      <c r="Q39" s="77">
        <v>37</v>
      </c>
      <c r="R39" s="78">
        <f t="shared" si="10"/>
        <v>0</v>
      </c>
      <c r="S39" s="74"/>
    </row>
    <row r="40" spans="1:19">
      <c r="A40" s="58">
        <f>Main!A41</f>
        <v>0</v>
      </c>
      <c r="B40" s="29">
        <f>Main!B41</f>
        <v>0</v>
      </c>
      <c r="C40" s="74" t="str">
        <f t="shared" si="0"/>
        <v>-</v>
      </c>
      <c r="D40" s="74">
        <f t="shared" si="1"/>
        <v>0</v>
      </c>
      <c r="E40" s="75">
        <f t="shared" si="2"/>
        <v>0</v>
      </c>
      <c r="F40" s="75">
        <f t="shared" si="3"/>
        <v>0</v>
      </c>
      <c r="G40" s="76" t="str">
        <f t="shared" si="4"/>
        <v>-</v>
      </c>
      <c r="I40" s="77">
        <v>38</v>
      </c>
      <c r="J40" s="78">
        <f t="shared" si="5"/>
        <v>0</v>
      </c>
      <c r="K40" s="78">
        <f t="shared" si="6"/>
        <v>0</v>
      </c>
      <c r="M40" s="77">
        <f t="shared" si="7"/>
        <v>0</v>
      </c>
      <c r="N40" s="79">
        <f t="shared" si="8"/>
        <v>0</v>
      </c>
      <c r="O40" s="76">
        <f t="shared" si="9"/>
        <v>0</v>
      </c>
      <c r="Q40" s="77">
        <v>38</v>
      </c>
      <c r="R40" s="78">
        <f t="shared" si="10"/>
        <v>0</v>
      </c>
      <c r="S40" s="74"/>
    </row>
    <row r="41" spans="1:19">
      <c r="A41" s="58">
        <f>Main!A42</f>
        <v>0</v>
      </c>
      <c r="B41" s="29">
        <f>Main!B42</f>
        <v>0</v>
      </c>
      <c r="C41" s="74" t="str">
        <f t="shared" si="0"/>
        <v>-</v>
      </c>
      <c r="D41" s="74">
        <f t="shared" si="1"/>
        <v>0</v>
      </c>
      <c r="E41" s="75">
        <f t="shared" si="2"/>
        <v>0</v>
      </c>
      <c r="F41" s="75">
        <f t="shared" si="3"/>
        <v>0</v>
      </c>
      <c r="G41" s="76" t="str">
        <f t="shared" si="4"/>
        <v>-</v>
      </c>
      <c r="I41" s="77">
        <v>39</v>
      </c>
      <c r="J41" s="78">
        <f t="shared" si="5"/>
        <v>0</v>
      </c>
      <c r="K41" s="78">
        <f t="shared" si="6"/>
        <v>0</v>
      </c>
      <c r="M41" s="77">
        <f t="shared" si="7"/>
        <v>0</v>
      </c>
      <c r="N41" s="79">
        <f t="shared" si="8"/>
        <v>0</v>
      </c>
      <c r="O41" s="76">
        <f t="shared" si="9"/>
        <v>0</v>
      </c>
      <c r="Q41" s="77">
        <v>39</v>
      </c>
      <c r="R41" s="78">
        <f t="shared" si="10"/>
        <v>0</v>
      </c>
      <c r="S41" s="74"/>
    </row>
    <row r="42" spans="1:19">
      <c r="A42" s="58">
        <f>Main!A43</f>
        <v>0</v>
      </c>
      <c r="B42" s="29">
        <f>Main!B43</f>
        <v>0</v>
      </c>
      <c r="C42" s="74" t="str">
        <f t="shared" si="0"/>
        <v>-</v>
      </c>
      <c r="D42" s="74">
        <f t="shared" si="1"/>
        <v>0</v>
      </c>
      <c r="E42" s="75">
        <f t="shared" si="2"/>
        <v>0</v>
      </c>
      <c r="F42" s="75">
        <f t="shared" si="3"/>
        <v>0</v>
      </c>
      <c r="G42" s="76" t="str">
        <f t="shared" si="4"/>
        <v>-</v>
      </c>
      <c r="I42" s="77">
        <v>40</v>
      </c>
      <c r="J42" s="78">
        <f t="shared" si="5"/>
        <v>0</v>
      </c>
      <c r="K42" s="78">
        <f t="shared" si="6"/>
        <v>0</v>
      </c>
      <c r="M42" s="77">
        <f t="shared" si="7"/>
        <v>0</v>
      </c>
      <c r="N42" s="79">
        <f t="shared" si="8"/>
        <v>0</v>
      </c>
      <c r="O42" s="76">
        <f t="shared" si="9"/>
        <v>0</v>
      </c>
      <c r="Q42" s="77">
        <v>40</v>
      </c>
      <c r="R42" s="78">
        <f t="shared" si="10"/>
        <v>0</v>
      </c>
      <c r="S42" s="74"/>
    </row>
    <row r="43" spans="1:19">
      <c r="A43" s="58">
        <f>Main!A44</f>
        <v>0</v>
      </c>
      <c r="B43" s="29">
        <f>Main!B44</f>
        <v>0</v>
      </c>
      <c r="C43" s="74" t="str">
        <f t="shared" si="0"/>
        <v>-</v>
      </c>
      <c r="D43" s="74">
        <f t="shared" si="1"/>
        <v>0</v>
      </c>
      <c r="E43" s="75">
        <f t="shared" si="2"/>
        <v>0</v>
      </c>
      <c r="F43" s="75">
        <f t="shared" si="3"/>
        <v>0</v>
      </c>
      <c r="G43" s="76" t="str">
        <f t="shared" si="4"/>
        <v>-</v>
      </c>
      <c r="I43" s="77">
        <v>41</v>
      </c>
      <c r="J43" s="78">
        <f t="shared" si="5"/>
        <v>0</v>
      </c>
      <c r="K43" s="78">
        <f t="shared" si="6"/>
        <v>0</v>
      </c>
      <c r="M43" s="77">
        <f t="shared" si="7"/>
        <v>0</v>
      </c>
      <c r="N43" s="79">
        <f t="shared" si="8"/>
        <v>0</v>
      </c>
      <c r="O43" s="76">
        <f t="shared" si="9"/>
        <v>0</v>
      </c>
      <c r="Q43" s="77">
        <v>41</v>
      </c>
      <c r="R43" s="78">
        <f t="shared" si="10"/>
        <v>0</v>
      </c>
      <c r="S43" s="74"/>
    </row>
    <row r="44" spans="1:19">
      <c r="A44" s="58">
        <f>Main!A45</f>
        <v>0</v>
      </c>
      <c r="B44" s="29">
        <f>Main!B45</f>
        <v>0</v>
      </c>
      <c r="C44" s="74" t="str">
        <f t="shared" si="0"/>
        <v>-</v>
      </c>
      <c r="D44" s="74">
        <f t="shared" si="1"/>
        <v>0</v>
      </c>
      <c r="E44" s="75">
        <f t="shared" si="2"/>
        <v>0</v>
      </c>
      <c r="F44" s="75">
        <f t="shared" si="3"/>
        <v>0</v>
      </c>
      <c r="G44" s="76" t="str">
        <f t="shared" si="4"/>
        <v>-</v>
      </c>
      <c r="I44" s="77">
        <v>42</v>
      </c>
      <c r="J44" s="78">
        <f t="shared" si="5"/>
        <v>0</v>
      </c>
      <c r="K44" s="78">
        <f t="shared" si="6"/>
        <v>0</v>
      </c>
      <c r="M44" s="77">
        <f t="shared" si="7"/>
        <v>0</v>
      </c>
      <c r="N44" s="79">
        <f t="shared" si="8"/>
        <v>0</v>
      </c>
      <c r="O44" s="76">
        <f t="shared" si="9"/>
        <v>0</v>
      </c>
      <c r="Q44" s="77">
        <v>42</v>
      </c>
      <c r="R44" s="78">
        <f t="shared" si="10"/>
        <v>0</v>
      </c>
      <c r="S44" s="74"/>
    </row>
    <row r="45" spans="1:19">
      <c r="A45" s="58">
        <f>Main!A46</f>
        <v>0</v>
      </c>
      <c r="B45" s="29">
        <f>Main!B46</f>
        <v>0</v>
      </c>
      <c r="C45" s="74" t="str">
        <f t="shared" si="0"/>
        <v>-</v>
      </c>
      <c r="D45" s="74">
        <f t="shared" si="1"/>
        <v>0</v>
      </c>
      <c r="E45" s="75">
        <f t="shared" si="2"/>
        <v>0</v>
      </c>
      <c r="F45" s="75">
        <f t="shared" si="3"/>
        <v>0</v>
      </c>
      <c r="G45" s="76" t="str">
        <f t="shared" si="4"/>
        <v>-</v>
      </c>
      <c r="I45" s="77">
        <v>43</v>
      </c>
      <c r="J45" s="78">
        <f t="shared" si="5"/>
        <v>0</v>
      </c>
      <c r="K45" s="78">
        <f t="shared" si="6"/>
        <v>0</v>
      </c>
      <c r="M45" s="77">
        <f t="shared" si="7"/>
        <v>0</v>
      </c>
      <c r="N45" s="79">
        <f t="shared" si="8"/>
        <v>0</v>
      </c>
      <c r="O45" s="76">
        <f t="shared" si="9"/>
        <v>0</v>
      </c>
      <c r="Q45" s="77">
        <v>43</v>
      </c>
      <c r="R45" s="78">
        <f t="shared" si="10"/>
        <v>0</v>
      </c>
      <c r="S45" s="74"/>
    </row>
    <row r="46" spans="1:19">
      <c r="A46" s="58">
        <f>Main!A47</f>
        <v>0</v>
      </c>
      <c r="B46" s="29">
        <f>Main!B47</f>
        <v>0</v>
      </c>
      <c r="C46" s="74" t="str">
        <f t="shared" si="0"/>
        <v>-</v>
      </c>
      <c r="D46" s="74">
        <f t="shared" si="1"/>
        <v>0</v>
      </c>
      <c r="E46" s="75">
        <f t="shared" si="2"/>
        <v>0</v>
      </c>
      <c r="F46" s="75">
        <f t="shared" si="3"/>
        <v>0</v>
      </c>
      <c r="G46" s="76" t="str">
        <f t="shared" si="4"/>
        <v>-</v>
      </c>
      <c r="I46" s="77">
        <v>44</v>
      </c>
      <c r="J46" s="78">
        <f t="shared" si="5"/>
        <v>0</v>
      </c>
      <c r="K46" s="78">
        <f t="shared" si="6"/>
        <v>0</v>
      </c>
      <c r="M46" s="77">
        <f t="shared" si="7"/>
        <v>0</v>
      </c>
      <c r="N46" s="79">
        <f t="shared" si="8"/>
        <v>0</v>
      </c>
      <c r="O46" s="76">
        <f t="shared" si="9"/>
        <v>0</v>
      </c>
      <c r="Q46" s="77">
        <v>44</v>
      </c>
      <c r="R46" s="78">
        <f t="shared" si="10"/>
        <v>0</v>
      </c>
      <c r="S46" s="74"/>
    </row>
    <row r="47" spans="1:19">
      <c r="A47" s="58">
        <f>Main!A48</f>
        <v>0</v>
      </c>
      <c r="B47" s="29">
        <f>Main!B48</f>
        <v>0</v>
      </c>
      <c r="C47" s="74" t="str">
        <f t="shared" si="0"/>
        <v>-</v>
      </c>
      <c r="D47" s="74">
        <f t="shared" si="1"/>
        <v>0</v>
      </c>
      <c r="E47" s="75">
        <f t="shared" si="2"/>
        <v>0</v>
      </c>
      <c r="F47" s="75">
        <f t="shared" si="3"/>
        <v>0</v>
      </c>
      <c r="G47" s="76" t="str">
        <f t="shared" si="4"/>
        <v>-</v>
      </c>
      <c r="I47" s="77">
        <v>45</v>
      </c>
      <c r="J47" s="78">
        <f t="shared" si="5"/>
        <v>0</v>
      </c>
      <c r="K47" s="78">
        <f t="shared" si="6"/>
        <v>0</v>
      </c>
      <c r="M47" s="77">
        <f t="shared" si="7"/>
        <v>0</v>
      </c>
      <c r="N47" s="79">
        <f t="shared" si="8"/>
        <v>0</v>
      </c>
      <c r="O47" s="76">
        <f t="shared" si="9"/>
        <v>0</v>
      </c>
      <c r="Q47" s="77">
        <v>45</v>
      </c>
      <c r="R47" s="78">
        <f t="shared" si="10"/>
        <v>0</v>
      </c>
      <c r="S47" s="74"/>
    </row>
    <row r="48" spans="1:19">
      <c r="A48" s="58">
        <f>Main!A49</f>
        <v>0</v>
      </c>
      <c r="B48" s="29">
        <f>Main!B49</f>
        <v>0</v>
      </c>
      <c r="C48" s="74" t="str">
        <f t="shared" si="0"/>
        <v>-</v>
      </c>
      <c r="D48" s="74">
        <f t="shared" si="1"/>
        <v>0</v>
      </c>
      <c r="E48" s="75">
        <f t="shared" si="2"/>
        <v>0</v>
      </c>
      <c r="F48" s="75">
        <f t="shared" si="3"/>
        <v>0</v>
      </c>
      <c r="G48" s="76" t="str">
        <f t="shared" si="4"/>
        <v>-</v>
      </c>
      <c r="I48" s="77">
        <v>46</v>
      </c>
      <c r="J48" s="78">
        <f t="shared" si="5"/>
        <v>0</v>
      </c>
      <c r="K48" s="78">
        <f t="shared" si="6"/>
        <v>0</v>
      </c>
      <c r="M48" s="77">
        <f t="shared" si="7"/>
        <v>0</v>
      </c>
      <c r="N48" s="79">
        <f t="shared" si="8"/>
        <v>0</v>
      </c>
      <c r="O48" s="76">
        <f t="shared" si="9"/>
        <v>0</v>
      </c>
      <c r="Q48" s="77">
        <v>46</v>
      </c>
      <c r="R48" s="78">
        <f t="shared" si="10"/>
        <v>0</v>
      </c>
      <c r="S48" s="74"/>
    </row>
    <row r="49" spans="1:19">
      <c r="A49" s="58">
        <f>Main!A50</f>
        <v>0</v>
      </c>
      <c r="B49" s="29">
        <f>Main!B50</f>
        <v>0</v>
      </c>
      <c r="C49" s="74" t="str">
        <f t="shared" si="0"/>
        <v>-</v>
      </c>
      <c r="D49" s="74">
        <f t="shared" si="1"/>
        <v>0</v>
      </c>
      <c r="E49" s="75">
        <f t="shared" si="2"/>
        <v>0</v>
      </c>
      <c r="F49" s="75">
        <f t="shared" si="3"/>
        <v>0</v>
      </c>
      <c r="G49" s="76" t="str">
        <f t="shared" si="4"/>
        <v>-</v>
      </c>
      <c r="I49" s="77">
        <v>47</v>
      </c>
      <c r="J49" s="78">
        <f t="shared" si="5"/>
        <v>0</v>
      </c>
      <c r="K49" s="78">
        <f t="shared" si="6"/>
        <v>0</v>
      </c>
      <c r="M49" s="77">
        <f t="shared" si="7"/>
        <v>0</v>
      </c>
      <c r="N49" s="79">
        <f t="shared" si="8"/>
        <v>0</v>
      </c>
      <c r="O49" s="76">
        <f t="shared" si="9"/>
        <v>0</v>
      </c>
      <c r="Q49" s="77">
        <v>47</v>
      </c>
      <c r="R49" s="78">
        <f t="shared" si="10"/>
        <v>0</v>
      </c>
      <c r="S49" s="74"/>
    </row>
    <row r="50" spans="1:19">
      <c r="A50" s="58">
        <f>Main!A51</f>
        <v>0</v>
      </c>
      <c r="B50" s="29">
        <f>Main!B51</f>
        <v>0</v>
      </c>
      <c r="C50" s="74" t="str">
        <f t="shared" si="0"/>
        <v>-</v>
      </c>
      <c r="D50" s="74">
        <f t="shared" si="1"/>
        <v>0</v>
      </c>
      <c r="E50" s="75">
        <f t="shared" si="2"/>
        <v>0</v>
      </c>
      <c r="F50" s="75">
        <f t="shared" si="3"/>
        <v>0</v>
      </c>
      <c r="G50" s="76" t="str">
        <f t="shared" si="4"/>
        <v>-</v>
      </c>
      <c r="I50" s="77">
        <v>48</v>
      </c>
      <c r="J50" s="78">
        <f t="shared" si="5"/>
        <v>0</v>
      </c>
      <c r="K50" s="78">
        <f t="shared" si="6"/>
        <v>0</v>
      </c>
      <c r="M50" s="77">
        <f t="shared" si="7"/>
        <v>0</v>
      </c>
      <c r="N50" s="79">
        <f t="shared" si="8"/>
        <v>0</v>
      </c>
      <c r="O50" s="76">
        <f t="shared" si="9"/>
        <v>0</v>
      </c>
      <c r="Q50" s="77">
        <v>48</v>
      </c>
      <c r="R50" s="78">
        <f t="shared" si="10"/>
        <v>0</v>
      </c>
      <c r="S50" s="74"/>
    </row>
    <row r="51" spans="1:19">
      <c r="A51" s="58">
        <f>Main!A52</f>
        <v>0</v>
      </c>
      <c r="B51" s="29">
        <f>Main!B52</f>
        <v>0</v>
      </c>
      <c r="C51" s="74" t="str">
        <f t="shared" si="0"/>
        <v>-</v>
      </c>
      <c r="D51" s="74">
        <f t="shared" si="1"/>
        <v>0</v>
      </c>
      <c r="E51" s="75">
        <f t="shared" si="2"/>
        <v>0</v>
      </c>
      <c r="F51" s="75">
        <f t="shared" si="3"/>
        <v>0</v>
      </c>
      <c r="G51" s="76" t="str">
        <f t="shared" si="4"/>
        <v>-</v>
      </c>
      <c r="I51" s="77">
        <v>49</v>
      </c>
      <c r="J51" s="78">
        <f t="shared" si="5"/>
        <v>0</v>
      </c>
      <c r="K51" s="78">
        <f t="shared" si="6"/>
        <v>0</v>
      </c>
      <c r="M51" s="77">
        <f t="shared" si="7"/>
        <v>0</v>
      </c>
      <c r="N51" s="79">
        <f t="shared" si="8"/>
        <v>0</v>
      </c>
      <c r="O51" s="76">
        <f t="shared" si="9"/>
        <v>0</v>
      </c>
      <c r="Q51" s="77">
        <v>49</v>
      </c>
      <c r="R51" s="78">
        <f t="shared" si="10"/>
        <v>0</v>
      </c>
      <c r="S51" s="74"/>
    </row>
    <row r="52" spans="1:19">
      <c r="A52" s="58">
        <f>Main!A53</f>
        <v>0</v>
      </c>
      <c r="B52" s="29">
        <f>Main!B53</f>
        <v>0</v>
      </c>
      <c r="C52" s="74" t="str">
        <f t="shared" si="0"/>
        <v>-</v>
      </c>
      <c r="D52" s="74">
        <f t="shared" si="1"/>
        <v>0</v>
      </c>
      <c r="E52" s="75">
        <f t="shared" si="2"/>
        <v>0</v>
      </c>
      <c r="F52" s="75">
        <f t="shared" si="3"/>
        <v>0</v>
      </c>
      <c r="G52" s="76" t="str">
        <f t="shared" si="4"/>
        <v>-</v>
      </c>
      <c r="I52" s="77">
        <v>50</v>
      </c>
      <c r="J52" s="78">
        <f t="shared" si="5"/>
        <v>0</v>
      </c>
      <c r="K52" s="78">
        <f t="shared" si="6"/>
        <v>0</v>
      </c>
      <c r="M52" s="77">
        <f t="shared" si="7"/>
        <v>0</v>
      </c>
      <c r="N52" s="79">
        <f t="shared" si="8"/>
        <v>0</v>
      </c>
      <c r="O52" s="76">
        <f t="shared" si="9"/>
        <v>0</v>
      </c>
      <c r="Q52" s="77">
        <v>50</v>
      </c>
      <c r="R52" s="78">
        <f t="shared" si="10"/>
        <v>0</v>
      </c>
      <c r="S52" s="74"/>
    </row>
    <row r="53" spans="1:19">
      <c r="A53" s="58">
        <f>Main!A54</f>
        <v>0</v>
      </c>
      <c r="B53" s="29">
        <f>Main!B54</f>
        <v>0</v>
      </c>
      <c r="C53" s="74" t="str">
        <f t="shared" si="0"/>
        <v>-</v>
      </c>
      <c r="D53" s="74">
        <f t="shared" si="1"/>
        <v>0</v>
      </c>
      <c r="E53" s="75">
        <f t="shared" si="2"/>
        <v>0</v>
      </c>
      <c r="F53" s="75">
        <f t="shared" si="3"/>
        <v>0</v>
      </c>
      <c r="G53" s="76" t="str">
        <f t="shared" si="4"/>
        <v>-</v>
      </c>
      <c r="I53" s="77">
        <v>51</v>
      </c>
      <c r="J53" s="78">
        <f t="shared" si="5"/>
        <v>0</v>
      </c>
      <c r="K53" s="78">
        <f t="shared" si="6"/>
        <v>0</v>
      </c>
      <c r="M53" s="77">
        <f t="shared" si="7"/>
        <v>0</v>
      </c>
      <c r="N53" s="79">
        <f t="shared" si="8"/>
        <v>0</v>
      </c>
      <c r="O53" s="76">
        <f t="shared" si="9"/>
        <v>0</v>
      </c>
      <c r="Q53" s="77">
        <v>51</v>
      </c>
      <c r="R53" s="78">
        <f t="shared" si="10"/>
        <v>0</v>
      </c>
      <c r="S53" s="74"/>
    </row>
    <row r="54" spans="1:19">
      <c r="A54" s="58">
        <f>Main!A55</f>
        <v>0</v>
      </c>
      <c r="B54" s="29">
        <f>Main!B55</f>
        <v>0</v>
      </c>
      <c r="C54" s="74" t="str">
        <f t="shared" si="0"/>
        <v>-</v>
      </c>
      <c r="D54" s="74">
        <f t="shared" si="1"/>
        <v>0</v>
      </c>
      <c r="E54" s="75">
        <f t="shared" si="2"/>
        <v>0</v>
      </c>
      <c r="F54" s="75">
        <f t="shared" si="3"/>
        <v>0</v>
      </c>
      <c r="G54" s="76" t="str">
        <f t="shared" si="4"/>
        <v>-</v>
      </c>
      <c r="I54" s="77">
        <v>52</v>
      </c>
      <c r="J54" s="78">
        <f t="shared" si="5"/>
        <v>0</v>
      </c>
      <c r="K54" s="78">
        <f t="shared" si="6"/>
        <v>0</v>
      </c>
      <c r="M54" s="77">
        <f t="shared" si="7"/>
        <v>0</v>
      </c>
      <c r="N54" s="79">
        <f t="shared" si="8"/>
        <v>0</v>
      </c>
      <c r="O54" s="76">
        <f t="shared" si="9"/>
        <v>0</v>
      </c>
      <c r="Q54" s="77">
        <v>52</v>
      </c>
      <c r="R54" s="78">
        <f t="shared" si="10"/>
        <v>0</v>
      </c>
      <c r="S54" s="74"/>
    </row>
    <row r="55" spans="1:19">
      <c r="A55" s="58">
        <f>Main!A56</f>
        <v>0</v>
      </c>
      <c r="B55" s="29">
        <f>Main!B56</f>
        <v>0</v>
      </c>
      <c r="C55" s="74" t="str">
        <f t="shared" si="0"/>
        <v>-</v>
      </c>
      <c r="D55" s="74">
        <f t="shared" si="1"/>
        <v>0</v>
      </c>
      <c r="E55" s="75">
        <f t="shared" si="2"/>
        <v>0</v>
      </c>
      <c r="F55" s="75">
        <f t="shared" si="3"/>
        <v>0</v>
      </c>
      <c r="G55" s="76" t="str">
        <f t="shared" si="4"/>
        <v>-</v>
      </c>
      <c r="I55" s="77">
        <v>53</v>
      </c>
      <c r="J55" s="78">
        <f t="shared" si="5"/>
        <v>0</v>
      </c>
      <c r="K55" s="78">
        <f t="shared" si="6"/>
        <v>0</v>
      </c>
      <c r="M55" s="77">
        <f t="shared" si="7"/>
        <v>0</v>
      </c>
      <c r="N55" s="79">
        <f t="shared" si="8"/>
        <v>0</v>
      </c>
      <c r="O55" s="76">
        <f t="shared" si="9"/>
        <v>0</v>
      </c>
      <c r="Q55" s="77">
        <v>53</v>
      </c>
      <c r="R55" s="78">
        <f t="shared" si="10"/>
        <v>0</v>
      </c>
      <c r="S55" s="74"/>
    </row>
    <row r="56" spans="1:19">
      <c r="A56" s="58">
        <f>Main!A57</f>
        <v>0</v>
      </c>
      <c r="B56" s="29">
        <f>Main!B57</f>
        <v>0</v>
      </c>
      <c r="C56" s="74" t="str">
        <f t="shared" si="0"/>
        <v>-</v>
      </c>
      <c r="D56" s="74">
        <f t="shared" si="1"/>
        <v>0</v>
      </c>
      <c r="E56" s="75">
        <f t="shared" si="2"/>
        <v>0</v>
      </c>
      <c r="F56" s="75">
        <f t="shared" si="3"/>
        <v>0</v>
      </c>
      <c r="G56" s="76" t="str">
        <f t="shared" si="4"/>
        <v>-</v>
      </c>
      <c r="I56" s="77">
        <v>54</v>
      </c>
      <c r="J56" s="78">
        <f t="shared" si="5"/>
        <v>0</v>
      </c>
      <c r="K56" s="78">
        <f t="shared" si="6"/>
        <v>0</v>
      </c>
      <c r="M56" s="77">
        <f t="shared" si="7"/>
        <v>0</v>
      </c>
      <c r="N56" s="79">
        <f t="shared" si="8"/>
        <v>0</v>
      </c>
      <c r="O56" s="76">
        <f t="shared" si="9"/>
        <v>0</v>
      </c>
      <c r="Q56" s="77">
        <v>54</v>
      </c>
      <c r="R56" s="78">
        <f t="shared" si="10"/>
        <v>0</v>
      </c>
      <c r="S56" s="74"/>
    </row>
    <row r="57" spans="1:19">
      <c r="A57" s="58">
        <f>Main!A58</f>
        <v>0</v>
      </c>
      <c r="B57" s="29">
        <f>Main!B58</f>
        <v>0</v>
      </c>
      <c r="C57" s="74" t="str">
        <f t="shared" si="0"/>
        <v>-</v>
      </c>
      <c r="D57" s="74">
        <f t="shared" si="1"/>
        <v>0</v>
      </c>
      <c r="E57" s="75">
        <f t="shared" si="2"/>
        <v>0</v>
      </c>
      <c r="F57" s="75">
        <f t="shared" si="3"/>
        <v>0</v>
      </c>
      <c r="G57" s="76" t="str">
        <f t="shared" si="4"/>
        <v>-</v>
      </c>
      <c r="I57" s="77">
        <v>55</v>
      </c>
      <c r="J57" s="78">
        <f t="shared" si="5"/>
        <v>0</v>
      </c>
      <c r="K57" s="78">
        <f t="shared" si="6"/>
        <v>0</v>
      </c>
      <c r="M57" s="77">
        <f t="shared" si="7"/>
        <v>0</v>
      </c>
      <c r="N57" s="79">
        <f t="shared" si="8"/>
        <v>0</v>
      </c>
      <c r="O57" s="76">
        <f t="shared" si="9"/>
        <v>0</v>
      </c>
      <c r="Q57" s="77">
        <v>55</v>
      </c>
      <c r="R57" s="78">
        <f t="shared" si="10"/>
        <v>0</v>
      </c>
      <c r="S57" s="74"/>
    </row>
    <row r="58" spans="1:19">
      <c r="A58" s="58">
        <f>Main!A59</f>
        <v>0</v>
      </c>
      <c r="B58" s="29">
        <f>Main!B59</f>
        <v>0</v>
      </c>
      <c r="C58" s="74" t="str">
        <f t="shared" si="0"/>
        <v>-</v>
      </c>
      <c r="D58" s="74">
        <f t="shared" si="1"/>
        <v>0</v>
      </c>
      <c r="E58" s="75">
        <f t="shared" si="2"/>
        <v>0</v>
      </c>
      <c r="F58" s="75">
        <f t="shared" si="3"/>
        <v>0</v>
      </c>
      <c r="G58" s="76" t="str">
        <f t="shared" si="4"/>
        <v>-</v>
      </c>
      <c r="I58" s="77">
        <v>56</v>
      </c>
      <c r="J58" s="78">
        <f t="shared" si="5"/>
        <v>0</v>
      </c>
      <c r="K58" s="78">
        <f t="shared" si="6"/>
        <v>0</v>
      </c>
      <c r="M58" s="77">
        <f t="shared" si="7"/>
        <v>0</v>
      </c>
      <c r="N58" s="79">
        <f t="shared" si="8"/>
        <v>0</v>
      </c>
      <c r="O58" s="76">
        <f t="shared" si="9"/>
        <v>0</v>
      </c>
      <c r="Q58" s="77">
        <v>56</v>
      </c>
      <c r="R58" s="78">
        <f t="shared" si="10"/>
        <v>0</v>
      </c>
      <c r="S58" s="74"/>
    </row>
    <row r="59" spans="1:19">
      <c r="A59" s="58">
        <f>Main!A60</f>
        <v>0</v>
      </c>
      <c r="B59" s="29">
        <f>Main!B60</f>
        <v>0</v>
      </c>
      <c r="C59" s="74" t="str">
        <f t="shared" si="0"/>
        <v>-</v>
      </c>
      <c r="D59" s="74">
        <f t="shared" si="1"/>
        <v>0</v>
      </c>
      <c r="E59" s="75">
        <f t="shared" si="2"/>
        <v>0</v>
      </c>
      <c r="F59" s="75">
        <f t="shared" si="3"/>
        <v>0</v>
      </c>
      <c r="G59" s="76" t="str">
        <f t="shared" si="4"/>
        <v>-</v>
      </c>
      <c r="I59" s="77">
        <v>57</v>
      </c>
      <c r="J59" s="78">
        <f t="shared" si="5"/>
        <v>0</v>
      </c>
      <c r="K59" s="78">
        <f t="shared" si="6"/>
        <v>0</v>
      </c>
      <c r="M59" s="77">
        <f t="shared" si="7"/>
        <v>0</v>
      </c>
      <c r="N59" s="79">
        <f t="shared" si="8"/>
        <v>0</v>
      </c>
      <c r="O59" s="76">
        <f t="shared" si="9"/>
        <v>0</v>
      </c>
      <c r="Q59" s="77">
        <v>57</v>
      </c>
      <c r="R59" s="78">
        <f t="shared" si="10"/>
        <v>0</v>
      </c>
      <c r="S59" s="74"/>
    </row>
    <row r="60" spans="1:19">
      <c r="A60" s="58">
        <f>Main!A61</f>
        <v>0</v>
      </c>
      <c r="B60" s="29">
        <f>Main!B61</f>
        <v>0</v>
      </c>
      <c r="C60" s="74" t="str">
        <f t="shared" si="0"/>
        <v>-</v>
      </c>
      <c r="D60" s="74">
        <f t="shared" si="1"/>
        <v>0</v>
      </c>
      <c r="E60" s="75">
        <f t="shared" si="2"/>
        <v>0</v>
      </c>
      <c r="F60" s="75">
        <f t="shared" si="3"/>
        <v>0</v>
      </c>
      <c r="G60" s="76" t="str">
        <f t="shared" si="4"/>
        <v>-</v>
      </c>
      <c r="I60" s="77">
        <v>58</v>
      </c>
      <c r="J60" s="78">
        <f t="shared" si="5"/>
        <v>0</v>
      </c>
      <c r="K60" s="78">
        <f t="shared" si="6"/>
        <v>0</v>
      </c>
      <c r="M60" s="77">
        <f t="shared" si="7"/>
        <v>0</v>
      </c>
      <c r="N60" s="79">
        <f t="shared" si="8"/>
        <v>0</v>
      </c>
      <c r="O60" s="76">
        <f t="shared" si="9"/>
        <v>0</v>
      </c>
      <c r="Q60" s="77">
        <v>58</v>
      </c>
      <c r="R60" s="78">
        <f t="shared" si="10"/>
        <v>0</v>
      </c>
      <c r="S60" s="74"/>
    </row>
    <row r="61" spans="1:19">
      <c r="A61" s="58">
        <f>Main!A62</f>
        <v>0</v>
      </c>
      <c r="B61" s="29">
        <f>Main!B62</f>
        <v>0</v>
      </c>
      <c r="C61" s="74" t="str">
        <f t="shared" si="0"/>
        <v>-</v>
      </c>
      <c r="D61" s="74">
        <f t="shared" si="1"/>
        <v>0</v>
      </c>
      <c r="E61" s="75">
        <f t="shared" si="2"/>
        <v>0</v>
      </c>
      <c r="F61" s="75">
        <f t="shared" si="3"/>
        <v>0</v>
      </c>
      <c r="G61" s="76" t="str">
        <f t="shared" si="4"/>
        <v>-</v>
      </c>
      <c r="I61" s="77">
        <v>59</v>
      </c>
      <c r="J61" s="78">
        <f t="shared" si="5"/>
        <v>0</v>
      </c>
      <c r="K61" s="78">
        <f t="shared" si="6"/>
        <v>0</v>
      </c>
      <c r="M61" s="77">
        <f t="shared" si="7"/>
        <v>0</v>
      </c>
      <c r="N61" s="79">
        <f t="shared" si="8"/>
        <v>0</v>
      </c>
      <c r="O61" s="76">
        <f t="shared" si="9"/>
        <v>0</v>
      </c>
      <c r="Q61" s="77">
        <v>59</v>
      </c>
      <c r="R61" s="78">
        <f t="shared" si="10"/>
        <v>0</v>
      </c>
      <c r="S61" s="74"/>
    </row>
    <row r="62" spans="1:19">
      <c r="A62" s="58">
        <f>Main!A63</f>
        <v>0</v>
      </c>
      <c r="B62" s="29">
        <f>Main!B63</f>
        <v>0</v>
      </c>
      <c r="C62" s="74" t="str">
        <f t="shared" si="0"/>
        <v>-</v>
      </c>
      <c r="D62" s="74">
        <f t="shared" si="1"/>
        <v>0</v>
      </c>
      <c r="E62" s="75">
        <f t="shared" si="2"/>
        <v>0</v>
      </c>
      <c r="F62" s="75">
        <f t="shared" si="3"/>
        <v>0</v>
      </c>
      <c r="G62" s="76" t="str">
        <f t="shared" si="4"/>
        <v>-</v>
      </c>
      <c r="I62" s="77">
        <v>60</v>
      </c>
      <c r="J62" s="78">
        <f t="shared" si="5"/>
        <v>0</v>
      </c>
      <c r="K62" s="78">
        <f t="shared" si="6"/>
        <v>0</v>
      </c>
      <c r="M62" s="77">
        <f t="shared" si="7"/>
        <v>0</v>
      </c>
      <c r="N62" s="79">
        <f t="shared" si="8"/>
        <v>0</v>
      </c>
      <c r="O62" s="76">
        <f t="shared" si="9"/>
        <v>0</v>
      </c>
      <c r="Q62" s="77">
        <v>60</v>
      </c>
      <c r="R62" s="78">
        <f t="shared" si="10"/>
        <v>0</v>
      </c>
      <c r="S62" s="74"/>
    </row>
    <row r="63" spans="1:19">
      <c r="A63" s="58">
        <f>Main!A64</f>
        <v>0</v>
      </c>
      <c r="B63" s="29">
        <f>Main!B64</f>
        <v>0</v>
      </c>
      <c r="C63" s="74" t="str">
        <f t="shared" si="0"/>
        <v>-</v>
      </c>
      <c r="D63" s="74">
        <f t="shared" si="1"/>
        <v>0</v>
      </c>
      <c r="E63" s="75">
        <f t="shared" si="2"/>
        <v>0</v>
      </c>
      <c r="F63" s="75">
        <f t="shared" si="3"/>
        <v>0</v>
      </c>
      <c r="G63" s="76" t="str">
        <f t="shared" si="4"/>
        <v>-</v>
      </c>
      <c r="I63" s="77">
        <v>61</v>
      </c>
      <c r="J63" s="78">
        <f t="shared" si="5"/>
        <v>0</v>
      </c>
      <c r="K63" s="78">
        <f t="shared" si="6"/>
        <v>0</v>
      </c>
      <c r="M63" s="77">
        <f t="shared" si="7"/>
        <v>0</v>
      </c>
      <c r="N63" s="79">
        <f t="shared" si="8"/>
        <v>0</v>
      </c>
      <c r="O63" s="76">
        <f t="shared" si="9"/>
        <v>0</v>
      </c>
      <c r="Q63" s="77">
        <v>61</v>
      </c>
      <c r="R63" s="78">
        <f t="shared" si="10"/>
        <v>0</v>
      </c>
      <c r="S63" s="74"/>
    </row>
    <row r="64" spans="1:19">
      <c r="A64" s="58">
        <f>Main!A65</f>
        <v>0</v>
      </c>
      <c r="B64" s="29">
        <f>Main!B65</f>
        <v>0</v>
      </c>
      <c r="C64" s="74" t="str">
        <f t="shared" si="0"/>
        <v>-</v>
      </c>
      <c r="D64" s="74">
        <f t="shared" si="1"/>
        <v>0</v>
      </c>
      <c r="E64" s="75">
        <f t="shared" si="2"/>
        <v>0</v>
      </c>
      <c r="F64" s="75">
        <f t="shared" si="3"/>
        <v>0</v>
      </c>
      <c r="G64" s="76" t="str">
        <f t="shared" si="4"/>
        <v>-</v>
      </c>
      <c r="I64" s="77">
        <v>62</v>
      </c>
      <c r="J64" s="78">
        <f t="shared" si="5"/>
        <v>0</v>
      </c>
      <c r="K64" s="78">
        <f t="shared" si="6"/>
        <v>0</v>
      </c>
      <c r="M64" s="77">
        <f t="shared" si="7"/>
        <v>0</v>
      </c>
      <c r="N64" s="79">
        <f t="shared" si="8"/>
        <v>0</v>
      </c>
      <c r="O64" s="76">
        <f t="shared" si="9"/>
        <v>0</v>
      </c>
      <c r="Q64" s="77">
        <v>62</v>
      </c>
      <c r="R64" s="78">
        <f t="shared" si="10"/>
        <v>0</v>
      </c>
      <c r="S64" s="74"/>
    </row>
    <row r="65" spans="1:19">
      <c r="A65" s="58">
        <f>Main!A66</f>
        <v>0</v>
      </c>
      <c r="B65" s="29">
        <f>Main!B66</f>
        <v>0</v>
      </c>
      <c r="C65" s="74" t="str">
        <f t="shared" si="0"/>
        <v>-</v>
      </c>
      <c r="D65" s="74">
        <f t="shared" si="1"/>
        <v>0</v>
      </c>
      <c r="E65" s="75">
        <f t="shared" si="2"/>
        <v>0</v>
      </c>
      <c r="F65" s="75">
        <f t="shared" si="3"/>
        <v>0</v>
      </c>
      <c r="G65" s="76" t="str">
        <f t="shared" si="4"/>
        <v>-</v>
      </c>
      <c r="I65" s="77">
        <v>63</v>
      </c>
      <c r="J65" s="78">
        <f t="shared" si="5"/>
        <v>0</v>
      </c>
      <c r="K65" s="78">
        <f t="shared" si="6"/>
        <v>0</v>
      </c>
      <c r="M65" s="77">
        <f t="shared" si="7"/>
        <v>0</v>
      </c>
      <c r="N65" s="79">
        <f t="shared" si="8"/>
        <v>0</v>
      </c>
      <c r="O65" s="76">
        <f t="shared" si="9"/>
        <v>0</v>
      </c>
      <c r="Q65" s="77">
        <v>63</v>
      </c>
      <c r="R65" s="78">
        <f t="shared" si="10"/>
        <v>0</v>
      </c>
      <c r="S65" s="74"/>
    </row>
    <row r="66" spans="1:19">
      <c r="A66" s="58">
        <f>Main!A67</f>
        <v>0</v>
      </c>
      <c r="B66" s="29">
        <f>Main!B67</f>
        <v>0</v>
      </c>
      <c r="C66" s="74" t="str">
        <f t="shared" si="0"/>
        <v>-</v>
      </c>
      <c r="D66" s="74">
        <f t="shared" si="1"/>
        <v>0</v>
      </c>
      <c r="E66" s="75">
        <f t="shared" si="2"/>
        <v>0</v>
      </c>
      <c r="F66" s="75">
        <f t="shared" si="3"/>
        <v>0</v>
      </c>
      <c r="G66" s="76" t="str">
        <f t="shared" si="4"/>
        <v>-</v>
      </c>
      <c r="I66" s="77">
        <v>64</v>
      </c>
      <c r="J66" s="78">
        <f t="shared" si="5"/>
        <v>0</v>
      </c>
      <c r="K66" s="78">
        <f t="shared" si="6"/>
        <v>0</v>
      </c>
      <c r="M66" s="77">
        <f t="shared" si="7"/>
        <v>0</v>
      </c>
      <c r="N66" s="79">
        <f t="shared" si="8"/>
        <v>0</v>
      </c>
      <c r="O66" s="76">
        <f t="shared" si="9"/>
        <v>0</v>
      </c>
      <c r="Q66" s="77">
        <v>64</v>
      </c>
      <c r="R66" s="78">
        <f t="shared" si="10"/>
        <v>0</v>
      </c>
      <c r="S66" s="74"/>
    </row>
    <row r="67" spans="1:19">
      <c r="A67" s="58">
        <f>Main!A68</f>
        <v>0</v>
      </c>
      <c r="B67" s="29">
        <f>Main!B68</f>
        <v>0</v>
      </c>
      <c r="C67" s="74" t="str">
        <f t="shared" si="0"/>
        <v>-</v>
      </c>
      <c r="D67" s="74">
        <f t="shared" si="1"/>
        <v>0</v>
      </c>
      <c r="E67" s="75">
        <f t="shared" si="2"/>
        <v>0</v>
      </c>
      <c r="F67" s="75">
        <f t="shared" si="3"/>
        <v>0</v>
      </c>
      <c r="G67" s="76" t="str">
        <f t="shared" si="4"/>
        <v>-</v>
      </c>
      <c r="I67" s="77">
        <v>65</v>
      </c>
      <c r="J67" s="78">
        <f t="shared" si="5"/>
        <v>0</v>
      </c>
      <c r="K67" s="78">
        <f t="shared" si="6"/>
        <v>0</v>
      </c>
      <c r="M67" s="77">
        <f t="shared" si="7"/>
        <v>0</v>
      </c>
      <c r="N67" s="79">
        <f t="shared" si="8"/>
        <v>0</v>
      </c>
      <c r="O67" s="76">
        <f t="shared" si="9"/>
        <v>0</v>
      </c>
      <c r="Q67" s="77">
        <v>65</v>
      </c>
      <c r="R67" s="78">
        <f t="shared" si="10"/>
        <v>0</v>
      </c>
      <c r="S67" s="74"/>
    </row>
    <row r="68" spans="1:19">
      <c r="A68" s="58">
        <f>Main!A69</f>
        <v>0</v>
      </c>
      <c r="B68" s="29">
        <f>Main!B69</f>
        <v>0</v>
      </c>
      <c r="C68" s="74" t="str">
        <f t="shared" ref="C68:C69" si="11">IF(B68=0,"-",0)</f>
        <v>-</v>
      </c>
      <c r="D68" s="74">
        <f t="shared" ref="D68:D69" si="12">IF(B68=0,IF(A68=0,0,A68),IF(A68=0,A67,A68))</f>
        <v>0</v>
      </c>
      <c r="E68" s="75">
        <f t="shared" ref="E68:E69" si="13">IF(B68=0,0,D68+0.000000001*ROW()+0.0000001*B68)</f>
        <v>0</v>
      </c>
      <c r="F68" s="75">
        <f t="shared" ref="F68:F69" si="14">B68</f>
        <v>0</v>
      </c>
      <c r="G68" s="76" t="str">
        <f t="shared" ref="G68:G69" si="15">IF(C68="-","-",RANK(E68,$E$3:$E$100))</f>
        <v>-</v>
      </c>
      <c r="I68" s="77">
        <v>66</v>
      </c>
      <c r="J68" s="78">
        <f t="shared" ref="J68:J69" si="16">IF(I68&gt;MAX($G$3:$G$100),0,INDEX($D$3:$D$100, MATCH(I68,$G$3:$G$100,0)))</f>
        <v>0</v>
      </c>
      <c r="K68" s="78">
        <f t="shared" ref="K68:K69" si="17">IF(I68&gt;MAX($G$3:$G$100),0,INDEX($F$3:$F$100, MATCH(I68,$G$3:$G$100,0)))</f>
        <v>0</v>
      </c>
      <c r="M68" s="77">
        <f t="shared" ref="M68:M69" si="18">IF(B68=0,IF(A68=0,0,A68),IF(A68=0,0,A68))</f>
        <v>0</v>
      </c>
      <c r="N68" s="79">
        <f t="shared" ref="N68:N69" si="19">IF(M68=0,0,VALUE(M68)+0.0000000001*ROW())</f>
        <v>0</v>
      </c>
      <c r="O68" s="76">
        <f t="shared" ref="O68:O69" si="20">IF(N68=0,0,RANK(N68,$N$3:$N$100))</f>
        <v>0</v>
      </c>
      <c r="Q68" s="77">
        <v>66</v>
      </c>
      <c r="R68" s="78">
        <f t="shared" ref="R68:R69" si="21">IF(Q68&gt;MAX($O$3:$O$100),0,INDEX($N$3:$N$100, MATCH(Q68,$O$3:$O$100,0)))</f>
        <v>0</v>
      </c>
      <c r="S68" s="74"/>
    </row>
    <row r="69" spans="1:19">
      <c r="A69" s="58">
        <f>Main!A70</f>
        <v>0</v>
      </c>
      <c r="B69" s="29">
        <f>Main!B70</f>
        <v>0</v>
      </c>
      <c r="C69" s="74" t="str">
        <f t="shared" si="11"/>
        <v>-</v>
      </c>
      <c r="D69" s="74">
        <f t="shared" si="12"/>
        <v>0</v>
      </c>
      <c r="E69" s="75">
        <f t="shared" si="13"/>
        <v>0</v>
      </c>
      <c r="F69" s="75">
        <f t="shared" si="14"/>
        <v>0</v>
      </c>
      <c r="G69" s="76" t="str">
        <f t="shared" si="15"/>
        <v>-</v>
      </c>
      <c r="I69" s="77">
        <v>67</v>
      </c>
      <c r="J69" s="78">
        <f t="shared" si="16"/>
        <v>0</v>
      </c>
      <c r="K69" s="78">
        <f t="shared" si="17"/>
        <v>0</v>
      </c>
      <c r="M69" s="77">
        <f t="shared" si="18"/>
        <v>0</v>
      </c>
      <c r="N69" s="79">
        <f t="shared" si="19"/>
        <v>0</v>
      </c>
      <c r="O69" s="76">
        <f t="shared" si="20"/>
        <v>0</v>
      </c>
      <c r="Q69" s="77">
        <v>67</v>
      </c>
      <c r="R69" s="78">
        <f t="shared" si="21"/>
        <v>0</v>
      </c>
      <c r="S69" s="74"/>
    </row>
    <row r="70" spans="1:19">
      <c r="A70" s="58"/>
      <c r="C70" s="74"/>
      <c r="D70" s="74"/>
      <c r="E70" s="75"/>
      <c r="F70" s="75"/>
      <c r="G70" s="76"/>
      <c r="I70" s="77"/>
      <c r="J70" s="78"/>
      <c r="K70" s="78"/>
      <c r="M70" s="77"/>
      <c r="N70" s="79"/>
      <c r="O70" s="76"/>
      <c r="Q70" s="77"/>
      <c r="R70" s="78"/>
      <c r="S70" s="74"/>
    </row>
    <row r="71" spans="1:19">
      <c r="A71" s="58"/>
      <c r="C71" s="74"/>
      <c r="D71" s="74"/>
      <c r="E71" s="75"/>
      <c r="F71" s="75"/>
      <c r="G71" s="76"/>
      <c r="I71" s="77"/>
      <c r="J71" s="78"/>
      <c r="K71" s="78"/>
      <c r="M71" s="77"/>
      <c r="N71" s="79"/>
      <c r="O71" s="76"/>
      <c r="Q71" s="77"/>
      <c r="R71" s="78"/>
      <c r="S71" s="74"/>
    </row>
    <row r="72" spans="1:19">
      <c r="A72" s="58"/>
      <c r="C72" s="74"/>
      <c r="D72" s="74"/>
      <c r="E72" s="75"/>
      <c r="F72" s="75"/>
      <c r="G72" s="76"/>
      <c r="I72" s="77"/>
      <c r="J72" s="78"/>
      <c r="K72" s="78"/>
      <c r="M72" s="77"/>
      <c r="N72" s="79"/>
      <c r="O72" s="76"/>
      <c r="Q72" s="77"/>
      <c r="R72" s="78"/>
      <c r="S72" s="74"/>
    </row>
    <row r="73" spans="1:19">
      <c r="A73" s="58"/>
      <c r="C73" s="74"/>
      <c r="D73" s="74"/>
      <c r="E73" s="75"/>
      <c r="F73" s="75"/>
      <c r="G73" s="76"/>
      <c r="I73" s="77"/>
      <c r="J73" s="78"/>
      <c r="K73" s="78"/>
      <c r="M73" s="77"/>
      <c r="N73" s="79"/>
      <c r="O73" s="76"/>
      <c r="Q73" s="77"/>
      <c r="R73" s="78"/>
      <c r="S73" s="74"/>
    </row>
    <row r="74" spans="1:19">
      <c r="A74" s="58"/>
      <c r="C74" s="74"/>
      <c r="D74" s="74"/>
      <c r="E74" s="75"/>
      <c r="F74" s="75"/>
      <c r="G74" s="76"/>
      <c r="I74" s="77"/>
      <c r="J74" s="78"/>
      <c r="K74" s="78"/>
      <c r="M74" s="77"/>
      <c r="N74" s="79"/>
      <c r="O74" s="76"/>
      <c r="Q74" s="77"/>
      <c r="R74" s="78"/>
      <c r="S74" s="74"/>
    </row>
    <row r="75" spans="1:19">
      <c r="A75" s="58"/>
      <c r="C75" s="74"/>
      <c r="D75" s="74"/>
      <c r="E75" s="75"/>
      <c r="F75" s="75"/>
      <c r="G75" s="76"/>
      <c r="I75" s="77"/>
      <c r="J75" s="78"/>
      <c r="K75" s="78"/>
      <c r="M75" s="77"/>
      <c r="N75" s="79"/>
      <c r="O75" s="76"/>
      <c r="Q75" s="77"/>
      <c r="R75" s="78"/>
      <c r="S75" s="74"/>
    </row>
    <row r="76" spans="1:19">
      <c r="A76" s="58"/>
      <c r="C76" s="74"/>
      <c r="D76" s="74"/>
      <c r="E76" s="75"/>
      <c r="F76" s="75"/>
      <c r="G76" s="76"/>
      <c r="I76" s="77"/>
      <c r="J76" s="78"/>
      <c r="K76" s="78"/>
      <c r="M76" s="77"/>
      <c r="N76" s="79"/>
      <c r="O76" s="76"/>
      <c r="Q76" s="77"/>
      <c r="R76" s="78"/>
      <c r="S76" s="74"/>
    </row>
    <row r="77" spans="1:19">
      <c r="A77" s="58"/>
      <c r="C77" s="74"/>
      <c r="D77" s="74"/>
      <c r="E77" s="75"/>
      <c r="F77" s="75"/>
      <c r="G77" s="76"/>
      <c r="I77" s="77"/>
      <c r="J77" s="78"/>
      <c r="K77" s="78"/>
      <c r="M77" s="77"/>
      <c r="N77" s="79"/>
      <c r="O77" s="76"/>
      <c r="Q77" s="77"/>
      <c r="R77" s="78"/>
      <c r="S77" s="74"/>
    </row>
    <row r="78" spans="1:19">
      <c r="A78" s="58"/>
      <c r="C78" s="74"/>
      <c r="D78" s="74"/>
      <c r="E78" s="75"/>
      <c r="F78" s="75"/>
      <c r="G78" s="76"/>
      <c r="I78" s="77"/>
      <c r="J78" s="78"/>
      <c r="K78" s="78"/>
      <c r="M78" s="77"/>
      <c r="N78" s="79"/>
      <c r="O78" s="76"/>
      <c r="Q78" s="77"/>
      <c r="R78" s="78"/>
      <c r="S78" s="74"/>
    </row>
    <row r="79" spans="1:19">
      <c r="A79" s="58"/>
      <c r="C79" s="74"/>
      <c r="D79" s="74"/>
      <c r="E79" s="75"/>
      <c r="F79" s="75"/>
      <c r="G79" s="76"/>
      <c r="I79" s="77"/>
      <c r="J79" s="78"/>
      <c r="K79" s="78"/>
      <c r="M79" s="77"/>
      <c r="N79" s="79"/>
      <c r="O79" s="76"/>
      <c r="Q79" s="77"/>
      <c r="R79" s="78"/>
      <c r="S79" s="74"/>
    </row>
    <row r="80" spans="1:19">
      <c r="A80" s="58"/>
      <c r="C80" s="74"/>
      <c r="D80" s="74"/>
      <c r="E80" s="75"/>
      <c r="F80" s="75"/>
      <c r="G80" s="76"/>
      <c r="I80" s="77"/>
      <c r="J80" s="78"/>
      <c r="K80" s="78"/>
      <c r="M80" s="77"/>
      <c r="N80" s="79"/>
      <c r="O80" s="76"/>
      <c r="Q80" s="77"/>
      <c r="R80" s="78"/>
      <c r="S80" s="74"/>
    </row>
    <row r="81" spans="1:19">
      <c r="A81" s="58"/>
      <c r="C81" s="74"/>
      <c r="D81" s="74"/>
      <c r="E81" s="75"/>
      <c r="F81" s="75"/>
      <c r="G81" s="76"/>
      <c r="I81" s="77"/>
      <c r="J81" s="78"/>
      <c r="K81" s="78"/>
      <c r="M81" s="77"/>
      <c r="N81" s="79"/>
      <c r="O81" s="76"/>
      <c r="Q81" s="77"/>
      <c r="R81" s="78"/>
      <c r="S81" s="74"/>
    </row>
    <row r="82" spans="1:19">
      <c r="A82" s="58"/>
      <c r="C82" s="74"/>
      <c r="D82" s="74"/>
      <c r="E82" s="75"/>
      <c r="F82" s="75"/>
      <c r="G82" s="76"/>
      <c r="I82" s="77"/>
      <c r="J82" s="78"/>
      <c r="K82" s="78"/>
      <c r="M82" s="77"/>
      <c r="N82" s="79"/>
      <c r="O82" s="76"/>
      <c r="Q82" s="77"/>
      <c r="R82" s="78"/>
      <c r="S82" s="74"/>
    </row>
    <row r="83" spans="1:19">
      <c r="A83" s="58"/>
      <c r="C83" s="74"/>
      <c r="D83" s="74"/>
      <c r="E83" s="75"/>
      <c r="F83" s="75"/>
      <c r="G83" s="76"/>
      <c r="I83" s="77"/>
      <c r="J83" s="78"/>
      <c r="K83" s="78"/>
      <c r="M83" s="77"/>
      <c r="N83" s="79"/>
      <c r="O83" s="76"/>
      <c r="Q83" s="77"/>
      <c r="R83" s="78"/>
      <c r="S83" s="74"/>
    </row>
    <row r="84" spans="1:19">
      <c r="A84" s="58"/>
      <c r="C84" s="74"/>
      <c r="D84" s="74"/>
      <c r="E84" s="75"/>
      <c r="F84" s="75"/>
      <c r="G84" s="76"/>
      <c r="I84" s="77"/>
      <c r="J84" s="78"/>
      <c r="K84" s="78"/>
      <c r="M84" s="77"/>
      <c r="N84" s="79"/>
      <c r="O84" s="76"/>
      <c r="Q84" s="77"/>
      <c r="R84" s="78"/>
      <c r="S84" s="74"/>
    </row>
    <row r="85" spans="1:19">
      <c r="A85" s="58"/>
      <c r="C85" s="74"/>
      <c r="D85" s="74"/>
      <c r="E85" s="75"/>
      <c r="F85" s="75"/>
      <c r="G85" s="76"/>
      <c r="I85" s="77"/>
      <c r="J85" s="78"/>
      <c r="K85" s="78"/>
      <c r="M85" s="77"/>
      <c r="N85" s="79"/>
      <c r="O85" s="76"/>
      <c r="Q85" s="77"/>
      <c r="R85" s="78"/>
      <c r="S85" s="74"/>
    </row>
    <row r="86" spans="1:19">
      <c r="A86" s="58"/>
      <c r="C86" s="74"/>
      <c r="D86" s="74"/>
      <c r="E86" s="75"/>
      <c r="F86" s="75"/>
      <c r="G86" s="76"/>
      <c r="I86" s="77"/>
      <c r="J86" s="78"/>
      <c r="K86" s="78"/>
      <c r="M86" s="77"/>
      <c r="N86" s="79"/>
      <c r="O86" s="76"/>
      <c r="Q86" s="77"/>
      <c r="R86" s="78"/>
      <c r="S86" s="74"/>
    </row>
    <row r="87" spans="1:19">
      <c r="A87" s="58"/>
      <c r="C87" s="74"/>
      <c r="D87" s="74"/>
      <c r="E87" s="75"/>
      <c r="F87" s="75"/>
      <c r="G87" s="76"/>
      <c r="I87" s="77"/>
      <c r="J87" s="78"/>
      <c r="K87" s="78"/>
      <c r="M87" s="77"/>
      <c r="N87" s="79"/>
      <c r="O87" s="76"/>
      <c r="Q87" s="77"/>
      <c r="R87" s="78"/>
      <c r="S87" s="74"/>
    </row>
    <row r="88" spans="1:19">
      <c r="A88" s="58"/>
      <c r="C88" s="74"/>
      <c r="D88" s="74"/>
      <c r="E88" s="75"/>
      <c r="F88" s="75"/>
      <c r="G88" s="76"/>
      <c r="I88" s="77"/>
      <c r="J88" s="78"/>
      <c r="K88" s="78"/>
      <c r="M88" s="77"/>
      <c r="N88" s="79"/>
      <c r="O88" s="76"/>
      <c r="Q88" s="77"/>
      <c r="R88" s="78"/>
      <c r="S88" s="74"/>
    </row>
    <row r="89" spans="1:19">
      <c r="A89" s="58"/>
      <c r="C89" s="74"/>
      <c r="D89" s="74"/>
      <c r="E89" s="75"/>
      <c r="F89" s="75"/>
      <c r="G89" s="76"/>
      <c r="I89" s="77"/>
      <c r="J89" s="78"/>
      <c r="K89" s="78"/>
      <c r="M89" s="77"/>
      <c r="N89" s="79"/>
      <c r="O89" s="76"/>
      <c r="Q89" s="77"/>
      <c r="R89" s="78"/>
      <c r="S89" s="74"/>
    </row>
    <row r="90" spans="1:19">
      <c r="A90" s="58"/>
      <c r="C90" s="74"/>
      <c r="D90" s="74"/>
      <c r="E90" s="75"/>
      <c r="F90" s="75"/>
      <c r="G90" s="76"/>
      <c r="I90" s="77"/>
      <c r="J90" s="78"/>
      <c r="K90" s="78"/>
      <c r="M90" s="77"/>
      <c r="N90" s="79"/>
      <c r="O90" s="76"/>
      <c r="Q90" s="77"/>
      <c r="R90" s="78"/>
      <c r="S90" s="74"/>
    </row>
    <row r="91" spans="1:19">
      <c r="A91" s="58"/>
      <c r="C91" s="74"/>
      <c r="D91" s="74"/>
      <c r="E91" s="75"/>
      <c r="F91" s="75"/>
      <c r="G91" s="76"/>
      <c r="I91" s="77"/>
      <c r="J91" s="78"/>
      <c r="K91" s="78"/>
      <c r="M91" s="77"/>
      <c r="N91" s="79"/>
      <c r="O91" s="76"/>
      <c r="Q91" s="77"/>
      <c r="R91" s="78"/>
      <c r="S91" s="74"/>
    </row>
    <row r="92" spans="1:19">
      <c r="A92" s="58"/>
      <c r="C92" s="74"/>
      <c r="D92" s="74"/>
      <c r="E92" s="75"/>
      <c r="F92" s="75"/>
      <c r="G92" s="76"/>
      <c r="I92" s="77"/>
      <c r="J92" s="78"/>
      <c r="K92" s="78"/>
      <c r="M92" s="77"/>
      <c r="N92" s="79"/>
      <c r="O92" s="76"/>
      <c r="Q92" s="77"/>
      <c r="R92" s="78"/>
      <c r="S92" s="74"/>
    </row>
    <row r="93" spans="1:19">
      <c r="A93" s="58"/>
      <c r="C93" s="74"/>
      <c r="D93" s="74"/>
      <c r="E93" s="75"/>
      <c r="F93" s="75"/>
      <c r="G93" s="76"/>
      <c r="I93" s="77"/>
      <c r="J93" s="78"/>
      <c r="K93" s="78"/>
      <c r="M93" s="77"/>
      <c r="N93" s="79"/>
      <c r="O93" s="76"/>
      <c r="Q93" s="77"/>
      <c r="R93" s="78"/>
      <c r="S93" s="74"/>
    </row>
    <row r="94" spans="1:19">
      <c r="A94" s="58"/>
      <c r="C94" s="74"/>
      <c r="D94" s="74"/>
      <c r="E94" s="75"/>
      <c r="F94" s="75"/>
      <c r="G94" s="76"/>
      <c r="I94" s="77"/>
      <c r="J94" s="78"/>
      <c r="K94" s="78"/>
      <c r="M94" s="77"/>
      <c r="N94" s="79"/>
      <c r="O94" s="76"/>
      <c r="Q94" s="77"/>
      <c r="R94" s="78"/>
      <c r="S94" s="74"/>
    </row>
    <row r="95" spans="1:19">
      <c r="A95" s="58"/>
      <c r="C95" s="74"/>
      <c r="D95" s="74"/>
      <c r="E95" s="75"/>
      <c r="F95" s="75"/>
      <c r="G95" s="76"/>
      <c r="I95" s="77"/>
      <c r="J95" s="78"/>
      <c r="K95" s="78"/>
      <c r="M95" s="77"/>
      <c r="N95" s="79"/>
      <c r="O95" s="76"/>
      <c r="Q95" s="77"/>
      <c r="R95" s="78"/>
      <c r="S95" s="74"/>
    </row>
    <row r="96" spans="1:19">
      <c r="A96" s="58"/>
      <c r="C96" s="74"/>
      <c r="D96" s="74"/>
      <c r="E96" s="75"/>
      <c r="F96" s="75"/>
      <c r="G96" s="76"/>
      <c r="I96" s="77"/>
      <c r="J96" s="78"/>
      <c r="K96" s="78"/>
      <c r="M96" s="77"/>
      <c r="N96" s="79"/>
      <c r="O96" s="76"/>
      <c r="Q96" s="77"/>
      <c r="R96" s="78"/>
      <c r="S96" s="74"/>
    </row>
    <row r="97" spans="1:19">
      <c r="A97" s="58"/>
      <c r="C97" s="74"/>
      <c r="D97" s="74"/>
      <c r="E97" s="75"/>
      <c r="F97" s="75"/>
      <c r="G97" s="76"/>
      <c r="I97" s="77"/>
      <c r="J97" s="78"/>
      <c r="K97" s="78"/>
      <c r="M97" s="77"/>
      <c r="N97" s="79"/>
      <c r="O97" s="76"/>
      <c r="Q97" s="77"/>
      <c r="R97" s="78"/>
      <c r="S97" s="74"/>
    </row>
    <row r="98" spans="1:19">
      <c r="A98" s="58"/>
      <c r="C98" s="74"/>
      <c r="D98" s="74"/>
      <c r="E98" s="75"/>
      <c r="F98" s="75"/>
      <c r="G98" s="76"/>
      <c r="I98" s="77"/>
      <c r="J98" s="78"/>
      <c r="K98" s="78"/>
      <c r="M98" s="77"/>
      <c r="N98" s="79"/>
      <c r="O98" s="76"/>
      <c r="Q98" s="77"/>
      <c r="R98" s="78"/>
      <c r="S98" s="74"/>
    </row>
    <row r="99" spans="1:19">
      <c r="A99" s="58"/>
      <c r="C99" s="74"/>
      <c r="D99" s="74"/>
      <c r="E99" s="75"/>
      <c r="F99" s="75"/>
      <c r="G99" s="76"/>
      <c r="I99" s="77"/>
      <c r="J99" s="78"/>
      <c r="K99" s="78"/>
      <c r="M99" s="77"/>
      <c r="N99" s="79"/>
      <c r="O99" s="76"/>
      <c r="Q99" s="77"/>
      <c r="R99" s="78"/>
      <c r="S99" s="74"/>
    </row>
    <row r="100" spans="1:19">
      <c r="A100" s="58"/>
      <c r="C100" s="74"/>
      <c r="D100" s="74"/>
      <c r="E100" s="75"/>
      <c r="F100" s="75"/>
      <c r="G100" s="76"/>
      <c r="I100" s="77"/>
      <c r="J100" s="78"/>
      <c r="K100" s="78"/>
      <c r="M100" s="77"/>
      <c r="N100" s="79"/>
      <c r="O100" s="76"/>
      <c r="Q100" s="77"/>
      <c r="R100" s="78"/>
      <c r="S100" s="74"/>
    </row>
  </sheetData>
  <sheetProtection password="EA63" sheet="1" objects="1" scenarios="1" selectLockedCells="1" selectUnlockedCells="1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R100"/>
  <sheetViews>
    <sheetView workbookViewId="0"/>
  </sheetViews>
  <sheetFormatPr defaultColWidth="11.42578125" defaultRowHeight="15"/>
  <cols>
    <col min="1" max="1" width="9.28515625" style="29" customWidth="1"/>
    <col min="2" max="2" width="9.42578125" style="29" customWidth="1"/>
    <col min="3" max="3" width="5.5703125" style="29" customWidth="1"/>
    <col min="4" max="4" width="10.28515625" style="29" customWidth="1"/>
    <col min="5" max="5" width="10.7109375" style="29" customWidth="1"/>
    <col min="6" max="6" width="9.140625" style="29" customWidth="1"/>
    <col min="7" max="7" width="7.7109375" style="58" customWidth="1"/>
    <col min="8" max="8" width="3.140625" style="58" customWidth="1"/>
    <col min="9" max="9" width="5" style="58" customWidth="1"/>
    <col min="10" max="11" width="11.42578125" style="29"/>
    <col min="12" max="12" width="2.140625" style="29" customWidth="1"/>
    <col min="13" max="13" width="6.7109375" style="29" customWidth="1"/>
    <col min="14" max="14" width="6.140625" style="29" customWidth="1"/>
    <col min="15" max="15" width="5.5703125" style="29" customWidth="1"/>
    <col min="16" max="17" width="4" style="29" customWidth="1"/>
    <col min="18" max="16384" width="11.42578125" style="29"/>
  </cols>
  <sheetData>
    <row r="1" spans="1:18">
      <c r="A1" s="70"/>
    </row>
    <row r="2" spans="1:18">
      <c r="E2" s="70"/>
      <c r="F2" s="70"/>
      <c r="G2" s="80"/>
      <c r="I2" s="80"/>
      <c r="J2" s="73" t="s">
        <v>16</v>
      </c>
      <c r="M2" s="60"/>
      <c r="R2" s="60" t="s">
        <v>0</v>
      </c>
    </row>
    <row r="3" spans="1:18" s="77" customFormat="1">
      <c r="A3" s="75">
        <f>Main!C4</f>
        <v>0</v>
      </c>
      <c r="B3" s="75">
        <f>Main!D4</f>
        <v>0</v>
      </c>
      <c r="C3" s="74" t="str">
        <f>IF(B3=0,"-",0)</f>
        <v>-</v>
      </c>
      <c r="D3" s="81">
        <f>IF(B3=0,IF(A3=0,0,A3),IF(A3=0,A2,A3))</f>
        <v>0</v>
      </c>
      <c r="E3" s="75">
        <f>IF(B3=0,0,IF(A3&lt;0,(-100*D3+0.0000000001*ROW()+0.00001/B3),1/D3+0.0000000001*ROW()+0.00001/B3))</f>
        <v>0</v>
      </c>
      <c r="F3" s="75">
        <f>B3</f>
        <v>0</v>
      </c>
      <c r="G3" s="74" t="str">
        <f t="shared" ref="G3:G66" si="0">IF(C3="-","-",RANK(E3,$E$3:$E$100))</f>
        <v>-</v>
      </c>
      <c r="H3" s="74"/>
      <c r="I3" s="74">
        <v>1</v>
      </c>
      <c r="J3" s="82">
        <f>IF(I3&gt;MAX($G$3:$G$100),0,INDEX($D$3:$D$100, MATCH(I3,$G$3:$G$100,0)))</f>
        <v>0</v>
      </c>
      <c r="K3" s="82">
        <f>IF(I3&gt;MAX($G$3:$G$100),0,INDEX($F$3:$F$100, MATCH(I3,$G$3:$G$100,0)))</f>
        <v>0</v>
      </c>
      <c r="M3" s="77">
        <f>IF(A3&lt;0,-100*A3,IF(A3=0,0,1/A3))</f>
        <v>0</v>
      </c>
      <c r="N3" s="79">
        <f t="shared" ref="N3:N66" si="1">IF(M3=0,0,VALUE(M3)+0.000000000001*ROW())</f>
        <v>0</v>
      </c>
      <c r="O3" s="76">
        <f>IF(N3=0,0,RANK(N3,$N$3:$N$100))</f>
        <v>0</v>
      </c>
      <c r="Q3" s="77">
        <v>1</v>
      </c>
      <c r="R3" s="78">
        <f t="shared" ref="R3:R34" si="2">IF(Q3&gt;MAX($O$3:$O$100),0,INDEX($A$3:$A$100, MATCH(Q3,$O$3:$O$100,0)))</f>
        <v>0</v>
      </c>
    </row>
    <row r="4" spans="1:18" s="77" customFormat="1">
      <c r="A4" s="75">
        <f>Main!C5</f>
        <v>0</v>
      </c>
      <c r="B4" s="75">
        <f>Main!D5</f>
        <v>0</v>
      </c>
      <c r="C4" s="74" t="str">
        <f t="shared" ref="C4:C67" si="3">IF(B4=0,"-",0)</f>
        <v>-</v>
      </c>
      <c r="D4" s="81">
        <f t="shared" ref="D4:D67" si="4">IF(B4=0,IF(A4=0,0,A4),IF(A4=0,A3,A4))</f>
        <v>0</v>
      </c>
      <c r="E4" s="75">
        <f t="shared" ref="E4:E67" si="5">IF(B4=0,0,IF(A4&lt;0,(-100*D4+0.0000000001*ROW()+0.00001/B4),1/D4+0.0000000001*ROW()+0.00001/B4))</f>
        <v>0</v>
      </c>
      <c r="F4" s="75">
        <f t="shared" ref="F4:F67" si="6">B4</f>
        <v>0</v>
      </c>
      <c r="G4" s="74" t="str">
        <f t="shared" si="0"/>
        <v>-</v>
      </c>
      <c r="H4" s="74"/>
      <c r="I4" s="74">
        <v>2</v>
      </c>
      <c r="J4" s="82">
        <f t="shared" ref="J4:J67" si="7">IF(I4&gt;MAX($G$3:$G$100),0,INDEX($D$3:$D$100, MATCH(I4,$G$3:$G$100,0)))</f>
        <v>0</v>
      </c>
      <c r="K4" s="82">
        <f t="shared" ref="K4:K67" si="8">IF(I4&gt;MAX($G$3:$G$100),0,INDEX($F$3:$F$100, MATCH(I4,$G$3:$G$100,0)))</f>
        <v>0</v>
      </c>
      <c r="M4" s="77">
        <f t="shared" ref="M4:M67" si="9">IF(A4&lt;0,-100*A4,IF(A4=0,0,1/A4))</f>
        <v>0</v>
      </c>
      <c r="N4" s="79">
        <f t="shared" si="1"/>
        <v>0</v>
      </c>
      <c r="O4" s="76">
        <f t="shared" ref="O4:O67" si="10">IF(N4=0,0,RANK(N4,$N$3:$N$100))</f>
        <v>0</v>
      </c>
      <c r="Q4" s="77">
        <v>2</v>
      </c>
      <c r="R4" s="78">
        <f t="shared" si="2"/>
        <v>0</v>
      </c>
    </row>
    <row r="5" spans="1:18" s="77" customFormat="1">
      <c r="A5" s="75">
        <f>Main!C6</f>
        <v>0</v>
      </c>
      <c r="B5" s="75">
        <f>Main!D6</f>
        <v>0</v>
      </c>
      <c r="C5" s="74" t="str">
        <f t="shared" si="3"/>
        <v>-</v>
      </c>
      <c r="D5" s="81">
        <f t="shared" si="4"/>
        <v>0</v>
      </c>
      <c r="E5" s="75">
        <f t="shared" si="5"/>
        <v>0</v>
      </c>
      <c r="F5" s="75">
        <f t="shared" si="6"/>
        <v>0</v>
      </c>
      <c r="G5" s="74" t="str">
        <f t="shared" si="0"/>
        <v>-</v>
      </c>
      <c r="H5" s="74"/>
      <c r="I5" s="74">
        <v>3</v>
      </c>
      <c r="J5" s="82">
        <f t="shared" si="7"/>
        <v>0</v>
      </c>
      <c r="K5" s="82">
        <f t="shared" si="8"/>
        <v>0</v>
      </c>
      <c r="M5" s="77">
        <f t="shared" si="9"/>
        <v>0</v>
      </c>
      <c r="N5" s="79">
        <f t="shared" si="1"/>
        <v>0</v>
      </c>
      <c r="O5" s="76">
        <f t="shared" si="10"/>
        <v>0</v>
      </c>
      <c r="Q5" s="77">
        <v>3</v>
      </c>
      <c r="R5" s="78">
        <f t="shared" si="2"/>
        <v>0</v>
      </c>
    </row>
    <row r="6" spans="1:18" s="77" customFormat="1">
      <c r="A6" s="75">
        <f>Main!C7</f>
        <v>0</v>
      </c>
      <c r="B6" s="75">
        <f>Main!D7</f>
        <v>0</v>
      </c>
      <c r="C6" s="74" t="str">
        <f t="shared" si="3"/>
        <v>-</v>
      </c>
      <c r="D6" s="81">
        <f t="shared" si="4"/>
        <v>0</v>
      </c>
      <c r="E6" s="75">
        <f t="shared" si="5"/>
        <v>0</v>
      </c>
      <c r="F6" s="75">
        <f t="shared" si="6"/>
        <v>0</v>
      </c>
      <c r="G6" s="74" t="str">
        <f t="shared" si="0"/>
        <v>-</v>
      </c>
      <c r="H6" s="74"/>
      <c r="I6" s="74">
        <v>4</v>
      </c>
      <c r="J6" s="82">
        <f t="shared" si="7"/>
        <v>0</v>
      </c>
      <c r="K6" s="82">
        <f t="shared" si="8"/>
        <v>0</v>
      </c>
      <c r="M6" s="77">
        <f t="shared" si="9"/>
        <v>0</v>
      </c>
      <c r="N6" s="79">
        <f t="shared" si="1"/>
        <v>0</v>
      </c>
      <c r="O6" s="76">
        <f t="shared" si="10"/>
        <v>0</v>
      </c>
      <c r="Q6" s="77">
        <v>4</v>
      </c>
      <c r="R6" s="78">
        <f t="shared" si="2"/>
        <v>0</v>
      </c>
    </row>
    <row r="7" spans="1:18">
      <c r="A7" s="75">
        <f>Main!C8</f>
        <v>0</v>
      </c>
      <c r="B7" s="75">
        <f>Main!D8</f>
        <v>0</v>
      </c>
      <c r="C7" s="74" t="str">
        <f t="shared" si="3"/>
        <v>-</v>
      </c>
      <c r="D7" s="81">
        <f t="shared" si="4"/>
        <v>0</v>
      </c>
      <c r="E7" s="75">
        <f t="shared" si="5"/>
        <v>0</v>
      </c>
      <c r="F7" s="75">
        <f t="shared" si="6"/>
        <v>0</v>
      </c>
      <c r="G7" s="74" t="str">
        <f t="shared" si="0"/>
        <v>-</v>
      </c>
      <c r="I7" s="74">
        <v>5</v>
      </c>
      <c r="J7" s="82">
        <f t="shared" si="7"/>
        <v>0</v>
      </c>
      <c r="K7" s="82">
        <f t="shared" si="8"/>
        <v>0</v>
      </c>
      <c r="M7" s="77">
        <f t="shared" si="9"/>
        <v>0</v>
      </c>
      <c r="N7" s="79">
        <f t="shared" si="1"/>
        <v>0</v>
      </c>
      <c r="O7" s="76">
        <f t="shared" si="10"/>
        <v>0</v>
      </c>
      <c r="Q7" s="77">
        <v>5</v>
      </c>
      <c r="R7" s="78">
        <f t="shared" si="2"/>
        <v>0</v>
      </c>
    </row>
    <row r="8" spans="1:18">
      <c r="A8" s="75">
        <f>Main!C9</f>
        <v>0</v>
      </c>
      <c r="B8" s="75">
        <f>Main!D9</f>
        <v>0</v>
      </c>
      <c r="C8" s="74" t="str">
        <f t="shared" si="3"/>
        <v>-</v>
      </c>
      <c r="D8" s="81">
        <f t="shared" si="4"/>
        <v>0</v>
      </c>
      <c r="E8" s="75">
        <f t="shared" si="5"/>
        <v>0</v>
      </c>
      <c r="F8" s="75">
        <f t="shared" si="6"/>
        <v>0</v>
      </c>
      <c r="G8" s="74" t="str">
        <f t="shared" si="0"/>
        <v>-</v>
      </c>
      <c r="I8" s="74">
        <v>6</v>
      </c>
      <c r="J8" s="82">
        <f t="shared" si="7"/>
        <v>0</v>
      </c>
      <c r="K8" s="82">
        <f t="shared" si="8"/>
        <v>0</v>
      </c>
      <c r="M8" s="77">
        <f t="shared" si="9"/>
        <v>0</v>
      </c>
      <c r="N8" s="79">
        <f t="shared" si="1"/>
        <v>0</v>
      </c>
      <c r="O8" s="76">
        <f t="shared" si="10"/>
        <v>0</v>
      </c>
      <c r="Q8" s="77">
        <v>6</v>
      </c>
      <c r="R8" s="78">
        <f t="shared" si="2"/>
        <v>0</v>
      </c>
    </row>
    <row r="9" spans="1:18">
      <c r="A9" s="77">
        <f>Main!C10</f>
        <v>0</v>
      </c>
      <c r="B9" s="75">
        <f>Main!D10</f>
        <v>0</v>
      </c>
      <c r="C9" s="74" t="str">
        <f t="shared" si="3"/>
        <v>-</v>
      </c>
      <c r="D9" s="81">
        <f t="shared" si="4"/>
        <v>0</v>
      </c>
      <c r="E9" s="75">
        <f t="shared" si="5"/>
        <v>0</v>
      </c>
      <c r="F9" s="75">
        <f t="shared" si="6"/>
        <v>0</v>
      </c>
      <c r="G9" s="74" t="str">
        <f t="shared" si="0"/>
        <v>-</v>
      </c>
      <c r="I9" s="74">
        <v>7</v>
      </c>
      <c r="J9" s="82">
        <f t="shared" si="7"/>
        <v>0</v>
      </c>
      <c r="K9" s="82">
        <f t="shared" si="8"/>
        <v>0</v>
      </c>
      <c r="M9" s="77">
        <f t="shared" si="9"/>
        <v>0</v>
      </c>
      <c r="N9" s="79">
        <f t="shared" si="1"/>
        <v>0</v>
      </c>
      <c r="O9" s="76">
        <f t="shared" si="10"/>
        <v>0</v>
      </c>
      <c r="Q9" s="77">
        <v>7</v>
      </c>
      <c r="R9" s="78">
        <f t="shared" si="2"/>
        <v>0</v>
      </c>
    </row>
    <row r="10" spans="1:18">
      <c r="A10" s="77">
        <f>Main!C11</f>
        <v>0</v>
      </c>
      <c r="B10" s="77">
        <f>Main!D11</f>
        <v>0</v>
      </c>
      <c r="C10" s="74" t="str">
        <f t="shared" si="3"/>
        <v>-</v>
      </c>
      <c r="D10" s="74">
        <f t="shared" si="4"/>
        <v>0</v>
      </c>
      <c r="E10" s="75">
        <f t="shared" si="5"/>
        <v>0</v>
      </c>
      <c r="F10" s="75">
        <f t="shared" si="6"/>
        <v>0</v>
      </c>
      <c r="G10" s="74" t="str">
        <f t="shared" si="0"/>
        <v>-</v>
      </c>
      <c r="I10" s="74">
        <v>8</v>
      </c>
      <c r="J10" s="82">
        <f t="shared" si="7"/>
        <v>0</v>
      </c>
      <c r="K10" s="82">
        <f t="shared" si="8"/>
        <v>0</v>
      </c>
      <c r="M10" s="77">
        <f t="shared" si="9"/>
        <v>0</v>
      </c>
      <c r="N10" s="79">
        <f t="shared" si="1"/>
        <v>0</v>
      </c>
      <c r="O10" s="76">
        <f t="shared" si="10"/>
        <v>0</v>
      </c>
      <c r="Q10" s="77">
        <v>8</v>
      </c>
      <c r="R10" s="78">
        <f t="shared" si="2"/>
        <v>0</v>
      </c>
    </row>
    <row r="11" spans="1:18">
      <c r="A11" s="77">
        <f>Main!C12</f>
        <v>0</v>
      </c>
      <c r="B11" s="77">
        <f>Main!D12</f>
        <v>0</v>
      </c>
      <c r="C11" s="74" t="str">
        <f t="shared" si="3"/>
        <v>-</v>
      </c>
      <c r="D11" s="74">
        <f t="shared" si="4"/>
        <v>0</v>
      </c>
      <c r="E11" s="75">
        <f t="shared" si="5"/>
        <v>0</v>
      </c>
      <c r="F11" s="75">
        <f t="shared" si="6"/>
        <v>0</v>
      </c>
      <c r="G11" s="74" t="str">
        <f t="shared" si="0"/>
        <v>-</v>
      </c>
      <c r="I11" s="74">
        <v>9</v>
      </c>
      <c r="J11" s="82">
        <f t="shared" si="7"/>
        <v>0</v>
      </c>
      <c r="K11" s="82">
        <f t="shared" si="8"/>
        <v>0</v>
      </c>
      <c r="M11" s="77">
        <f t="shared" si="9"/>
        <v>0</v>
      </c>
      <c r="N11" s="79">
        <f t="shared" si="1"/>
        <v>0</v>
      </c>
      <c r="O11" s="76">
        <f t="shared" si="10"/>
        <v>0</v>
      </c>
      <c r="Q11" s="77">
        <v>9</v>
      </c>
      <c r="R11" s="78">
        <f t="shared" si="2"/>
        <v>0</v>
      </c>
    </row>
    <row r="12" spans="1:18">
      <c r="A12" s="77">
        <f>Main!C13</f>
        <v>0</v>
      </c>
      <c r="B12" s="77">
        <f>Main!D13</f>
        <v>0</v>
      </c>
      <c r="C12" s="74" t="str">
        <f t="shared" si="3"/>
        <v>-</v>
      </c>
      <c r="D12" s="74">
        <f t="shared" si="4"/>
        <v>0</v>
      </c>
      <c r="E12" s="75">
        <f t="shared" si="5"/>
        <v>0</v>
      </c>
      <c r="F12" s="75">
        <f t="shared" si="6"/>
        <v>0</v>
      </c>
      <c r="G12" s="74" t="str">
        <f t="shared" si="0"/>
        <v>-</v>
      </c>
      <c r="I12" s="74">
        <v>10</v>
      </c>
      <c r="J12" s="82">
        <f t="shared" si="7"/>
        <v>0</v>
      </c>
      <c r="K12" s="82">
        <f t="shared" si="8"/>
        <v>0</v>
      </c>
      <c r="M12" s="77">
        <f t="shared" si="9"/>
        <v>0</v>
      </c>
      <c r="N12" s="79">
        <f t="shared" si="1"/>
        <v>0</v>
      </c>
      <c r="O12" s="76">
        <f t="shared" si="10"/>
        <v>0</v>
      </c>
      <c r="Q12" s="77">
        <v>10</v>
      </c>
      <c r="R12" s="78">
        <f t="shared" si="2"/>
        <v>0</v>
      </c>
    </row>
    <row r="13" spans="1:18">
      <c r="A13" s="77">
        <f>Main!C14</f>
        <v>0</v>
      </c>
      <c r="B13" s="77">
        <f>Main!D14</f>
        <v>0</v>
      </c>
      <c r="C13" s="74" t="str">
        <f t="shared" si="3"/>
        <v>-</v>
      </c>
      <c r="D13" s="74">
        <f t="shared" si="4"/>
        <v>0</v>
      </c>
      <c r="E13" s="75">
        <f t="shared" si="5"/>
        <v>0</v>
      </c>
      <c r="F13" s="75">
        <f t="shared" si="6"/>
        <v>0</v>
      </c>
      <c r="G13" s="74" t="str">
        <f t="shared" si="0"/>
        <v>-</v>
      </c>
      <c r="I13" s="74">
        <v>11</v>
      </c>
      <c r="J13" s="82">
        <f t="shared" si="7"/>
        <v>0</v>
      </c>
      <c r="K13" s="82">
        <f t="shared" si="8"/>
        <v>0</v>
      </c>
      <c r="M13" s="77">
        <f t="shared" si="9"/>
        <v>0</v>
      </c>
      <c r="N13" s="79">
        <f t="shared" si="1"/>
        <v>0</v>
      </c>
      <c r="O13" s="76">
        <f t="shared" si="10"/>
        <v>0</v>
      </c>
      <c r="Q13" s="77">
        <v>11</v>
      </c>
      <c r="R13" s="78">
        <f t="shared" si="2"/>
        <v>0</v>
      </c>
    </row>
    <row r="14" spans="1:18">
      <c r="A14" s="77">
        <f>Main!C15</f>
        <v>0</v>
      </c>
      <c r="B14" s="77">
        <f>Main!D15</f>
        <v>0</v>
      </c>
      <c r="C14" s="74" t="str">
        <f t="shared" si="3"/>
        <v>-</v>
      </c>
      <c r="D14" s="74">
        <f t="shared" si="4"/>
        <v>0</v>
      </c>
      <c r="E14" s="75">
        <f t="shared" si="5"/>
        <v>0</v>
      </c>
      <c r="F14" s="75">
        <f t="shared" si="6"/>
        <v>0</v>
      </c>
      <c r="G14" s="74" t="str">
        <f t="shared" si="0"/>
        <v>-</v>
      </c>
      <c r="I14" s="74">
        <v>12</v>
      </c>
      <c r="J14" s="82">
        <f t="shared" si="7"/>
        <v>0</v>
      </c>
      <c r="K14" s="82">
        <f t="shared" si="8"/>
        <v>0</v>
      </c>
      <c r="M14" s="77">
        <f t="shared" si="9"/>
        <v>0</v>
      </c>
      <c r="N14" s="79">
        <f t="shared" si="1"/>
        <v>0</v>
      </c>
      <c r="O14" s="76">
        <f t="shared" si="10"/>
        <v>0</v>
      </c>
      <c r="Q14" s="77">
        <v>12</v>
      </c>
      <c r="R14" s="78">
        <f t="shared" si="2"/>
        <v>0</v>
      </c>
    </row>
    <row r="15" spans="1:18">
      <c r="A15" s="77">
        <f>Main!C16</f>
        <v>0</v>
      </c>
      <c r="B15" s="77">
        <f>Main!D16</f>
        <v>0</v>
      </c>
      <c r="C15" s="74" t="str">
        <f t="shared" si="3"/>
        <v>-</v>
      </c>
      <c r="D15" s="74">
        <f t="shared" si="4"/>
        <v>0</v>
      </c>
      <c r="E15" s="75">
        <f t="shared" si="5"/>
        <v>0</v>
      </c>
      <c r="F15" s="75">
        <f t="shared" si="6"/>
        <v>0</v>
      </c>
      <c r="G15" s="74" t="str">
        <f t="shared" si="0"/>
        <v>-</v>
      </c>
      <c r="I15" s="74">
        <v>13</v>
      </c>
      <c r="J15" s="82">
        <f t="shared" si="7"/>
        <v>0</v>
      </c>
      <c r="K15" s="82">
        <f t="shared" si="8"/>
        <v>0</v>
      </c>
      <c r="M15" s="77">
        <f t="shared" si="9"/>
        <v>0</v>
      </c>
      <c r="N15" s="79">
        <f t="shared" si="1"/>
        <v>0</v>
      </c>
      <c r="O15" s="76">
        <f t="shared" si="10"/>
        <v>0</v>
      </c>
      <c r="Q15" s="77">
        <v>13</v>
      </c>
      <c r="R15" s="78">
        <f t="shared" si="2"/>
        <v>0</v>
      </c>
    </row>
    <row r="16" spans="1:18">
      <c r="A16" s="77">
        <f>Main!C17</f>
        <v>0</v>
      </c>
      <c r="B16" s="77">
        <f>Main!D17</f>
        <v>0</v>
      </c>
      <c r="C16" s="74" t="str">
        <f t="shared" si="3"/>
        <v>-</v>
      </c>
      <c r="D16" s="74">
        <f t="shared" si="4"/>
        <v>0</v>
      </c>
      <c r="E16" s="75">
        <f t="shared" si="5"/>
        <v>0</v>
      </c>
      <c r="F16" s="75">
        <f t="shared" si="6"/>
        <v>0</v>
      </c>
      <c r="G16" s="74" t="str">
        <f t="shared" si="0"/>
        <v>-</v>
      </c>
      <c r="I16" s="74">
        <v>14</v>
      </c>
      <c r="J16" s="82">
        <f t="shared" si="7"/>
        <v>0</v>
      </c>
      <c r="K16" s="82">
        <f t="shared" si="8"/>
        <v>0</v>
      </c>
      <c r="M16" s="77">
        <f t="shared" si="9"/>
        <v>0</v>
      </c>
      <c r="N16" s="79">
        <f t="shared" si="1"/>
        <v>0</v>
      </c>
      <c r="O16" s="76">
        <f t="shared" si="10"/>
        <v>0</v>
      </c>
      <c r="Q16" s="77">
        <v>14</v>
      </c>
      <c r="R16" s="78">
        <f t="shared" si="2"/>
        <v>0</v>
      </c>
    </row>
    <row r="17" spans="1:18">
      <c r="A17" s="77">
        <f>Main!C18</f>
        <v>0</v>
      </c>
      <c r="B17" s="77">
        <f>Main!D18</f>
        <v>0</v>
      </c>
      <c r="C17" s="74" t="str">
        <f t="shared" si="3"/>
        <v>-</v>
      </c>
      <c r="D17" s="74">
        <f t="shared" si="4"/>
        <v>0</v>
      </c>
      <c r="E17" s="75">
        <f t="shared" si="5"/>
        <v>0</v>
      </c>
      <c r="F17" s="75">
        <f t="shared" si="6"/>
        <v>0</v>
      </c>
      <c r="G17" s="74" t="str">
        <f t="shared" si="0"/>
        <v>-</v>
      </c>
      <c r="I17" s="74">
        <v>15</v>
      </c>
      <c r="J17" s="82">
        <f t="shared" si="7"/>
        <v>0</v>
      </c>
      <c r="K17" s="82">
        <f t="shared" si="8"/>
        <v>0</v>
      </c>
      <c r="M17" s="77">
        <f t="shared" si="9"/>
        <v>0</v>
      </c>
      <c r="N17" s="79">
        <f t="shared" si="1"/>
        <v>0</v>
      </c>
      <c r="O17" s="76">
        <f t="shared" si="10"/>
        <v>0</v>
      </c>
      <c r="Q17" s="77">
        <v>15</v>
      </c>
      <c r="R17" s="78">
        <f t="shared" si="2"/>
        <v>0</v>
      </c>
    </row>
    <row r="18" spans="1:18">
      <c r="A18" s="77">
        <f>Main!C19</f>
        <v>0</v>
      </c>
      <c r="B18" s="77">
        <f>Main!D19</f>
        <v>0</v>
      </c>
      <c r="C18" s="74" t="str">
        <f t="shared" si="3"/>
        <v>-</v>
      </c>
      <c r="D18" s="74">
        <f t="shared" si="4"/>
        <v>0</v>
      </c>
      <c r="E18" s="75">
        <f t="shared" si="5"/>
        <v>0</v>
      </c>
      <c r="F18" s="75">
        <f t="shared" si="6"/>
        <v>0</v>
      </c>
      <c r="G18" s="74" t="str">
        <f t="shared" si="0"/>
        <v>-</v>
      </c>
      <c r="I18" s="74">
        <v>16</v>
      </c>
      <c r="J18" s="82">
        <f t="shared" si="7"/>
        <v>0</v>
      </c>
      <c r="K18" s="82">
        <f t="shared" si="8"/>
        <v>0</v>
      </c>
      <c r="M18" s="77">
        <f t="shared" si="9"/>
        <v>0</v>
      </c>
      <c r="N18" s="79">
        <f t="shared" si="1"/>
        <v>0</v>
      </c>
      <c r="O18" s="76">
        <f t="shared" si="10"/>
        <v>0</v>
      </c>
      <c r="Q18" s="77">
        <v>16</v>
      </c>
      <c r="R18" s="78">
        <f t="shared" si="2"/>
        <v>0</v>
      </c>
    </row>
    <row r="19" spans="1:18">
      <c r="A19" s="77">
        <f>Main!C20</f>
        <v>0</v>
      </c>
      <c r="B19" s="77">
        <f>Main!D20</f>
        <v>0</v>
      </c>
      <c r="C19" s="74" t="str">
        <f t="shared" si="3"/>
        <v>-</v>
      </c>
      <c r="D19" s="74">
        <f t="shared" si="4"/>
        <v>0</v>
      </c>
      <c r="E19" s="75">
        <f t="shared" si="5"/>
        <v>0</v>
      </c>
      <c r="F19" s="75">
        <f t="shared" si="6"/>
        <v>0</v>
      </c>
      <c r="G19" s="74" t="str">
        <f t="shared" si="0"/>
        <v>-</v>
      </c>
      <c r="I19" s="74">
        <v>17</v>
      </c>
      <c r="J19" s="82">
        <f t="shared" si="7"/>
        <v>0</v>
      </c>
      <c r="K19" s="82">
        <f t="shared" si="8"/>
        <v>0</v>
      </c>
      <c r="M19" s="77">
        <f t="shared" si="9"/>
        <v>0</v>
      </c>
      <c r="N19" s="79">
        <f t="shared" si="1"/>
        <v>0</v>
      </c>
      <c r="O19" s="76">
        <f t="shared" si="10"/>
        <v>0</v>
      </c>
      <c r="Q19" s="77">
        <v>17</v>
      </c>
      <c r="R19" s="78">
        <f t="shared" si="2"/>
        <v>0</v>
      </c>
    </row>
    <row r="20" spans="1:18">
      <c r="A20" s="77">
        <f>Main!C21</f>
        <v>0</v>
      </c>
      <c r="B20" s="77">
        <f>Main!D21</f>
        <v>0</v>
      </c>
      <c r="C20" s="74" t="str">
        <f t="shared" si="3"/>
        <v>-</v>
      </c>
      <c r="D20" s="74">
        <f t="shared" si="4"/>
        <v>0</v>
      </c>
      <c r="E20" s="75">
        <f t="shared" si="5"/>
        <v>0</v>
      </c>
      <c r="F20" s="75">
        <f t="shared" si="6"/>
        <v>0</v>
      </c>
      <c r="G20" s="74" t="str">
        <f t="shared" si="0"/>
        <v>-</v>
      </c>
      <c r="I20" s="74">
        <v>18</v>
      </c>
      <c r="J20" s="82">
        <f t="shared" si="7"/>
        <v>0</v>
      </c>
      <c r="K20" s="82">
        <f t="shared" si="8"/>
        <v>0</v>
      </c>
      <c r="M20" s="77">
        <f t="shared" si="9"/>
        <v>0</v>
      </c>
      <c r="N20" s="79">
        <f t="shared" si="1"/>
        <v>0</v>
      </c>
      <c r="O20" s="76">
        <f t="shared" si="10"/>
        <v>0</v>
      </c>
      <c r="Q20" s="77">
        <v>18</v>
      </c>
      <c r="R20" s="78">
        <f t="shared" si="2"/>
        <v>0</v>
      </c>
    </row>
    <row r="21" spans="1:18">
      <c r="A21" s="77">
        <f>Main!C22</f>
        <v>0</v>
      </c>
      <c r="B21" s="77">
        <f>Main!D22</f>
        <v>0</v>
      </c>
      <c r="C21" s="74" t="str">
        <f t="shared" si="3"/>
        <v>-</v>
      </c>
      <c r="D21" s="74">
        <f t="shared" si="4"/>
        <v>0</v>
      </c>
      <c r="E21" s="75">
        <f t="shared" si="5"/>
        <v>0</v>
      </c>
      <c r="F21" s="75">
        <f t="shared" si="6"/>
        <v>0</v>
      </c>
      <c r="G21" s="74" t="str">
        <f t="shared" si="0"/>
        <v>-</v>
      </c>
      <c r="I21" s="74">
        <v>19</v>
      </c>
      <c r="J21" s="82">
        <f t="shared" si="7"/>
        <v>0</v>
      </c>
      <c r="K21" s="82">
        <f t="shared" si="8"/>
        <v>0</v>
      </c>
      <c r="M21" s="77">
        <f t="shared" si="9"/>
        <v>0</v>
      </c>
      <c r="N21" s="79">
        <f t="shared" si="1"/>
        <v>0</v>
      </c>
      <c r="O21" s="76">
        <f t="shared" si="10"/>
        <v>0</v>
      </c>
      <c r="Q21" s="77">
        <v>19</v>
      </c>
      <c r="R21" s="78">
        <f t="shared" si="2"/>
        <v>0</v>
      </c>
    </row>
    <row r="22" spans="1:18">
      <c r="A22" s="77">
        <f>Main!C23</f>
        <v>0</v>
      </c>
      <c r="B22" s="77">
        <f>Main!D23</f>
        <v>0</v>
      </c>
      <c r="C22" s="74" t="str">
        <f t="shared" si="3"/>
        <v>-</v>
      </c>
      <c r="D22" s="74">
        <f t="shared" si="4"/>
        <v>0</v>
      </c>
      <c r="E22" s="75">
        <f t="shared" si="5"/>
        <v>0</v>
      </c>
      <c r="F22" s="75">
        <f t="shared" si="6"/>
        <v>0</v>
      </c>
      <c r="G22" s="74" t="str">
        <f t="shared" si="0"/>
        <v>-</v>
      </c>
      <c r="I22" s="74">
        <v>20</v>
      </c>
      <c r="J22" s="82">
        <f t="shared" si="7"/>
        <v>0</v>
      </c>
      <c r="K22" s="82">
        <f t="shared" si="8"/>
        <v>0</v>
      </c>
      <c r="M22" s="77">
        <f t="shared" si="9"/>
        <v>0</v>
      </c>
      <c r="N22" s="79">
        <f t="shared" si="1"/>
        <v>0</v>
      </c>
      <c r="O22" s="76">
        <f t="shared" si="10"/>
        <v>0</v>
      </c>
      <c r="Q22" s="77">
        <v>20</v>
      </c>
      <c r="R22" s="78">
        <f t="shared" si="2"/>
        <v>0</v>
      </c>
    </row>
    <row r="23" spans="1:18">
      <c r="A23" s="77">
        <f>Main!C24</f>
        <v>0</v>
      </c>
      <c r="B23" s="77">
        <f>Main!D24</f>
        <v>0</v>
      </c>
      <c r="C23" s="74" t="str">
        <f t="shared" si="3"/>
        <v>-</v>
      </c>
      <c r="D23" s="74">
        <f t="shared" si="4"/>
        <v>0</v>
      </c>
      <c r="E23" s="75">
        <f t="shared" si="5"/>
        <v>0</v>
      </c>
      <c r="F23" s="75">
        <f t="shared" si="6"/>
        <v>0</v>
      </c>
      <c r="G23" s="74" t="str">
        <f t="shared" si="0"/>
        <v>-</v>
      </c>
      <c r="I23" s="74">
        <v>21</v>
      </c>
      <c r="J23" s="82">
        <f t="shared" si="7"/>
        <v>0</v>
      </c>
      <c r="K23" s="82">
        <f t="shared" si="8"/>
        <v>0</v>
      </c>
      <c r="M23" s="77">
        <f t="shared" si="9"/>
        <v>0</v>
      </c>
      <c r="N23" s="79">
        <f t="shared" si="1"/>
        <v>0</v>
      </c>
      <c r="O23" s="76">
        <f t="shared" si="10"/>
        <v>0</v>
      </c>
      <c r="Q23" s="77">
        <v>21</v>
      </c>
      <c r="R23" s="78">
        <f t="shared" si="2"/>
        <v>0</v>
      </c>
    </row>
    <row r="24" spans="1:18">
      <c r="A24" s="77">
        <f>Main!C25</f>
        <v>0</v>
      </c>
      <c r="B24" s="77">
        <f>Main!D25</f>
        <v>0</v>
      </c>
      <c r="C24" s="74" t="str">
        <f t="shared" si="3"/>
        <v>-</v>
      </c>
      <c r="D24" s="74">
        <f t="shared" si="4"/>
        <v>0</v>
      </c>
      <c r="E24" s="75">
        <f t="shared" si="5"/>
        <v>0</v>
      </c>
      <c r="F24" s="75">
        <f t="shared" si="6"/>
        <v>0</v>
      </c>
      <c r="G24" s="74" t="str">
        <f t="shared" si="0"/>
        <v>-</v>
      </c>
      <c r="I24" s="74">
        <v>22</v>
      </c>
      <c r="J24" s="82">
        <f t="shared" si="7"/>
        <v>0</v>
      </c>
      <c r="K24" s="82">
        <f t="shared" si="8"/>
        <v>0</v>
      </c>
      <c r="M24" s="77">
        <f t="shared" si="9"/>
        <v>0</v>
      </c>
      <c r="N24" s="79">
        <f t="shared" si="1"/>
        <v>0</v>
      </c>
      <c r="O24" s="76">
        <f t="shared" si="10"/>
        <v>0</v>
      </c>
      <c r="Q24" s="77">
        <v>22</v>
      </c>
      <c r="R24" s="78">
        <f t="shared" si="2"/>
        <v>0</v>
      </c>
    </row>
    <row r="25" spans="1:18">
      <c r="A25" s="77">
        <f>Main!C26</f>
        <v>0</v>
      </c>
      <c r="B25" s="77">
        <f>Main!D26</f>
        <v>0</v>
      </c>
      <c r="C25" s="74" t="str">
        <f t="shared" si="3"/>
        <v>-</v>
      </c>
      <c r="D25" s="74">
        <f t="shared" si="4"/>
        <v>0</v>
      </c>
      <c r="E25" s="75">
        <f t="shared" si="5"/>
        <v>0</v>
      </c>
      <c r="F25" s="75">
        <f t="shared" si="6"/>
        <v>0</v>
      </c>
      <c r="G25" s="74" t="str">
        <f t="shared" si="0"/>
        <v>-</v>
      </c>
      <c r="I25" s="74">
        <v>23</v>
      </c>
      <c r="J25" s="82">
        <f t="shared" si="7"/>
        <v>0</v>
      </c>
      <c r="K25" s="82">
        <f t="shared" si="8"/>
        <v>0</v>
      </c>
      <c r="M25" s="77">
        <f t="shared" si="9"/>
        <v>0</v>
      </c>
      <c r="N25" s="79">
        <f t="shared" si="1"/>
        <v>0</v>
      </c>
      <c r="O25" s="76">
        <f t="shared" si="10"/>
        <v>0</v>
      </c>
      <c r="Q25" s="77">
        <v>23</v>
      </c>
      <c r="R25" s="78">
        <f t="shared" si="2"/>
        <v>0</v>
      </c>
    </row>
    <row r="26" spans="1:18">
      <c r="A26" s="77">
        <f>Main!C27</f>
        <v>0</v>
      </c>
      <c r="B26" s="77">
        <f>Main!D27</f>
        <v>0</v>
      </c>
      <c r="C26" s="74" t="str">
        <f t="shared" si="3"/>
        <v>-</v>
      </c>
      <c r="D26" s="74">
        <f t="shared" si="4"/>
        <v>0</v>
      </c>
      <c r="E26" s="75">
        <f t="shared" si="5"/>
        <v>0</v>
      </c>
      <c r="F26" s="75">
        <f t="shared" si="6"/>
        <v>0</v>
      </c>
      <c r="G26" s="74" t="str">
        <f t="shared" si="0"/>
        <v>-</v>
      </c>
      <c r="I26" s="74">
        <v>24</v>
      </c>
      <c r="J26" s="82">
        <f t="shared" si="7"/>
        <v>0</v>
      </c>
      <c r="K26" s="82">
        <f t="shared" si="8"/>
        <v>0</v>
      </c>
      <c r="M26" s="77">
        <f t="shared" si="9"/>
        <v>0</v>
      </c>
      <c r="N26" s="79">
        <f t="shared" si="1"/>
        <v>0</v>
      </c>
      <c r="O26" s="76">
        <f t="shared" si="10"/>
        <v>0</v>
      </c>
      <c r="Q26" s="77">
        <v>24</v>
      </c>
      <c r="R26" s="78">
        <f t="shared" si="2"/>
        <v>0</v>
      </c>
    </row>
    <row r="27" spans="1:18">
      <c r="A27" s="77">
        <f>Main!C28</f>
        <v>0</v>
      </c>
      <c r="B27" s="77">
        <f>Main!D28</f>
        <v>0</v>
      </c>
      <c r="C27" s="74" t="str">
        <f t="shared" si="3"/>
        <v>-</v>
      </c>
      <c r="D27" s="74">
        <f t="shared" si="4"/>
        <v>0</v>
      </c>
      <c r="E27" s="75">
        <f t="shared" si="5"/>
        <v>0</v>
      </c>
      <c r="F27" s="75">
        <f t="shared" si="6"/>
        <v>0</v>
      </c>
      <c r="G27" s="74" t="str">
        <f t="shared" si="0"/>
        <v>-</v>
      </c>
      <c r="I27" s="74">
        <v>25</v>
      </c>
      <c r="J27" s="82">
        <f t="shared" si="7"/>
        <v>0</v>
      </c>
      <c r="K27" s="82">
        <f t="shared" si="8"/>
        <v>0</v>
      </c>
      <c r="M27" s="77">
        <f t="shared" si="9"/>
        <v>0</v>
      </c>
      <c r="N27" s="79">
        <f t="shared" si="1"/>
        <v>0</v>
      </c>
      <c r="O27" s="76">
        <f t="shared" si="10"/>
        <v>0</v>
      </c>
      <c r="Q27" s="77">
        <v>25</v>
      </c>
      <c r="R27" s="78">
        <f t="shared" si="2"/>
        <v>0</v>
      </c>
    </row>
    <row r="28" spans="1:18">
      <c r="A28" s="77">
        <f>Main!C29</f>
        <v>0</v>
      </c>
      <c r="B28" s="77">
        <f>Main!D29</f>
        <v>0</v>
      </c>
      <c r="C28" s="74" t="str">
        <f t="shared" si="3"/>
        <v>-</v>
      </c>
      <c r="D28" s="74">
        <f t="shared" si="4"/>
        <v>0</v>
      </c>
      <c r="E28" s="75">
        <f t="shared" si="5"/>
        <v>0</v>
      </c>
      <c r="F28" s="75">
        <f t="shared" si="6"/>
        <v>0</v>
      </c>
      <c r="G28" s="74" t="str">
        <f t="shared" si="0"/>
        <v>-</v>
      </c>
      <c r="I28" s="74">
        <v>26</v>
      </c>
      <c r="J28" s="82">
        <f t="shared" si="7"/>
        <v>0</v>
      </c>
      <c r="K28" s="82">
        <f t="shared" si="8"/>
        <v>0</v>
      </c>
      <c r="M28" s="77">
        <f t="shared" si="9"/>
        <v>0</v>
      </c>
      <c r="N28" s="79">
        <f t="shared" si="1"/>
        <v>0</v>
      </c>
      <c r="O28" s="76">
        <f t="shared" si="10"/>
        <v>0</v>
      </c>
      <c r="Q28" s="77">
        <v>26</v>
      </c>
      <c r="R28" s="78">
        <f t="shared" si="2"/>
        <v>0</v>
      </c>
    </row>
    <row r="29" spans="1:18">
      <c r="A29" s="77">
        <f>Main!C30</f>
        <v>0</v>
      </c>
      <c r="B29" s="77">
        <f>Main!D30</f>
        <v>0</v>
      </c>
      <c r="C29" s="74" t="str">
        <f t="shared" si="3"/>
        <v>-</v>
      </c>
      <c r="D29" s="74">
        <f t="shared" si="4"/>
        <v>0</v>
      </c>
      <c r="E29" s="75">
        <f t="shared" si="5"/>
        <v>0</v>
      </c>
      <c r="F29" s="75">
        <f t="shared" si="6"/>
        <v>0</v>
      </c>
      <c r="G29" s="74" t="str">
        <f t="shared" si="0"/>
        <v>-</v>
      </c>
      <c r="I29" s="74">
        <v>27</v>
      </c>
      <c r="J29" s="82">
        <f t="shared" si="7"/>
        <v>0</v>
      </c>
      <c r="K29" s="82">
        <f t="shared" si="8"/>
        <v>0</v>
      </c>
      <c r="M29" s="77">
        <f t="shared" si="9"/>
        <v>0</v>
      </c>
      <c r="N29" s="79">
        <f t="shared" si="1"/>
        <v>0</v>
      </c>
      <c r="O29" s="76">
        <f t="shared" si="10"/>
        <v>0</v>
      </c>
      <c r="Q29" s="77">
        <v>27</v>
      </c>
      <c r="R29" s="78">
        <f t="shared" si="2"/>
        <v>0</v>
      </c>
    </row>
    <row r="30" spans="1:18">
      <c r="A30" s="77">
        <f>Main!C31</f>
        <v>0</v>
      </c>
      <c r="B30" s="77">
        <f>Main!D31</f>
        <v>0</v>
      </c>
      <c r="C30" s="74" t="str">
        <f t="shared" si="3"/>
        <v>-</v>
      </c>
      <c r="D30" s="74">
        <f t="shared" si="4"/>
        <v>0</v>
      </c>
      <c r="E30" s="75">
        <f t="shared" si="5"/>
        <v>0</v>
      </c>
      <c r="F30" s="75">
        <f t="shared" si="6"/>
        <v>0</v>
      </c>
      <c r="G30" s="74" t="str">
        <f t="shared" si="0"/>
        <v>-</v>
      </c>
      <c r="I30" s="74">
        <v>28</v>
      </c>
      <c r="J30" s="82">
        <f t="shared" si="7"/>
        <v>0</v>
      </c>
      <c r="K30" s="82">
        <f t="shared" si="8"/>
        <v>0</v>
      </c>
      <c r="M30" s="77">
        <f t="shared" si="9"/>
        <v>0</v>
      </c>
      <c r="N30" s="79">
        <f t="shared" si="1"/>
        <v>0</v>
      </c>
      <c r="O30" s="76">
        <f t="shared" si="10"/>
        <v>0</v>
      </c>
      <c r="Q30" s="77">
        <v>28</v>
      </c>
      <c r="R30" s="78">
        <f t="shared" si="2"/>
        <v>0</v>
      </c>
    </row>
    <row r="31" spans="1:18">
      <c r="A31" s="77">
        <f>Main!C32</f>
        <v>0</v>
      </c>
      <c r="B31" s="77">
        <f>Main!D32</f>
        <v>0</v>
      </c>
      <c r="C31" s="74" t="str">
        <f t="shared" si="3"/>
        <v>-</v>
      </c>
      <c r="D31" s="74">
        <f t="shared" si="4"/>
        <v>0</v>
      </c>
      <c r="E31" s="75">
        <f t="shared" si="5"/>
        <v>0</v>
      </c>
      <c r="F31" s="75">
        <f t="shared" si="6"/>
        <v>0</v>
      </c>
      <c r="G31" s="74" t="str">
        <f t="shared" si="0"/>
        <v>-</v>
      </c>
      <c r="I31" s="74">
        <v>29</v>
      </c>
      <c r="J31" s="82">
        <f t="shared" si="7"/>
        <v>0</v>
      </c>
      <c r="K31" s="82">
        <f t="shared" si="8"/>
        <v>0</v>
      </c>
      <c r="M31" s="77">
        <f t="shared" si="9"/>
        <v>0</v>
      </c>
      <c r="N31" s="79">
        <f t="shared" si="1"/>
        <v>0</v>
      </c>
      <c r="O31" s="76">
        <f t="shared" si="10"/>
        <v>0</v>
      </c>
      <c r="Q31" s="77">
        <v>29</v>
      </c>
      <c r="R31" s="78">
        <f t="shared" si="2"/>
        <v>0</v>
      </c>
    </row>
    <row r="32" spans="1:18">
      <c r="A32" s="77">
        <f>Main!C33</f>
        <v>0</v>
      </c>
      <c r="B32" s="77">
        <f>Main!D33</f>
        <v>0</v>
      </c>
      <c r="C32" s="74" t="str">
        <f t="shared" si="3"/>
        <v>-</v>
      </c>
      <c r="D32" s="74">
        <f t="shared" si="4"/>
        <v>0</v>
      </c>
      <c r="E32" s="75">
        <f t="shared" si="5"/>
        <v>0</v>
      </c>
      <c r="F32" s="75">
        <f t="shared" si="6"/>
        <v>0</v>
      </c>
      <c r="G32" s="74" t="str">
        <f t="shared" si="0"/>
        <v>-</v>
      </c>
      <c r="I32" s="74">
        <v>30</v>
      </c>
      <c r="J32" s="82">
        <f t="shared" si="7"/>
        <v>0</v>
      </c>
      <c r="K32" s="82">
        <f t="shared" si="8"/>
        <v>0</v>
      </c>
      <c r="M32" s="77">
        <f t="shared" si="9"/>
        <v>0</v>
      </c>
      <c r="N32" s="79">
        <f t="shared" si="1"/>
        <v>0</v>
      </c>
      <c r="O32" s="76">
        <f t="shared" si="10"/>
        <v>0</v>
      </c>
      <c r="Q32" s="77">
        <v>30</v>
      </c>
      <c r="R32" s="78">
        <f t="shared" si="2"/>
        <v>0</v>
      </c>
    </row>
    <row r="33" spans="1:18">
      <c r="A33" s="77">
        <f>Main!C34</f>
        <v>0</v>
      </c>
      <c r="B33" s="77">
        <f>Main!D34</f>
        <v>0</v>
      </c>
      <c r="C33" s="74" t="str">
        <f t="shared" si="3"/>
        <v>-</v>
      </c>
      <c r="D33" s="74">
        <f t="shared" si="4"/>
        <v>0</v>
      </c>
      <c r="E33" s="75">
        <f t="shared" si="5"/>
        <v>0</v>
      </c>
      <c r="F33" s="75">
        <f t="shared" si="6"/>
        <v>0</v>
      </c>
      <c r="G33" s="74" t="str">
        <f t="shared" si="0"/>
        <v>-</v>
      </c>
      <c r="I33" s="74">
        <v>31</v>
      </c>
      <c r="J33" s="82">
        <f t="shared" si="7"/>
        <v>0</v>
      </c>
      <c r="K33" s="82">
        <f t="shared" si="8"/>
        <v>0</v>
      </c>
      <c r="M33" s="77">
        <f t="shared" si="9"/>
        <v>0</v>
      </c>
      <c r="N33" s="79">
        <f t="shared" si="1"/>
        <v>0</v>
      </c>
      <c r="O33" s="76">
        <f t="shared" si="10"/>
        <v>0</v>
      </c>
      <c r="Q33" s="77">
        <v>31</v>
      </c>
      <c r="R33" s="78">
        <f t="shared" si="2"/>
        <v>0</v>
      </c>
    </row>
    <row r="34" spans="1:18">
      <c r="A34" s="77">
        <f>Main!C35</f>
        <v>0</v>
      </c>
      <c r="B34" s="77">
        <f>Main!D35</f>
        <v>0</v>
      </c>
      <c r="C34" s="74" t="str">
        <f t="shared" si="3"/>
        <v>-</v>
      </c>
      <c r="D34" s="74">
        <f t="shared" si="4"/>
        <v>0</v>
      </c>
      <c r="E34" s="75">
        <f t="shared" si="5"/>
        <v>0</v>
      </c>
      <c r="F34" s="75">
        <f t="shared" si="6"/>
        <v>0</v>
      </c>
      <c r="G34" s="74" t="str">
        <f t="shared" si="0"/>
        <v>-</v>
      </c>
      <c r="I34" s="74">
        <v>32</v>
      </c>
      <c r="J34" s="82">
        <f t="shared" si="7"/>
        <v>0</v>
      </c>
      <c r="K34" s="82">
        <f t="shared" si="8"/>
        <v>0</v>
      </c>
      <c r="M34" s="77">
        <f t="shared" si="9"/>
        <v>0</v>
      </c>
      <c r="N34" s="79">
        <f t="shared" si="1"/>
        <v>0</v>
      </c>
      <c r="O34" s="76">
        <f t="shared" si="10"/>
        <v>0</v>
      </c>
      <c r="Q34" s="77">
        <v>32</v>
      </c>
      <c r="R34" s="78">
        <f t="shared" si="2"/>
        <v>0</v>
      </c>
    </row>
    <row r="35" spans="1:18">
      <c r="A35" s="77">
        <f>Main!C36</f>
        <v>0</v>
      </c>
      <c r="B35" s="77">
        <f>Main!D36</f>
        <v>0</v>
      </c>
      <c r="C35" s="74" t="str">
        <f t="shared" si="3"/>
        <v>-</v>
      </c>
      <c r="D35" s="74">
        <f t="shared" si="4"/>
        <v>0</v>
      </c>
      <c r="E35" s="75">
        <f t="shared" si="5"/>
        <v>0</v>
      </c>
      <c r="F35" s="75">
        <f t="shared" si="6"/>
        <v>0</v>
      </c>
      <c r="G35" s="74" t="str">
        <f t="shared" si="0"/>
        <v>-</v>
      </c>
      <c r="I35" s="74">
        <v>33</v>
      </c>
      <c r="J35" s="82">
        <f t="shared" si="7"/>
        <v>0</v>
      </c>
      <c r="K35" s="82">
        <f t="shared" si="8"/>
        <v>0</v>
      </c>
      <c r="M35" s="77">
        <f t="shared" si="9"/>
        <v>0</v>
      </c>
      <c r="N35" s="79">
        <f t="shared" si="1"/>
        <v>0</v>
      </c>
      <c r="O35" s="76">
        <f t="shared" si="10"/>
        <v>0</v>
      </c>
      <c r="Q35" s="77">
        <v>33</v>
      </c>
      <c r="R35" s="78">
        <f t="shared" ref="R35:R66" si="11">IF(Q35&gt;MAX($O$3:$O$100),0,INDEX($A$3:$A$100, MATCH(Q35,$O$3:$O$100,0)))</f>
        <v>0</v>
      </c>
    </row>
    <row r="36" spans="1:18">
      <c r="A36" s="77">
        <f>Main!C37</f>
        <v>0</v>
      </c>
      <c r="B36" s="77">
        <f>Main!D37</f>
        <v>0</v>
      </c>
      <c r="C36" s="74" t="str">
        <f t="shared" si="3"/>
        <v>-</v>
      </c>
      <c r="D36" s="74">
        <f t="shared" si="4"/>
        <v>0</v>
      </c>
      <c r="E36" s="75">
        <f t="shared" si="5"/>
        <v>0</v>
      </c>
      <c r="F36" s="75">
        <f t="shared" si="6"/>
        <v>0</v>
      </c>
      <c r="G36" s="74" t="str">
        <f t="shared" si="0"/>
        <v>-</v>
      </c>
      <c r="I36" s="74">
        <v>34</v>
      </c>
      <c r="J36" s="82">
        <f t="shared" si="7"/>
        <v>0</v>
      </c>
      <c r="K36" s="82">
        <f t="shared" si="8"/>
        <v>0</v>
      </c>
      <c r="M36" s="77">
        <f t="shared" si="9"/>
        <v>0</v>
      </c>
      <c r="N36" s="79">
        <f t="shared" si="1"/>
        <v>0</v>
      </c>
      <c r="O36" s="76">
        <f t="shared" si="10"/>
        <v>0</v>
      </c>
      <c r="Q36" s="77">
        <v>34</v>
      </c>
      <c r="R36" s="78">
        <f t="shared" si="11"/>
        <v>0</v>
      </c>
    </row>
    <row r="37" spans="1:18">
      <c r="A37" s="77">
        <f>Main!C38</f>
        <v>0</v>
      </c>
      <c r="B37" s="77">
        <f>Main!D38</f>
        <v>0</v>
      </c>
      <c r="C37" s="74" t="str">
        <f t="shared" si="3"/>
        <v>-</v>
      </c>
      <c r="D37" s="74">
        <f t="shared" si="4"/>
        <v>0</v>
      </c>
      <c r="E37" s="75">
        <f t="shared" si="5"/>
        <v>0</v>
      </c>
      <c r="F37" s="75">
        <f t="shared" si="6"/>
        <v>0</v>
      </c>
      <c r="G37" s="74" t="str">
        <f t="shared" si="0"/>
        <v>-</v>
      </c>
      <c r="I37" s="74">
        <v>35</v>
      </c>
      <c r="J37" s="82">
        <f t="shared" si="7"/>
        <v>0</v>
      </c>
      <c r="K37" s="82">
        <f t="shared" si="8"/>
        <v>0</v>
      </c>
      <c r="M37" s="77">
        <f t="shared" si="9"/>
        <v>0</v>
      </c>
      <c r="N37" s="79">
        <f t="shared" si="1"/>
        <v>0</v>
      </c>
      <c r="O37" s="76">
        <f t="shared" si="10"/>
        <v>0</v>
      </c>
      <c r="Q37" s="77">
        <v>35</v>
      </c>
      <c r="R37" s="78">
        <f t="shared" si="11"/>
        <v>0</v>
      </c>
    </row>
    <row r="38" spans="1:18">
      <c r="A38" s="77">
        <f>Main!C39</f>
        <v>0</v>
      </c>
      <c r="B38" s="77">
        <f>Main!D39</f>
        <v>0</v>
      </c>
      <c r="C38" s="74" t="str">
        <f t="shared" si="3"/>
        <v>-</v>
      </c>
      <c r="D38" s="74">
        <f t="shared" si="4"/>
        <v>0</v>
      </c>
      <c r="E38" s="75">
        <f t="shared" si="5"/>
        <v>0</v>
      </c>
      <c r="F38" s="75">
        <f t="shared" si="6"/>
        <v>0</v>
      </c>
      <c r="G38" s="74" t="str">
        <f t="shared" si="0"/>
        <v>-</v>
      </c>
      <c r="I38" s="74">
        <v>36</v>
      </c>
      <c r="J38" s="82">
        <f t="shared" si="7"/>
        <v>0</v>
      </c>
      <c r="K38" s="82">
        <f t="shared" si="8"/>
        <v>0</v>
      </c>
      <c r="M38" s="77">
        <f t="shared" si="9"/>
        <v>0</v>
      </c>
      <c r="N38" s="79">
        <f t="shared" si="1"/>
        <v>0</v>
      </c>
      <c r="O38" s="76">
        <f t="shared" si="10"/>
        <v>0</v>
      </c>
      <c r="Q38" s="77">
        <v>36</v>
      </c>
      <c r="R38" s="78">
        <f t="shared" si="11"/>
        <v>0</v>
      </c>
    </row>
    <row r="39" spans="1:18">
      <c r="A39" s="77">
        <f>Main!C40</f>
        <v>0</v>
      </c>
      <c r="B39" s="77">
        <f>Main!D40</f>
        <v>0</v>
      </c>
      <c r="C39" s="74" t="str">
        <f t="shared" si="3"/>
        <v>-</v>
      </c>
      <c r="D39" s="74">
        <f t="shared" si="4"/>
        <v>0</v>
      </c>
      <c r="E39" s="75">
        <f t="shared" si="5"/>
        <v>0</v>
      </c>
      <c r="F39" s="75">
        <f t="shared" si="6"/>
        <v>0</v>
      </c>
      <c r="G39" s="74" t="str">
        <f t="shared" si="0"/>
        <v>-</v>
      </c>
      <c r="I39" s="74">
        <v>37</v>
      </c>
      <c r="J39" s="82">
        <f t="shared" si="7"/>
        <v>0</v>
      </c>
      <c r="K39" s="82">
        <f t="shared" si="8"/>
        <v>0</v>
      </c>
      <c r="M39" s="77">
        <f t="shared" si="9"/>
        <v>0</v>
      </c>
      <c r="N39" s="79">
        <f t="shared" si="1"/>
        <v>0</v>
      </c>
      <c r="O39" s="76">
        <f t="shared" si="10"/>
        <v>0</v>
      </c>
      <c r="Q39" s="77">
        <v>37</v>
      </c>
      <c r="R39" s="78">
        <f t="shared" si="11"/>
        <v>0</v>
      </c>
    </row>
    <row r="40" spans="1:18">
      <c r="A40" s="77">
        <f>Main!C41</f>
        <v>0</v>
      </c>
      <c r="B40" s="77">
        <f>Main!D41</f>
        <v>0</v>
      </c>
      <c r="C40" s="74" t="str">
        <f t="shared" si="3"/>
        <v>-</v>
      </c>
      <c r="D40" s="74">
        <f t="shared" si="4"/>
        <v>0</v>
      </c>
      <c r="E40" s="75">
        <f t="shared" si="5"/>
        <v>0</v>
      </c>
      <c r="F40" s="75">
        <f t="shared" si="6"/>
        <v>0</v>
      </c>
      <c r="G40" s="74" t="str">
        <f t="shared" si="0"/>
        <v>-</v>
      </c>
      <c r="I40" s="74">
        <v>38</v>
      </c>
      <c r="J40" s="82">
        <f t="shared" si="7"/>
        <v>0</v>
      </c>
      <c r="K40" s="82">
        <f t="shared" si="8"/>
        <v>0</v>
      </c>
      <c r="M40" s="77">
        <f t="shared" si="9"/>
        <v>0</v>
      </c>
      <c r="N40" s="79">
        <f t="shared" si="1"/>
        <v>0</v>
      </c>
      <c r="O40" s="76">
        <f t="shared" si="10"/>
        <v>0</v>
      </c>
      <c r="Q40" s="77">
        <v>38</v>
      </c>
      <c r="R40" s="78">
        <f t="shared" si="11"/>
        <v>0</v>
      </c>
    </row>
    <row r="41" spans="1:18">
      <c r="A41" s="77">
        <f>Main!C42</f>
        <v>0</v>
      </c>
      <c r="B41" s="77">
        <f>Main!D42</f>
        <v>0</v>
      </c>
      <c r="C41" s="74" t="str">
        <f t="shared" si="3"/>
        <v>-</v>
      </c>
      <c r="D41" s="74">
        <f t="shared" si="4"/>
        <v>0</v>
      </c>
      <c r="E41" s="75">
        <f t="shared" si="5"/>
        <v>0</v>
      </c>
      <c r="F41" s="75">
        <f t="shared" si="6"/>
        <v>0</v>
      </c>
      <c r="G41" s="74" t="str">
        <f t="shared" si="0"/>
        <v>-</v>
      </c>
      <c r="I41" s="74">
        <v>39</v>
      </c>
      <c r="J41" s="82">
        <f t="shared" si="7"/>
        <v>0</v>
      </c>
      <c r="K41" s="82">
        <f t="shared" si="8"/>
        <v>0</v>
      </c>
      <c r="M41" s="77">
        <f t="shared" si="9"/>
        <v>0</v>
      </c>
      <c r="N41" s="79">
        <f t="shared" si="1"/>
        <v>0</v>
      </c>
      <c r="O41" s="76">
        <f t="shared" si="10"/>
        <v>0</v>
      </c>
      <c r="Q41" s="77">
        <v>39</v>
      </c>
      <c r="R41" s="78">
        <f t="shared" si="11"/>
        <v>0</v>
      </c>
    </row>
    <row r="42" spans="1:18">
      <c r="A42" s="77">
        <f>Main!C43</f>
        <v>0</v>
      </c>
      <c r="B42" s="77">
        <f>Main!D43</f>
        <v>0</v>
      </c>
      <c r="C42" s="74" t="str">
        <f t="shared" si="3"/>
        <v>-</v>
      </c>
      <c r="D42" s="74">
        <f t="shared" si="4"/>
        <v>0</v>
      </c>
      <c r="E42" s="75">
        <f t="shared" si="5"/>
        <v>0</v>
      </c>
      <c r="F42" s="75">
        <f t="shared" si="6"/>
        <v>0</v>
      </c>
      <c r="G42" s="74" t="str">
        <f t="shared" si="0"/>
        <v>-</v>
      </c>
      <c r="I42" s="74">
        <v>40</v>
      </c>
      <c r="J42" s="82">
        <f t="shared" si="7"/>
        <v>0</v>
      </c>
      <c r="K42" s="82">
        <f t="shared" si="8"/>
        <v>0</v>
      </c>
      <c r="M42" s="77">
        <f t="shared" si="9"/>
        <v>0</v>
      </c>
      <c r="N42" s="79">
        <f t="shared" si="1"/>
        <v>0</v>
      </c>
      <c r="O42" s="76">
        <f t="shared" si="10"/>
        <v>0</v>
      </c>
      <c r="Q42" s="77">
        <v>40</v>
      </c>
      <c r="R42" s="78">
        <f t="shared" si="11"/>
        <v>0</v>
      </c>
    </row>
    <row r="43" spans="1:18">
      <c r="A43" s="77">
        <f>Main!C44</f>
        <v>0</v>
      </c>
      <c r="B43" s="77">
        <f>Main!D44</f>
        <v>0</v>
      </c>
      <c r="C43" s="74" t="str">
        <f t="shared" si="3"/>
        <v>-</v>
      </c>
      <c r="D43" s="74">
        <f t="shared" si="4"/>
        <v>0</v>
      </c>
      <c r="E43" s="75">
        <f t="shared" si="5"/>
        <v>0</v>
      </c>
      <c r="F43" s="75">
        <f t="shared" si="6"/>
        <v>0</v>
      </c>
      <c r="G43" s="74" t="str">
        <f t="shared" si="0"/>
        <v>-</v>
      </c>
      <c r="I43" s="74">
        <v>41</v>
      </c>
      <c r="J43" s="82">
        <f t="shared" si="7"/>
        <v>0</v>
      </c>
      <c r="K43" s="82">
        <f t="shared" si="8"/>
        <v>0</v>
      </c>
      <c r="M43" s="77">
        <f t="shared" si="9"/>
        <v>0</v>
      </c>
      <c r="N43" s="79">
        <f t="shared" si="1"/>
        <v>0</v>
      </c>
      <c r="O43" s="76">
        <f t="shared" si="10"/>
        <v>0</v>
      </c>
      <c r="Q43" s="77">
        <v>41</v>
      </c>
      <c r="R43" s="78">
        <f t="shared" si="11"/>
        <v>0</v>
      </c>
    </row>
    <row r="44" spans="1:18">
      <c r="A44" s="77">
        <f>Main!C45</f>
        <v>0</v>
      </c>
      <c r="B44" s="77">
        <f>Main!D45</f>
        <v>0</v>
      </c>
      <c r="C44" s="74" t="str">
        <f t="shared" si="3"/>
        <v>-</v>
      </c>
      <c r="D44" s="74">
        <f t="shared" si="4"/>
        <v>0</v>
      </c>
      <c r="E44" s="75">
        <f t="shared" si="5"/>
        <v>0</v>
      </c>
      <c r="F44" s="75">
        <f t="shared" si="6"/>
        <v>0</v>
      </c>
      <c r="G44" s="74" t="str">
        <f t="shared" si="0"/>
        <v>-</v>
      </c>
      <c r="I44" s="74">
        <v>42</v>
      </c>
      <c r="J44" s="82">
        <f t="shared" si="7"/>
        <v>0</v>
      </c>
      <c r="K44" s="82">
        <f t="shared" si="8"/>
        <v>0</v>
      </c>
      <c r="M44" s="77">
        <f t="shared" si="9"/>
        <v>0</v>
      </c>
      <c r="N44" s="79">
        <f t="shared" si="1"/>
        <v>0</v>
      </c>
      <c r="O44" s="76">
        <f t="shared" si="10"/>
        <v>0</v>
      </c>
      <c r="Q44" s="77">
        <v>42</v>
      </c>
      <c r="R44" s="78">
        <f t="shared" si="11"/>
        <v>0</v>
      </c>
    </row>
    <row r="45" spans="1:18">
      <c r="A45" s="77">
        <f>Main!C46</f>
        <v>0</v>
      </c>
      <c r="B45" s="77">
        <f>Main!D46</f>
        <v>0</v>
      </c>
      <c r="C45" s="74" t="str">
        <f t="shared" si="3"/>
        <v>-</v>
      </c>
      <c r="D45" s="74">
        <f t="shared" si="4"/>
        <v>0</v>
      </c>
      <c r="E45" s="75">
        <f t="shared" si="5"/>
        <v>0</v>
      </c>
      <c r="F45" s="75">
        <f t="shared" si="6"/>
        <v>0</v>
      </c>
      <c r="G45" s="74" t="str">
        <f t="shared" si="0"/>
        <v>-</v>
      </c>
      <c r="I45" s="74">
        <v>43</v>
      </c>
      <c r="J45" s="82">
        <f t="shared" si="7"/>
        <v>0</v>
      </c>
      <c r="K45" s="82">
        <f t="shared" si="8"/>
        <v>0</v>
      </c>
      <c r="M45" s="77">
        <f t="shared" si="9"/>
        <v>0</v>
      </c>
      <c r="N45" s="79">
        <f t="shared" si="1"/>
        <v>0</v>
      </c>
      <c r="O45" s="76">
        <f t="shared" si="10"/>
        <v>0</v>
      </c>
      <c r="Q45" s="77">
        <v>43</v>
      </c>
      <c r="R45" s="78">
        <f t="shared" si="11"/>
        <v>0</v>
      </c>
    </row>
    <row r="46" spans="1:18">
      <c r="A46" s="77">
        <f>Main!C47</f>
        <v>0</v>
      </c>
      <c r="B46" s="77">
        <f>Main!D47</f>
        <v>0</v>
      </c>
      <c r="C46" s="74" t="str">
        <f t="shared" si="3"/>
        <v>-</v>
      </c>
      <c r="D46" s="74">
        <f t="shared" si="4"/>
        <v>0</v>
      </c>
      <c r="E46" s="75">
        <f t="shared" si="5"/>
        <v>0</v>
      </c>
      <c r="F46" s="75">
        <f t="shared" si="6"/>
        <v>0</v>
      </c>
      <c r="G46" s="74" t="str">
        <f t="shared" si="0"/>
        <v>-</v>
      </c>
      <c r="I46" s="74">
        <v>44</v>
      </c>
      <c r="J46" s="82">
        <f t="shared" si="7"/>
        <v>0</v>
      </c>
      <c r="K46" s="82">
        <f t="shared" si="8"/>
        <v>0</v>
      </c>
      <c r="M46" s="77">
        <f t="shared" si="9"/>
        <v>0</v>
      </c>
      <c r="N46" s="79">
        <f t="shared" si="1"/>
        <v>0</v>
      </c>
      <c r="O46" s="76">
        <f t="shared" si="10"/>
        <v>0</v>
      </c>
      <c r="Q46" s="77">
        <v>44</v>
      </c>
      <c r="R46" s="78">
        <f t="shared" si="11"/>
        <v>0</v>
      </c>
    </row>
    <row r="47" spans="1:18">
      <c r="A47" s="77">
        <f>Main!C48</f>
        <v>0</v>
      </c>
      <c r="B47" s="77">
        <f>Main!D48</f>
        <v>0</v>
      </c>
      <c r="C47" s="74" t="str">
        <f t="shared" si="3"/>
        <v>-</v>
      </c>
      <c r="D47" s="74">
        <f t="shared" si="4"/>
        <v>0</v>
      </c>
      <c r="E47" s="75">
        <f t="shared" si="5"/>
        <v>0</v>
      </c>
      <c r="F47" s="75">
        <f t="shared" si="6"/>
        <v>0</v>
      </c>
      <c r="G47" s="74" t="str">
        <f t="shared" si="0"/>
        <v>-</v>
      </c>
      <c r="I47" s="74">
        <v>45</v>
      </c>
      <c r="J47" s="82">
        <f t="shared" si="7"/>
        <v>0</v>
      </c>
      <c r="K47" s="82">
        <f t="shared" si="8"/>
        <v>0</v>
      </c>
      <c r="M47" s="77">
        <f t="shared" si="9"/>
        <v>0</v>
      </c>
      <c r="N47" s="79">
        <f t="shared" si="1"/>
        <v>0</v>
      </c>
      <c r="O47" s="76">
        <f t="shared" si="10"/>
        <v>0</v>
      </c>
      <c r="Q47" s="77">
        <v>45</v>
      </c>
      <c r="R47" s="78">
        <f t="shared" si="11"/>
        <v>0</v>
      </c>
    </row>
    <row r="48" spans="1:18">
      <c r="A48" s="77">
        <f>Main!C49</f>
        <v>0</v>
      </c>
      <c r="B48" s="77">
        <f>Main!D49</f>
        <v>0</v>
      </c>
      <c r="C48" s="74" t="str">
        <f t="shared" si="3"/>
        <v>-</v>
      </c>
      <c r="D48" s="74">
        <f t="shared" si="4"/>
        <v>0</v>
      </c>
      <c r="E48" s="75">
        <f t="shared" si="5"/>
        <v>0</v>
      </c>
      <c r="F48" s="75">
        <f t="shared" si="6"/>
        <v>0</v>
      </c>
      <c r="G48" s="74" t="str">
        <f t="shared" si="0"/>
        <v>-</v>
      </c>
      <c r="I48" s="74">
        <v>46</v>
      </c>
      <c r="J48" s="82">
        <f t="shared" si="7"/>
        <v>0</v>
      </c>
      <c r="K48" s="82">
        <f t="shared" si="8"/>
        <v>0</v>
      </c>
      <c r="M48" s="77">
        <f t="shared" si="9"/>
        <v>0</v>
      </c>
      <c r="N48" s="79">
        <f t="shared" si="1"/>
        <v>0</v>
      </c>
      <c r="O48" s="76">
        <f t="shared" si="10"/>
        <v>0</v>
      </c>
      <c r="Q48" s="77">
        <v>46</v>
      </c>
      <c r="R48" s="78">
        <f t="shared" si="11"/>
        <v>0</v>
      </c>
    </row>
    <row r="49" spans="1:18">
      <c r="A49" s="77">
        <f>Main!C50</f>
        <v>0</v>
      </c>
      <c r="B49" s="77">
        <f>Main!D50</f>
        <v>0</v>
      </c>
      <c r="C49" s="74" t="str">
        <f t="shared" si="3"/>
        <v>-</v>
      </c>
      <c r="D49" s="74">
        <f t="shared" si="4"/>
        <v>0</v>
      </c>
      <c r="E49" s="75">
        <f t="shared" si="5"/>
        <v>0</v>
      </c>
      <c r="F49" s="75">
        <f t="shared" si="6"/>
        <v>0</v>
      </c>
      <c r="G49" s="74" t="str">
        <f t="shared" si="0"/>
        <v>-</v>
      </c>
      <c r="I49" s="74">
        <v>47</v>
      </c>
      <c r="J49" s="82">
        <f t="shared" si="7"/>
        <v>0</v>
      </c>
      <c r="K49" s="82">
        <f t="shared" si="8"/>
        <v>0</v>
      </c>
      <c r="M49" s="77">
        <f t="shared" si="9"/>
        <v>0</v>
      </c>
      <c r="N49" s="79">
        <f t="shared" si="1"/>
        <v>0</v>
      </c>
      <c r="O49" s="76">
        <f t="shared" si="10"/>
        <v>0</v>
      </c>
      <c r="Q49" s="77">
        <v>47</v>
      </c>
      <c r="R49" s="78">
        <f t="shared" si="11"/>
        <v>0</v>
      </c>
    </row>
    <row r="50" spans="1:18">
      <c r="A50" s="77">
        <f>Main!C51</f>
        <v>0</v>
      </c>
      <c r="B50" s="77">
        <f>Main!D51</f>
        <v>0</v>
      </c>
      <c r="C50" s="74" t="str">
        <f t="shared" si="3"/>
        <v>-</v>
      </c>
      <c r="D50" s="74">
        <f t="shared" si="4"/>
        <v>0</v>
      </c>
      <c r="E50" s="75">
        <f t="shared" si="5"/>
        <v>0</v>
      </c>
      <c r="F50" s="75">
        <f t="shared" si="6"/>
        <v>0</v>
      </c>
      <c r="G50" s="74" t="str">
        <f t="shared" si="0"/>
        <v>-</v>
      </c>
      <c r="I50" s="74">
        <v>48</v>
      </c>
      <c r="J50" s="82">
        <f t="shared" si="7"/>
        <v>0</v>
      </c>
      <c r="K50" s="82">
        <f t="shared" si="8"/>
        <v>0</v>
      </c>
      <c r="M50" s="77">
        <f t="shared" si="9"/>
        <v>0</v>
      </c>
      <c r="N50" s="79">
        <f t="shared" si="1"/>
        <v>0</v>
      </c>
      <c r="O50" s="76">
        <f t="shared" si="10"/>
        <v>0</v>
      </c>
      <c r="Q50" s="77">
        <v>48</v>
      </c>
      <c r="R50" s="78">
        <f t="shared" si="11"/>
        <v>0</v>
      </c>
    </row>
    <row r="51" spans="1:18">
      <c r="A51" s="77">
        <f>Main!C52</f>
        <v>0</v>
      </c>
      <c r="B51" s="77">
        <f>Main!D52</f>
        <v>0</v>
      </c>
      <c r="C51" s="74" t="str">
        <f t="shared" si="3"/>
        <v>-</v>
      </c>
      <c r="D51" s="74">
        <f t="shared" si="4"/>
        <v>0</v>
      </c>
      <c r="E51" s="75">
        <f t="shared" si="5"/>
        <v>0</v>
      </c>
      <c r="F51" s="75">
        <f t="shared" si="6"/>
        <v>0</v>
      </c>
      <c r="G51" s="74" t="str">
        <f t="shared" si="0"/>
        <v>-</v>
      </c>
      <c r="I51" s="74">
        <v>49</v>
      </c>
      <c r="J51" s="82">
        <f t="shared" si="7"/>
        <v>0</v>
      </c>
      <c r="K51" s="82">
        <f t="shared" si="8"/>
        <v>0</v>
      </c>
      <c r="M51" s="77">
        <f t="shared" si="9"/>
        <v>0</v>
      </c>
      <c r="N51" s="79">
        <f t="shared" si="1"/>
        <v>0</v>
      </c>
      <c r="O51" s="76">
        <f t="shared" si="10"/>
        <v>0</v>
      </c>
      <c r="Q51" s="77">
        <v>49</v>
      </c>
      <c r="R51" s="78">
        <f t="shared" si="11"/>
        <v>0</v>
      </c>
    </row>
    <row r="52" spans="1:18">
      <c r="A52" s="77">
        <f>Main!C53</f>
        <v>0</v>
      </c>
      <c r="B52" s="77">
        <f>Main!D53</f>
        <v>0</v>
      </c>
      <c r="C52" s="74" t="str">
        <f t="shared" si="3"/>
        <v>-</v>
      </c>
      <c r="D52" s="74">
        <f t="shared" si="4"/>
        <v>0</v>
      </c>
      <c r="E52" s="75">
        <f t="shared" si="5"/>
        <v>0</v>
      </c>
      <c r="F52" s="75">
        <f t="shared" si="6"/>
        <v>0</v>
      </c>
      <c r="G52" s="74" t="str">
        <f t="shared" si="0"/>
        <v>-</v>
      </c>
      <c r="I52" s="74">
        <v>50</v>
      </c>
      <c r="J52" s="82">
        <f t="shared" si="7"/>
        <v>0</v>
      </c>
      <c r="K52" s="82">
        <f t="shared" si="8"/>
        <v>0</v>
      </c>
      <c r="M52" s="77">
        <f t="shared" si="9"/>
        <v>0</v>
      </c>
      <c r="N52" s="79">
        <f t="shared" si="1"/>
        <v>0</v>
      </c>
      <c r="O52" s="76">
        <f t="shared" si="10"/>
        <v>0</v>
      </c>
      <c r="Q52" s="77">
        <v>50</v>
      </c>
      <c r="R52" s="78">
        <f t="shared" si="11"/>
        <v>0</v>
      </c>
    </row>
    <row r="53" spans="1:18">
      <c r="A53" s="77">
        <f>Main!C54</f>
        <v>0</v>
      </c>
      <c r="B53" s="77">
        <f>Main!D54</f>
        <v>0</v>
      </c>
      <c r="C53" s="74" t="str">
        <f t="shared" si="3"/>
        <v>-</v>
      </c>
      <c r="D53" s="74">
        <f t="shared" si="4"/>
        <v>0</v>
      </c>
      <c r="E53" s="75">
        <f t="shared" si="5"/>
        <v>0</v>
      </c>
      <c r="F53" s="75">
        <f t="shared" si="6"/>
        <v>0</v>
      </c>
      <c r="G53" s="74" t="str">
        <f t="shared" si="0"/>
        <v>-</v>
      </c>
      <c r="I53" s="74">
        <v>51</v>
      </c>
      <c r="J53" s="82">
        <f t="shared" si="7"/>
        <v>0</v>
      </c>
      <c r="K53" s="82">
        <f t="shared" si="8"/>
        <v>0</v>
      </c>
      <c r="M53" s="77">
        <f t="shared" si="9"/>
        <v>0</v>
      </c>
      <c r="N53" s="79">
        <f t="shared" si="1"/>
        <v>0</v>
      </c>
      <c r="O53" s="76">
        <f t="shared" si="10"/>
        <v>0</v>
      </c>
      <c r="Q53" s="77">
        <v>51</v>
      </c>
      <c r="R53" s="78">
        <f t="shared" si="11"/>
        <v>0</v>
      </c>
    </row>
    <row r="54" spans="1:18">
      <c r="A54" s="77">
        <f>Main!C55</f>
        <v>0</v>
      </c>
      <c r="B54" s="77">
        <f>Main!D55</f>
        <v>0</v>
      </c>
      <c r="C54" s="74" t="str">
        <f t="shared" si="3"/>
        <v>-</v>
      </c>
      <c r="D54" s="74">
        <f t="shared" si="4"/>
        <v>0</v>
      </c>
      <c r="E54" s="75">
        <f t="shared" si="5"/>
        <v>0</v>
      </c>
      <c r="F54" s="75">
        <f t="shared" si="6"/>
        <v>0</v>
      </c>
      <c r="G54" s="74" t="str">
        <f t="shared" si="0"/>
        <v>-</v>
      </c>
      <c r="I54" s="74">
        <v>52</v>
      </c>
      <c r="J54" s="82">
        <f t="shared" si="7"/>
        <v>0</v>
      </c>
      <c r="K54" s="82">
        <f t="shared" si="8"/>
        <v>0</v>
      </c>
      <c r="M54" s="77">
        <f t="shared" si="9"/>
        <v>0</v>
      </c>
      <c r="N54" s="79">
        <f t="shared" si="1"/>
        <v>0</v>
      </c>
      <c r="O54" s="76">
        <f t="shared" si="10"/>
        <v>0</v>
      </c>
      <c r="Q54" s="77">
        <v>52</v>
      </c>
      <c r="R54" s="78">
        <f t="shared" si="11"/>
        <v>0</v>
      </c>
    </row>
    <row r="55" spans="1:18">
      <c r="A55" s="77">
        <f>Main!C56</f>
        <v>0</v>
      </c>
      <c r="B55" s="77">
        <f>Main!D56</f>
        <v>0</v>
      </c>
      <c r="C55" s="74" t="str">
        <f t="shared" si="3"/>
        <v>-</v>
      </c>
      <c r="D55" s="74">
        <f t="shared" si="4"/>
        <v>0</v>
      </c>
      <c r="E55" s="75">
        <f t="shared" si="5"/>
        <v>0</v>
      </c>
      <c r="F55" s="75">
        <f t="shared" si="6"/>
        <v>0</v>
      </c>
      <c r="G55" s="74" t="str">
        <f t="shared" si="0"/>
        <v>-</v>
      </c>
      <c r="I55" s="74">
        <v>53</v>
      </c>
      <c r="J55" s="82">
        <f t="shared" si="7"/>
        <v>0</v>
      </c>
      <c r="K55" s="82">
        <f t="shared" si="8"/>
        <v>0</v>
      </c>
      <c r="M55" s="77">
        <f t="shared" si="9"/>
        <v>0</v>
      </c>
      <c r="N55" s="79">
        <f t="shared" si="1"/>
        <v>0</v>
      </c>
      <c r="O55" s="76">
        <f t="shared" si="10"/>
        <v>0</v>
      </c>
      <c r="Q55" s="77">
        <v>53</v>
      </c>
      <c r="R55" s="78">
        <f t="shared" si="11"/>
        <v>0</v>
      </c>
    </row>
    <row r="56" spans="1:18">
      <c r="A56" s="77">
        <f>Main!C57</f>
        <v>0</v>
      </c>
      <c r="B56" s="77">
        <f>Main!D57</f>
        <v>0</v>
      </c>
      <c r="C56" s="74" t="str">
        <f t="shared" si="3"/>
        <v>-</v>
      </c>
      <c r="D56" s="74">
        <f t="shared" si="4"/>
        <v>0</v>
      </c>
      <c r="E56" s="75">
        <f t="shared" si="5"/>
        <v>0</v>
      </c>
      <c r="F56" s="75">
        <f t="shared" si="6"/>
        <v>0</v>
      </c>
      <c r="G56" s="74" t="str">
        <f t="shared" si="0"/>
        <v>-</v>
      </c>
      <c r="I56" s="74">
        <v>54</v>
      </c>
      <c r="J56" s="82">
        <f t="shared" si="7"/>
        <v>0</v>
      </c>
      <c r="K56" s="82">
        <f t="shared" si="8"/>
        <v>0</v>
      </c>
      <c r="M56" s="77">
        <f t="shared" si="9"/>
        <v>0</v>
      </c>
      <c r="N56" s="79">
        <f t="shared" si="1"/>
        <v>0</v>
      </c>
      <c r="O56" s="76">
        <f t="shared" si="10"/>
        <v>0</v>
      </c>
      <c r="Q56" s="77">
        <v>54</v>
      </c>
      <c r="R56" s="78">
        <f t="shared" si="11"/>
        <v>0</v>
      </c>
    </row>
    <row r="57" spans="1:18">
      <c r="A57" s="77">
        <f>Main!C58</f>
        <v>0</v>
      </c>
      <c r="B57" s="77">
        <f>Main!D58</f>
        <v>0</v>
      </c>
      <c r="C57" s="74" t="str">
        <f t="shared" si="3"/>
        <v>-</v>
      </c>
      <c r="D57" s="74">
        <f t="shared" si="4"/>
        <v>0</v>
      </c>
      <c r="E57" s="75">
        <f t="shared" si="5"/>
        <v>0</v>
      </c>
      <c r="F57" s="75">
        <f t="shared" si="6"/>
        <v>0</v>
      </c>
      <c r="G57" s="74" t="str">
        <f t="shared" si="0"/>
        <v>-</v>
      </c>
      <c r="I57" s="74">
        <v>55</v>
      </c>
      <c r="J57" s="82">
        <f t="shared" si="7"/>
        <v>0</v>
      </c>
      <c r="K57" s="82">
        <f t="shared" si="8"/>
        <v>0</v>
      </c>
      <c r="M57" s="77">
        <f t="shared" si="9"/>
        <v>0</v>
      </c>
      <c r="N57" s="79">
        <f t="shared" si="1"/>
        <v>0</v>
      </c>
      <c r="O57" s="76">
        <f t="shared" si="10"/>
        <v>0</v>
      </c>
      <c r="Q57" s="77">
        <v>55</v>
      </c>
      <c r="R57" s="78">
        <f t="shared" si="11"/>
        <v>0</v>
      </c>
    </row>
    <row r="58" spans="1:18">
      <c r="A58" s="77">
        <f>Main!C59</f>
        <v>0</v>
      </c>
      <c r="B58" s="77">
        <f>Main!D59</f>
        <v>0</v>
      </c>
      <c r="C58" s="74" t="str">
        <f t="shared" si="3"/>
        <v>-</v>
      </c>
      <c r="D58" s="74">
        <f t="shared" si="4"/>
        <v>0</v>
      </c>
      <c r="E58" s="75">
        <f t="shared" si="5"/>
        <v>0</v>
      </c>
      <c r="F58" s="75">
        <f t="shared" si="6"/>
        <v>0</v>
      </c>
      <c r="G58" s="74" t="str">
        <f t="shared" si="0"/>
        <v>-</v>
      </c>
      <c r="I58" s="74">
        <v>56</v>
      </c>
      <c r="J58" s="82">
        <f t="shared" si="7"/>
        <v>0</v>
      </c>
      <c r="K58" s="82">
        <f t="shared" si="8"/>
        <v>0</v>
      </c>
      <c r="M58" s="77">
        <f t="shared" si="9"/>
        <v>0</v>
      </c>
      <c r="N58" s="79">
        <f t="shared" si="1"/>
        <v>0</v>
      </c>
      <c r="O58" s="76">
        <f t="shared" si="10"/>
        <v>0</v>
      </c>
      <c r="Q58" s="77">
        <v>56</v>
      </c>
      <c r="R58" s="78">
        <f t="shared" si="11"/>
        <v>0</v>
      </c>
    </row>
    <row r="59" spans="1:18">
      <c r="A59" s="77">
        <f>Main!C60</f>
        <v>0</v>
      </c>
      <c r="B59" s="77">
        <f>Main!D60</f>
        <v>0</v>
      </c>
      <c r="C59" s="74" t="str">
        <f t="shared" si="3"/>
        <v>-</v>
      </c>
      <c r="D59" s="74">
        <f t="shared" si="4"/>
        <v>0</v>
      </c>
      <c r="E59" s="75">
        <f t="shared" si="5"/>
        <v>0</v>
      </c>
      <c r="F59" s="75">
        <f t="shared" si="6"/>
        <v>0</v>
      </c>
      <c r="G59" s="74" t="str">
        <f t="shared" si="0"/>
        <v>-</v>
      </c>
      <c r="I59" s="74">
        <v>57</v>
      </c>
      <c r="J59" s="82">
        <f t="shared" si="7"/>
        <v>0</v>
      </c>
      <c r="K59" s="82">
        <f t="shared" si="8"/>
        <v>0</v>
      </c>
      <c r="M59" s="77">
        <f t="shared" si="9"/>
        <v>0</v>
      </c>
      <c r="N59" s="79">
        <f t="shared" si="1"/>
        <v>0</v>
      </c>
      <c r="O59" s="76">
        <f t="shared" si="10"/>
        <v>0</v>
      </c>
      <c r="Q59" s="77">
        <v>57</v>
      </c>
      <c r="R59" s="78">
        <f t="shared" si="11"/>
        <v>0</v>
      </c>
    </row>
    <row r="60" spans="1:18">
      <c r="A60" s="77">
        <f>Main!C61</f>
        <v>0</v>
      </c>
      <c r="B60" s="77">
        <f>Main!D61</f>
        <v>0</v>
      </c>
      <c r="C60" s="74" t="str">
        <f t="shared" si="3"/>
        <v>-</v>
      </c>
      <c r="D60" s="74">
        <f t="shared" si="4"/>
        <v>0</v>
      </c>
      <c r="E60" s="75">
        <f t="shared" si="5"/>
        <v>0</v>
      </c>
      <c r="F60" s="75">
        <f t="shared" si="6"/>
        <v>0</v>
      </c>
      <c r="G60" s="74" t="str">
        <f t="shared" si="0"/>
        <v>-</v>
      </c>
      <c r="I60" s="74">
        <v>58</v>
      </c>
      <c r="J60" s="82">
        <f t="shared" si="7"/>
        <v>0</v>
      </c>
      <c r="K60" s="82">
        <f t="shared" si="8"/>
        <v>0</v>
      </c>
      <c r="M60" s="77">
        <f t="shared" si="9"/>
        <v>0</v>
      </c>
      <c r="N60" s="79">
        <f t="shared" si="1"/>
        <v>0</v>
      </c>
      <c r="O60" s="76">
        <f t="shared" si="10"/>
        <v>0</v>
      </c>
      <c r="Q60" s="77">
        <v>58</v>
      </c>
      <c r="R60" s="78">
        <f t="shared" si="11"/>
        <v>0</v>
      </c>
    </row>
    <row r="61" spans="1:18">
      <c r="A61" s="77">
        <f>Main!C62</f>
        <v>0</v>
      </c>
      <c r="B61" s="77">
        <f>Main!D62</f>
        <v>0</v>
      </c>
      <c r="C61" s="74" t="str">
        <f t="shared" si="3"/>
        <v>-</v>
      </c>
      <c r="D61" s="74">
        <f t="shared" si="4"/>
        <v>0</v>
      </c>
      <c r="E61" s="75">
        <f t="shared" si="5"/>
        <v>0</v>
      </c>
      <c r="F61" s="75">
        <f t="shared" si="6"/>
        <v>0</v>
      </c>
      <c r="G61" s="74" t="str">
        <f t="shared" si="0"/>
        <v>-</v>
      </c>
      <c r="I61" s="74">
        <v>59</v>
      </c>
      <c r="J61" s="82">
        <f t="shared" si="7"/>
        <v>0</v>
      </c>
      <c r="K61" s="82">
        <f t="shared" si="8"/>
        <v>0</v>
      </c>
      <c r="M61" s="77">
        <f t="shared" si="9"/>
        <v>0</v>
      </c>
      <c r="N61" s="79">
        <f t="shared" si="1"/>
        <v>0</v>
      </c>
      <c r="O61" s="76">
        <f t="shared" si="10"/>
        <v>0</v>
      </c>
      <c r="Q61" s="77">
        <v>59</v>
      </c>
      <c r="R61" s="78">
        <f t="shared" si="11"/>
        <v>0</v>
      </c>
    </row>
    <row r="62" spans="1:18">
      <c r="A62" s="77">
        <f>Main!C63</f>
        <v>0</v>
      </c>
      <c r="B62" s="77">
        <f>Main!D63</f>
        <v>0</v>
      </c>
      <c r="C62" s="74" t="str">
        <f t="shared" si="3"/>
        <v>-</v>
      </c>
      <c r="D62" s="74">
        <f t="shared" si="4"/>
        <v>0</v>
      </c>
      <c r="E62" s="75">
        <f t="shared" si="5"/>
        <v>0</v>
      </c>
      <c r="F62" s="75">
        <f t="shared" si="6"/>
        <v>0</v>
      </c>
      <c r="G62" s="74" t="str">
        <f t="shared" si="0"/>
        <v>-</v>
      </c>
      <c r="I62" s="74">
        <v>60</v>
      </c>
      <c r="J62" s="82">
        <f t="shared" si="7"/>
        <v>0</v>
      </c>
      <c r="K62" s="82">
        <f t="shared" si="8"/>
        <v>0</v>
      </c>
      <c r="M62" s="77">
        <f t="shared" si="9"/>
        <v>0</v>
      </c>
      <c r="N62" s="79">
        <f t="shared" si="1"/>
        <v>0</v>
      </c>
      <c r="O62" s="76">
        <f t="shared" si="10"/>
        <v>0</v>
      </c>
      <c r="Q62" s="77">
        <v>60</v>
      </c>
      <c r="R62" s="78">
        <f t="shared" si="11"/>
        <v>0</v>
      </c>
    </row>
    <row r="63" spans="1:18">
      <c r="A63" s="77">
        <f>Main!C64</f>
        <v>0</v>
      </c>
      <c r="B63" s="77">
        <f>Main!D64</f>
        <v>0</v>
      </c>
      <c r="C63" s="74" t="str">
        <f t="shared" si="3"/>
        <v>-</v>
      </c>
      <c r="D63" s="74">
        <f t="shared" si="4"/>
        <v>0</v>
      </c>
      <c r="E63" s="75">
        <f t="shared" si="5"/>
        <v>0</v>
      </c>
      <c r="F63" s="75">
        <f t="shared" si="6"/>
        <v>0</v>
      </c>
      <c r="G63" s="74" t="str">
        <f t="shared" si="0"/>
        <v>-</v>
      </c>
      <c r="I63" s="74">
        <v>61</v>
      </c>
      <c r="J63" s="82">
        <f t="shared" si="7"/>
        <v>0</v>
      </c>
      <c r="K63" s="82">
        <f t="shared" si="8"/>
        <v>0</v>
      </c>
      <c r="M63" s="77">
        <f t="shared" si="9"/>
        <v>0</v>
      </c>
      <c r="N63" s="79">
        <f t="shared" si="1"/>
        <v>0</v>
      </c>
      <c r="O63" s="76">
        <f t="shared" si="10"/>
        <v>0</v>
      </c>
      <c r="Q63" s="77">
        <v>61</v>
      </c>
      <c r="R63" s="78">
        <f t="shared" si="11"/>
        <v>0</v>
      </c>
    </row>
    <row r="64" spans="1:18">
      <c r="A64" s="77">
        <f>Main!C65</f>
        <v>0</v>
      </c>
      <c r="B64" s="77">
        <f>Main!D65</f>
        <v>0</v>
      </c>
      <c r="C64" s="74" t="str">
        <f t="shared" si="3"/>
        <v>-</v>
      </c>
      <c r="D64" s="74">
        <f t="shared" si="4"/>
        <v>0</v>
      </c>
      <c r="E64" s="75">
        <f t="shared" si="5"/>
        <v>0</v>
      </c>
      <c r="F64" s="75">
        <f t="shared" si="6"/>
        <v>0</v>
      </c>
      <c r="G64" s="74" t="str">
        <f t="shared" si="0"/>
        <v>-</v>
      </c>
      <c r="I64" s="74">
        <v>62</v>
      </c>
      <c r="J64" s="82">
        <f t="shared" si="7"/>
        <v>0</v>
      </c>
      <c r="K64" s="82">
        <f t="shared" si="8"/>
        <v>0</v>
      </c>
      <c r="M64" s="77">
        <f t="shared" si="9"/>
        <v>0</v>
      </c>
      <c r="N64" s="79">
        <f t="shared" si="1"/>
        <v>0</v>
      </c>
      <c r="O64" s="76">
        <f t="shared" si="10"/>
        <v>0</v>
      </c>
      <c r="Q64" s="77">
        <v>62</v>
      </c>
      <c r="R64" s="78">
        <f t="shared" si="11"/>
        <v>0</v>
      </c>
    </row>
    <row r="65" spans="1:18">
      <c r="A65" s="77">
        <f>Main!C66</f>
        <v>0</v>
      </c>
      <c r="B65" s="77">
        <f>Main!D66</f>
        <v>0</v>
      </c>
      <c r="C65" s="74" t="str">
        <f t="shared" si="3"/>
        <v>-</v>
      </c>
      <c r="D65" s="74">
        <f t="shared" si="4"/>
        <v>0</v>
      </c>
      <c r="E65" s="75">
        <f t="shared" si="5"/>
        <v>0</v>
      </c>
      <c r="F65" s="75">
        <f t="shared" si="6"/>
        <v>0</v>
      </c>
      <c r="G65" s="74" t="str">
        <f t="shared" si="0"/>
        <v>-</v>
      </c>
      <c r="I65" s="74">
        <v>63</v>
      </c>
      <c r="J65" s="82">
        <f t="shared" si="7"/>
        <v>0</v>
      </c>
      <c r="K65" s="82">
        <f t="shared" si="8"/>
        <v>0</v>
      </c>
      <c r="M65" s="77">
        <f t="shared" si="9"/>
        <v>0</v>
      </c>
      <c r="N65" s="79">
        <f t="shared" si="1"/>
        <v>0</v>
      </c>
      <c r="O65" s="76">
        <f t="shared" si="10"/>
        <v>0</v>
      </c>
      <c r="Q65" s="77">
        <v>63</v>
      </c>
      <c r="R65" s="78">
        <f t="shared" si="11"/>
        <v>0</v>
      </c>
    </row>
    <row r="66" spans="1:18">
      <c r="A66" s="77">
        <f>Main!C67</f>
        <v>0</v>
      </c>
      <c r="B66" s="77">
        <f>Main!D67</f>
        <v>0</v>
      </c>
      <c r="C66" s="74" t="str">
        <f t="shared" si="3"/>
        <v>-</v>
      </c>
      <c r="D66" s="74">
        <f t="shared" si="4"/>
        <v>0</v>
      </c>
      <c r="E66" s="75">
        <f t="shared" si="5"/>
        <v>0</v>
      </c>
      <c r="F66" s="75">
        <f t="shared" si="6"/>
        <v>0</v>
      </c>
      <c r="G66" s="74" t="str">
        <f t="shared" si="0"/>
        <v>-</v>
      </c>
      <c r="I66" s="74">
        <v>64</v>
      </c>
      <c r="J66" s="82">
        <f t="shared" si="7"/>
        <v>0</v>
      </c>
      <c r="K66" s="82">
        <f t="shared" si="8"/>
        <v>0</v>
      </c>
      <c r="M66" s="77">
        <f t="shared" si="9"/>
        <v>0</v>
      </c>
      <c r="N66" s="79">
        <f t="shared" si="1"/>
        <v>0</v>
      </c>
      <c r="O66" s="76">
        <f t="shared" si="10"/>
        <v>0</v>
      </c>
      <c r="Q66" s="77">
        <v>64</v>
      </c>
      <c r="R66" s="78">
        <f t="shared" si="11"/>
        <v>0</v>
      </c>
    </row>
    <row r="67" spans="1:18">
      <c r="A67" s="77">
        <f>Main!C68</f>
        <v>0</v>
      </c>
      <c r="B67" s="77">
        <f>Main!D68</f>
        <v>0</v>
      </c>
      <c r="C67" s="74" t="str">
        <f t="shared" si="3"/>
        <v>-</v>
      </c>
      <c r="D67" s="74">
        <f t="shared" si="4"/>
        <v>0</v>
      </c>
      <c r="E67" s="75">
        <f t="shared" si="5"/>
        <v>0</v>
      </c>
      <c r="F67" s="75">
        <f t="shared" si="6"/>
        <v>0</v>
      </c>
      <c r="G67" s="74" t="str">
        <f t="shared" ref="G67:G69" si="12">IF(C67="-","-",RANK(E67,$E$3:$E$100))</f>
        <v>-</v>
      </c>
      <c r="I67" s="74">
        <v>65</v>
      </c>
      <c r="J67" s="82">
        <f t="shared" si="7"/>
        <v>0</v>
      </c>
      <c r="K67" s="82">
        <f t="shared" si="8"/>
        <v>0</v>
      </c>
      <c r="M67" s="77">
        <f t="shared" si="9"/>
        <v>0</v>
      </c>
      <c r="N67" s="79">
        <f t="shared" ref="N67:N69" si="13">IF(M67=0,0,VALUE(M67)+0.000000000001*ROW())</f>
        <v>0</v>
      </c>
      <c r="O67" s="76">
        <f t="shared" si="10"/>
        <v>0</v>
      </c>
      <c r="Q67" s="77">
        <v>65</v>
      </c>
      <c r="R67" s="78">
        <f t="shared" ref="R67:R69" si="14">IF(Q67&gt;MAX($O$3:$O$100),0,INDEX($A$3:$A$100, MATCH(Q67,$O$3:$O$100,0)))</f>
        <v>0</v>
      </c>
    </row>
    <row r="68" spans="1:18">
      <c r="A68" s="77">
        <f>Main!C69</f>
        <v>0</v>
      </c>
      <c r="B68" s="77">
        <f>Main!D69</f>
        <v>0</v>
      </c>
      <c r="C68" s="74" t="str">
        <f t="shared" ref="C68:C69" si="15">IF(B68=0,"-",0)</f>
        <v>-</v>
      </c>
      <c r="D68" s="74">
        <f t="shared" ref="D68:D69" si="16">IF(B68=0,IF(A68=0,0,A68),IF(A68=0,A67,A68))</f>
        <v>0</v>
      </c>
      <c r="E68" s="75">
        <f t="shared" ref="E68:E69" si="17">IF(B68=0,0,IF(A68&lt;0,(-100*D68+0.0000000001*ROW()+0.00001/B68),1/D68+0.0000000001*ROW()+0.00001/B68))</f>
        <v>0</v>
      </c>
      <c r="F68" s="75">
        <f t="shared" ref="F68:F69" si="18">B68</f>
        <v>0</v>
      </c>
      <c r="G68" s="74" t="str">
        <f t="shared" si="12"/>
        <v>-</v>
      </c>
      <c r="I68" s="74">
        <v>66</v>
      </c>
      <c r="J68" s="82">
        <f t="shared" ref="J68:J69" si="19">IF(I68&gt;MAX($G$3:$G$100),0,INDEX($D$3:$D$100, MATCH(I68,$G$3:$G$100,0)))</f>
        <v>0</v>
      </c>
      <c r="K68" s="82">
        <f t="shared" ref="K68:K69" si="20">IF(I68&gt;MAX($G$3:$G$100),0,INDEX($F$3:$F$100, MATCH(I68,$G$3:$G$100,0)))</f>
        <v>0</v>
      </c>
      <c r="M68" s="77">
        <f t="shared" ref="M68:M69" si="21">IF(A68&lt;0,-100*A68,IF(A68=0,0,1/A68))</f>
        <v>0</v>
      </c>
      <c r="N68" s="79">
        <f t="shared" si="13"/>
        <v>0</v>
      </c>
      <c r="O68" s="76">
        <f t="shared" ref="O68:O69" si="22">IF(N68=0,0,RANK(N68,$N$3:$N$100))</f>
        <v>0</v>
      </c>
      <c r="Q68" s="77">
        <v>66</v>
      </c>
      <c r="R68" s="78">
        <f t="shared" si="14"/>
        <v>0</v>
      </c>
    </row>
    <row r="69" spans="1:18">
      <c r="A69" s="77">
        <f>Main!C70</f>
        <v>0</v>
      </c>
      <c r="B69" s="77">
        <f>Main!D70</f>
        <v>0</v>
      </c>
      <c r="C69" s="74" t="str">
        <f t="shared" si="15"/>
        <v>-</v>
      </c>
      <c r="D69" s="74">
        <f t="shared" si="16"/>
        <v>0</v>
      </c>
      <c r="E69" s="75">
        <f t="shared" si="17"/>
        <v>0</v>
      </c>
      <c r="F69" s="75">
        <f t="shared" si="18"/>
        <v>0</v>
      </c>
      <c r="G69" s="74" t="str">
        <f t="shared" si="12"/>
        <v>-</v>
      </c>
      <c r="I69" s="74">
        <v>67</v>
      </c>
      <c r="J69" s="82">
        <f t="shared" si="19"/>
        <v>0</v>
      </c>
      <c r="K69" s="82">
        <f t="shared" si="20"/>
        <v>0</v>
      </c>
      <c r="M69" s="77">
        <f t="shared" si="21"/>
        <v>0</v>
      </c>
      <c r="N69" s="79">
        <f t="shared" si="13"/>
        <v>0</v>
      </c>
      <c r="O69" s="76">
        <f t="shared" si="22"/>
        <v>0</v>
      </c>
      <c r="Q69" s="77">
        <v>67</v>
      </c>
      <c r="R69" s="78">
        <f t="shared" si="14"/>
        <v>0</v>
      </c>
    </row>
    <row r="70" spans="1:18">
      <c r="A70" s="77"/>
      <c r="B70" s="77"/>
      <c r="C70" s="74"/>
      <c r="D70" s="74"/>
      <c r="E70" s="75"/>
      <c r="F70" s="75"/>
      <c r="G70" s="74"/>
      <c r="I70" s="74"/>
      <c r="J70" s="82"/>
      <c r="K70" s="82"/>
      <c r="M70" s="77"/>
      <c r="N70" s="79"/>
      <c r="O70" s="76"/>
      <c r="Q70" s="77"/>
      <c r="R70" s="78"/>
    </row>
    <row r="71" spans="1:18">
      <c r="A71" s="77"/>
      <c r="B71" s="77"/>
      <c r="C71" s="74"/>
      <c r="D71" s="74"/>
      <c r="E71" s="75"/>
      <c r="F71" s="75"/>
      <c r="G71" s="74"/>
      <c r="I71" s="74"/>
      <c r="J71" s="82"/>
      <c r="K71" s="82"/>
      <c r="M71" s="77"/>
      <c r="N71" s="79"/>
      <c r="O71" s="76"/>
      <c r="Q71" s="77"/>
      <c r="R71" s="78"/>
    </row>
    <row r="72" spans="1:18">
      <c r="A72" s="77"/>
      <c r="B72" s="77"/>
      <c r="C72" s="74"/>
      <c r="D72" s="74"/>
      <c r="E72" s="75"/>
      <c r="F72" s="75"/>
      <c r="G72" s="74"/>
      <c r="I72" s="74"/>
      <c r="J72" s="82"/>
      <c r="K72" s="82"/>
      <c r="M72" s="77"/>
      <c r="N72" s="79"/>
      <c r="O72" s="76"/>
      <c r="Q72" s="77"/>
      <c r="R72" s="78"/>
    </row>
    <row r="73" spans="1:18">
      <c r="A73" s="77"/>
      <c r="B73" s="77"/>
      <c r="C73" s="74"/>
      <c r="D73" s="74"/>
      <c r="E73" s="75"/>
      <c r="F73" s="75"/>
      <c r="G73" s="74"/>
      <c r="I73" s="74"/>
      <c r="J73" s="82"/>
      <c r="K73" s="82"/>
      <c r="M73" s="77"/>
      <c r="N73" s="79"/>
      <c r="O73" s="76"/>
      <c r="Q73" s="77"/>
      <c r="R73" s="78"/>
    </row>
    <row r="74" spans="1:18">
      <c r="A74" s="77"/>
      <c r="B74" s="77"/>
      <c r="C74" s="74"/>
      <c r="D74" s="74"/>
      <c r="E74" s="75"/>
      <c r="F74" s="75"/>
      <c r="G74" s="74"/>
      <c r="I74" s="74"/>
      <c r="J74" s="82"/>
      <c r="K74" s="82"/>
      <c r="M74" s="77"/>
      <c r="N74" s="79"/>
      <c r="O74" s="76"/>
      <c r="Q74" s="77"/>
      <c r="R74" s="78"/>
    </row>
    <row r="75" spans="1:18">
      <c r="A75" s="77"/>
      <c r="B75" s="77"/>
      <c r="C75" s="74"/>
      <c r="D75" s="74"/>
      <c r="E75" s="75"/>
      <c r="F75" s="75"/>
      <c r="G75" s="74"/>
      <c r="I75" s="74"/>
      <c r="J75" s="82"/>
      <c r="K75" s="82"/>
      <c r="M75" s="77"/>
      <c r="N75" s="79"/>
      <c r="O75" s="76"/>
      <c r="Q75" s="77"/>
      <c r="R75" s="78"/>
    </row>
    <row r="76" spans="1:18">
      <c r="A76" s="77"/>
      <c r="B76" s="77"/>
      <c r="C76" s="74"/>
      <c r="D76" s="74"/>
      <c r="E76" s="75"/>
      <c r="F76" s="75"/>
      <c r="G76" s="74"/>
      <c r="I76" s="74"/>
      <c r="J76" s="82"/>
      <c r="K76" s="82"/>
      <c r="M76" s="77"/>
      <c r="N76" s="79"/>
      <c r="O76" s="76"/>
      <c r="Q76" s="77"/>
      <c r="R76" s="78"/>
    </row>
    <row r="77" spans="1:18">
      <c r="A77" s="77"/>
      <c r="B77" s="77"/>
      <c r="C77" s="74"/>
      <c r="D77" s="74"/>
      <c r="E77" s="75"/>
      <c r="F77" s="75"/>
      <c r="G77" s="74"/>
      <c r="I77" s="74"/>
      <c r="J77" s="82"/>
      <c r="K77" s="82"/>
      <c r="M77" s="77"/>
      <c r="N77" s="79"/>
      <c r="O77" s="76"/>
      <c r="Q77" s="77"/>
      <c r="R77" s="78"/>
    </row>
    <row r="78" spans="1:18">
      <c r="A78" s="77"/>
      <c r="B78" s="77"/>
      <c r="C78" s="74"/>
      <c r="D78" s="74"/>
      <c r="E78" s="75"/>
      <c r="F78" s="75"/>
      <c r="G78" s="74"/>
      <c r="I78" s="74"/>
      <c r="J78" s="82"/>
      <c r="K78" s="82"/>
      <c r="M78" s="77"/>
      <c r="N78" s="79"/>
      <c r="O78" s="76"/>
      <c r="Q78" s="77"/>
      <c r="R78" s="78"/>
    </row>
    <row r="79" spans="1:18">
      <c r="A79" s="77"/>
      <c r="B79" s="77"/>
      <c r="C79" s="74"/>
      <c r="D79" s="74"/>
      <c r="E79" s="75"/>
      <c r="F79" s="75"/>
      <c r="G79" s="74"/>
      <c r="I79" s="74"/>
      <c r="J79" s="82"/>
      <c r="K79" s="82"/>
      <c r="M79" s="77"/>
      <c r="N79" s="79"/>
      <c r="O79" s="76"/>
      <c r="Q79" s="77"/>
      <c r="R79" s="78"/>
    </row>
    <row r="80" spans="1:18">
      <c r="A80" s="77"/>
      <c r="B80" s="77"/>
      <c r="C80" s="74"/>
      <c r="D80" s="74"/>
      <c r="E80" s="75"/>
      <c r="F80" s="75"/>
      <c r="G80" s="74"/>
      <c r="I80" s="74"/>
      <c r="J80" s="82"/>
      <c r="K80" s="82"/>
      <c r="M80" s="77"/>
      <c r="N80" s="79"/>
      <c r="O80" s="76"/>
      <c r="Q80" s="77"/>
      <c r="R80" s="78"/>
    </row>
    <row r="81" spans="1:18">
      <c r="A81" s="77"/>
      <c r="B81" s="77"/>
      <c r="C81" s="74"/>
      <c r="D81" s="74"/>
      <c r="E81" s="75"/>
      <c r="F81" s="75"/>
      <c r="G81" s="74"/>
      <c r="I81" s="74"/>
      <c r="J81" s="82"/>
      <c r="K81" s="82"/>
      <c r="M81" s="77"/>
      <c r="N81" s="79"/>
      <c r="O81" s="76"/>
      <c r="Q81" s="77"/>
      <c r="R81" s="78"/>
    </row>
    <row r="82" spans="1:18">
      <c r="A82" s="77"/>
      <c r="B82" s="77"/>
      <c r="C82" s="74"/>
      <c r="D82" s="74"/>
      <c r="E82" s="75"/>
      <c r="F82" s="75"/>
      <c r="G82" s="74"/>
      <c r="I82" s="74"/>
      <c r="J82" s="82"/>
      <c r="K82" s="82"/>
      <c r="M82" s="77"/>
      <c r="N82" s="79"/>
      <c r="O82" s="76"/>
      <c r="Q82" s="77"/>
      <c r="R82" s="78"/>
    </row>
    <row r="83" spans="1:18">
      <c r="A83" s="77"/>
      <c r="B83" s="77"/>
      <c r="C83" s="74"/>
      <c r="D83" s="74"/>
      <c r="E83" s="75"/>
      <c r="F83" s="75"/>
      <c r="G83" s="74"/>
      <c r="I83" s="74"/>
      <c r="J83" s="82"/>
      <c r="K83" s="82"/>
      <c r="M83" s="77"/>
      <c r="N83" s="79"/>
      <c r="O83" s="76"/>
      <c r="Q83" s="77"/>
      <c r="R83" s="78"/>
    </row>
    <row r="84" spans="1:18">
      <c r="A84" s="77"/>
      <c r="B84" s="77"/>
      <c r="C84" s="74"/>
      <c r="D84" s="74"/>
      <c r="E84" s="75"/>
      <c r="F84" s="75"/>
      <c r="G84" s="74"/>
      <c r="I84" s="74"/>
      <c r="J84" s="82"/>
      <c r="K84" s="82"/>
      <c r="M84" s="77"/>
      <c r="N84" s="79"/>
      <c r="O84" s="76"/>
      <c r="Q84" s="77"/>
      <c r="R84" s="78"/>
    </row>
    <row r="85" spans="1:18">
      <c r="A85" s="77"/>
      <c r="B85" s="77"/>
      <c r="C85" s="74"/>
      <c r="D85" s="74"/>
      <c r="E85" s="75"/>
      <c r="F85" s="75"/>
      <c r="G85" s="74"/>
      <c r="I85" s="74"/>
      <c r="J85" s="82"/>
      <c r="K85" s="82"/>
      <c r="M85" s="77"/>
      <c r="N85" s="79"/>
      <c r="O85" s="76"/>
      <c r="Q85" s="77"/>
      <c r="R85" s="78"/>
    </row>
    <row r="86" spans="1:18">
      <c r="A86" s="77"/>
      <c r="B86" s="77"/>
      <c r="C86" s="74"/>
      <c r="D86" s="74"/>
      <c r="E86" s="75"/>
      <c r="F86" s="75"/>
      <c r="G86" s="74"/>
      <c r="I86" s="74"/>
      <c r="J86" s="82"/>
      <c r="K86" s="82"/>
      <c r="M86" s="77"/>
      <c r="N86" s="79"/>
      <c r="O86" s="76"/>
      <c r="Q86" s="77"/>
      <c r="R86" s="78"/>
    </row>
    <row r="87" spans="1:18">
      <c r="A87" s="77"/>
      <c r="B87" s="77"/>
      <c r="C87" s="74"/>
      <c r="D87" s="74"/>
      <c r="E87" s="75"/>
      <c r="F87" s="75"/>
      <c r="G87" s="74"/>
      <c r="I87" s="74"/>
      <c r="J87" s="82"/>
      <c r="K87" s="82"/>
      <c r="M87" s="77"/>
      <c r="N87" s="79"/>
      <c r="O87" s="76"/>
      <c r="Q87" s="77"/>
      <c r="R87" s="78"/>
    </row>
    <row r="88" spans="1:18">
      <c r="A88" s="77"/>
      <c r="B88" s="77"/>
      <c r="C88" s="74"/>
      <c r="D88" s="74"/>
      <c r="E88" s="75"/>
      <c r="F88" s="75"/>
      <c r="G88" s="74"/>
      <c r="I88" s="74"/>
      <c r="J88" s="82"/>
      <c r="K88" s="82"/>
      <c r="M88" s="77"/>
      <c r="N88" s="79"/>
      <c r="O88" s="76"/>
      <c r="Q88" s="77"/>
      <c r="R88" s="78"/>
    </row>
    <row r="89" spans="1:18">
      <c r="A89" s="77"/>
      <c r="B89" s="77"/>
      <c r="C89" s="74"/>
      <c r="D89" s="74"/>
      <c r="E89" s="75"/>
      <c r="F89" s="75"/>
      <c r="G89" s="74"/>
      <c r="I89" s="74"/>
      <c r="J89" s="82"/>
      <c r="K89" s="82"/>
      <c r="M89" s="77"/>
      <c r="N89" s="79"/>
      <c r="O89" s="76"/>
      <c r="Q89" s="77"/>
      <c r="R89" s="78"/>
    </row>
    <row r="90" spans="1:18">
      <c r="A90" s="77"/>
      <c r="B90" s="77"/>
      <c r="C90" s="74"/>
      <c r="D90" s="74"/>
      <c r="E90" s="75"/>
      <c r="F90" s="75"/>
      <c r="G90" s="74"/>
      <c r="I90" s="74"/>
      <c r="J90" s="82"/>
      <c r="K90" s="82"/>
      <c r="M90" s="77"/>
      <c r="N90" s="79"/>
      <c r="O90" s="76"/>
      <c r="Q90" s="77"/>
      <c r="R90" s="78"/>
    </row>
    <row r="91" spans="1:18">
      <c r="A91" s="77"/>
      <c r="B91" s="77"/>
      <c r="C91" s="74"/>
      <c r="D91" s="74"/>
      <c r="E91" s="75"/>
      <c r="F91" s="75"/>
      <c r="G91" s="74"/>
      <c r="I91" s="74"/>
      <c r="J91" s="82"/>
      <c r="K91" s="82"/>
      <c r="M91" s="77"/>
      <c r="N91" s="79"/>
      <c r="O91" s="76"/>
      <c r="Q91" s="77"/>
      <c r="R91" s="78"/>
    </row>
    <row r="92" spans="1:18">
      <c r="A92" s="77"/>
      <c r="B92" s="77"/>
      <c r="C92" s="74"/>
      <c r="D92" s="74"/>
      <c r="E92" s="75"/>
      <c r="F92" s="75"/>
      <c r="G92" s="74"/>
      <c r="I92" s="74"/>
      <c r="J92" s="82"/>
      <c r="K92" s="82"/>
      <c r="M92" s="77"/>
      <c r="N92" s="79"/>
      <c r="O92" s="76"/>
      <c r="Q92" s="77"/>
      <c r="R92" s="78"/>
    </row>
    <row r="93" spans="1:18">
      <c r="A93" s="77"/>
      <c r="B93" s="77"/>
      <c r="C93" s="74"/>
      <c r="D93" s="74"/>
      <c r="E93" s="75"/>
      <c r="F93" s="75"/>
      <c r="G93" s="74"/>
      <c r="I93" s="74"/>
      <c r="J93" s="82"/>
      <c r="K93" s="82"/>
      <c r="M93" s="77"/>
      <c r="N93" s="79"/>
      <c r="O93" s="76"/>
      <c r="Q93" s="77"/>
      <c r="R93" s="78"/>
    </row>
    <row r="94" spans="1:18">
      <c r="A94" s="77"/>
      <c r="B94" s="77"/>
      <c r="C94" s="74"/>
      <c r="D94" s="74"/>
      <c r="E94" s="75"/>
      <c r="F94" s="75"/>
      <c r="G94" s="74"/>
      <c r="I94" s="74"/>
      <c r="J94" s="82"/>
      <c r="K94" s="82"/>
      <c r="M94" s="77"/>
      <c r="N94" s="79"/>
      <c r="O94" s="76"/>
      <c r="Q94" s="77"/>
      <c r="R94" s="78"/>
    </row>
    <row r="95" spans="1:18">
      <c r="A95" s="77"/>
      <c r="B95" s="77"/>
      <c r="C95" s="74"/>
      <c r="D95" s="74"/>
      <c r="E95" s="75"/>
      <c r="F95" s="75"/>
      <c r="G95" s="74"/>
      <c r="I95" s="74"/>
      <c r="J95" s="82"/>
      <c r="K95" s="82"/>
      <c r="M95" s="77"/>
      <c r="N95" s="79"/>
      <c r="O95" s="76"/>
      <c r="Q95" s="77"/>
      <c r="R95" s="78"/>
    </row>
    <row r="96" spans="1:18">
      <c r="A96" s="77"/>
      <c r="B96" s="77"/>
      <c r="C96" s="74"/>
      <c r="D96" s="74"/>
      <c r="E96" s="75"/>
      <c r="F96" s="75"/>
      <c r="G96" s="74"/>
      <c r="I96" s="74"/>
      <c r="J96" s="82"/>
      <c r="K96" s="82"/>
      <c r="M96" s="77"/>
      <c r="N96" s="79"/>
      <c r="O96" s="76"/>
      <c r="Q96" s="77"/>
      <c r="R96" s="78"/>
    </row>
    <row r="97" spans="1:18">
      <c r="A97" s="77"/>
      <c r="B97" s="77"/>
      <c r="C97" s="74"/>
      <c r="D97" s="74"/>
      <c r="E97" s="75"/>
      <c r="F97" s="75"/>
      <c r="G97" s="74"/>
      <c r="I97" s="74"/>
      <c r="J97" s="82"/>
      <c r="K97" s="82"/>
      <c r="M97" s="77"/>
      <c r="N97" s="79"/>
      <c r="O97" s="76"/>
      <c r="Q97" s="77"/>
      <c r="R97" s="78"/>
    </row>
    <row r="98" spans="1:18">
      <c r="A98" s="77"/>
      <c r="B98" s="77"/>
      <c r="C98" s="74"/>
      <c r="D98" s="74"/>
      <c r="E98" s="75"/>
      <c r="F98" s="75"/>
      <c r="G98" s="74"/>
      <c r="I98" s="74"/>
      <c r="J98" s="82"/>
      <c r="K98" s="82"/>
      <c r="M98" s="77"/>
      <c r="N98" s="79"/>
      <c r="O98" s="76"/>
      <c r="Q98" s="77"/>
      <c r="R98" s="78"/>
    </row>
    <row r="99" spans="1:18">
      <c r="A99" s="77"/>
      <c r="B99" s="77"/>
      <c r="C99" s="74"/>
      <c r="D99" s="74"/>
      <c r="E99" s="75"/>
      <c r="F99" s="75"/>
      <c r="G99" s="74"/>
      <c r="I99" s="74"/>
      <c r="J99" s="82"/>
      <c r="K99" s="82"/>
      <c r="M99" s="77"/>
      <c r="N99" s="79"/>
      <c r="O99" s="76"/>
      <c r="Q99" s="77"/>
      <c r="R99" s="78"/>
    </row>
    <row r="100" spans="1:18">
      <c r="A100" s="77"/>
      <c r="B100" s="77"/>
      <c r="C100" s="74"/>
      <c r="D100" s="74"/>
      <c r="E100" s="75"/>
      <c r="F100" s="75"/>
      <c r="G100" s="74"/>
      <c r="I100" s="74"/>
      <c r="J100" s="82"/>
      <c r="K100" s="82"/>
      <c r="M100" s="77"/>
      <c r="N100" s="79"/>
      <c r="O100" s="76"/>
      <c r="Q100" s="77"/>
      <c r="R100" s="78"/>
    </row>
  </sheetData>
  <sheetProtection password="EA63" sheet="1" objects="1" scenarios="1" selectLockedCells="1" selectUnlockedCells="1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R100"/>
  <sheetViews>
    <sheetView workbookViewId="0"/>
  </sheetViews>
  <sheetFormatPr defaultColWidth="11.42578125" defaultRowHeight="15"/>
  <cols>
    <col min="1" max="1" width="8" style="29" customWidth="1"/>
    <col min="2" max="2" width="8.85546875" style="29" customWidth="1"/>
    <col min="3" max="3" width="4.7109375" style="29" customWidth="1"/>
    <col min="4" max="4" width="9.7109375" style="29" customWidth="1"/>
    <col min="5" max="5" width="10.28515625" style="29" customWidth="1"/>
    <col min="6" max="6" width="9.140625" style="29" customWidth="1"/>
    <col min="7" max="7" width="8.28515625" style="71" customWidth="1"/>
    <col min="8" max="8" width="3.5703125" style="29" customWidth="1"/>
    <col min="9" max="9" width="4" style="29" customWidth="1"/>
    <col min="10" max="10" width="10.42578125" style="29" customWidth="1"/>
    <col min="11" max="11" width="9.28515625" style="29" customWidth="1"/>
    <col min="12" max="12" width="3.5703125" style="29" customWidth="1"/>
    <col min="13" max="13" width="6.7109375" style="29" customWidth="1"/>
    <col min="14" max="14" width="6.140625" style="29" customWidth="1"/>
    <col min="15" max="15" width="5.5703125" style="29" customWidth="1"/>
    <col min="16" max="17" width="4" style="29" customWidth="1"/>
    <col min="18" max="16384" width="11.42578125" style="29"/>
  </cols>
  <sheetData>
    <row r="1" spans="1:18">
      <c r="A1" s="70"/>
    </row>
    <row r="2" spans="1:18">
      <c r="E2" s="70"/>
      <c r="F2" s="70"/>
      <c r="G2" s="72"/>
      <c r="I2" s="70"/>
      <c r="J2" s="73"/>
      <c r="M2" s="60"/>
      <c r="R2" s="60" t="s">
        <v>0</v>
      </c>
    </row>
    <row r="3" spans="1:18" s="77" customFormat="1">
      <c r="A3" s="77">
        <f>Main!F4</f>
        <v>0</v>
      </c>
      <c r="B3" s="77">
        <f>Main!G4</f>
        <v>0</v>
      </c>
      <c r="C3" s="74" t="str">
        <f>IF(B3=0,"-",0)</f>
        <v>-</v>
      </c>
      <c r="D3" s="74">
        <f>IF(B3=0,IF(A3=0,0,A3),IF(A3=0,A2,A3))</f>
        <v>0</v>
      </c>
      <c r="E3" s="75">
        <f>IF(B3=0,0,IF(A3&lt;0,(-100*D3+0.0000000001*ROW()+0.00001/B3),1/D3+0.0000000001*ROW()+0.00001/B3))</f>
        <v>0</v>
      </c>
      <c r="F3" s="75">
        <f>B3</f>
        <v>0</v>
      </c>
      <c r="G3" s="76" t="str">
        <f t="shared" ref="G3:G66" si="0">IF(C3="-","-",RANK(E3,$E$3:$E$100))</f>
        <v>-</v>
      </c>
      <c r="I3" s="77">
        <v>1</v>
      </c>
      <c r="J3" s="82">
        <f>IF(I3&gt;MAX($G$3:$G$100),0,INDEX($D$3:$D$100, MATCH(I3,$G$3:$G$100,0)))</f>
        <v>0</v>
      </c>
      <c r="K3" s="82">
        <f>IF(I3&gt;MAX($G$3:$G$100),0,INDEX($F$3:$F$100, MATCH(I3,$G$3:$G$100,0)))</f>
        <v>0</v>
      </c>
      <c r="M3" s="77">
        <f>IF(A3&lt;0,-100*A3,IF(A3=0,0,1/A3))</f>
        <v>0</v>
      </c>
      <c r="N3" s="79">
        <f>IF(M3=0,0,VALUE(M3)+0.00000000001*ROW())</f>
        <v>0</v>
      </c>
      <c r="O3" s="76">
        <f>IF(N3=0,0,RANK(N3,$N$3:$N$100))</f>
        <v>0</v>
      </c>
      <c r="Q3" s="77">
        <v>1</v>
      </c>
      <c r="R3" s="78">
        <f>IF(Q3&gt;MAX($O$3:$O$100),0,INDEX($A$3:$A$100, MATCH(Q3,$O$3:$O$100,0)))</f>
        <v>0</v>
      </c>
    </row>
    <row r="4" spans="1:18" s="77" customFormat="1">
      <c r="A4" s="77">
        <f>Main!F5</f>
        <v>0</v>
      </c>
      <c r="B4" s="77">
        <f>Main!G5</f>
        <v>0</v>
      </c>
      <c r="C4" s="74" t="str">
        <f t="shared" ref="C4:C67" si="1">IF(B4=0,"-",0)</f>
        <v>-</v>
      </c>
      <c r="D4" s="74">
        <f t="shared" ref="D4:D67" si="2">IF(B4=0,IF(A4=0,0,A4),IF(A4=0,A3,A4))</f>
        <v>0</v>
      </c>
      <c r="E4" s="75">
        <f t="shared" ref="E4:E67" si="3">IF(B4=0,0,IF(A4&lt;0,(-100*D4+0.0000000001*ROW()+0.00001/B4),1/D4+0.0000000001*ROW()+0.00001/B4))</f>
        <v>0</v>
      </c>
      <c r="F4" s="75">
        <f t="shared" ref="F4:F67" si="4">B4</f>
        <v>0</v>
      </c>
      <c r="G4" s="76" t="str">
        <f t="shared" si="0"/>
        <v>-</v>
      </c>
      <c r="I4" s="77">
        <v>2</v>
      </c>
      <c r="J4" s="82">
        <f t="shared" ref="J4:J67" si="5">IF(I4&gt;MAX($G$3:$G$100),0,INDEX($D$3:$D$100, MATCH(I4,$G$3:$G$100,0)))</f>
        <v>0</v>
      </c>
      <c r="K4" s="82">
        <f t="shared" ref="K4:K67" si="6">IF(I4&gt;MAX($G$3:$G$100),0,INDEX($F$3:$F$100, MATCH(I4,$G$3:$G$100,0)))</f>
        <v>0</v>
      </c>
      <c r="M4" s="77">
        <f t="shared" ref="M4:M67" si="7">IF(A4&lt;0,-100*A4,IF(A4=0,0,1/A4))</f>
        <v>0</v>
      </c>
      <c r="N4" s="79">
        <f t="shared" ref="N4:N67" si="8">IF(M4=0,0,VALUE(M4)+0.00000000001*ROW())</f>
        <v>0</v>
      </c>
      <c r="O4" s="76">
        <f t="shared" ref="O4:O67" si="9">IF(N4=0,0,RANK(N4,$N$3:$N$100))</f>
        <v>0</v>
      </c>
      <c r="Q4" s="77">
        <v>2</v>
      </c>
      <c r="R4" s="78">
        <f t="shared" ref="R4:R67" si="10">IF(Q4&gt;MAX($O$3:$O$100),0,INDEX($A$3:$A$100, MATCH(Q4,$O$3:$O$100,0)))</f>
        <v>0</v>
      </c>
    </row>
    <row r="5" spans="1:18" s="77" customFormat="1">
      <c r="A5" s="77">
        <f>Main!F6</f>
        <v>0</v>
      </c>
      <c r="B5" s="77">
        <f>Main!G6</f>
        <v>0</v>
      </c>
      <c r="C5" s="74" t="str">
        <f t="shared" si="1"/>
        <v>-</v>
      </c>
      <c r="D5" s="74">
        <f t="shared" si="2"/>
        <v>0</v>
      </c>
      <c r="E5" s="75">
        <f t="shared" si="3"/>
        <v>0</v>
      </c>
      <c r="F5" s="75">
        <f t="shared" si="4"/>
        <v>0</v>
      </c>
      <c r="G5" s="76" t="str">
        <f t="shared" si="0"/>
        <v>-</v>
      </c>
      <c r="I5" s="77">
        <v>3</v>
      </c>
      <c r="J5" s="82">
        <f t="shared" si="5"/>
        <v>0</v>
      </c>
      <c r="K5" s="82">
        <f t="shared" si="6"/>
        <v>0</v>
      </c>
      <c r="M5" s="77">
        <f t="shared" si="7"/>
        <v>0</v>
      </c>
      <c r="N5" s="79">
        <f t="shared" si="8"/>
        <v>0</v>
      </c>
      <c r="O5" s="76">
        <f t="shared" si="9"/>
        <v>0</v>
      </c>
      <c r="Q5" s="77">
        <v>3</v>
      </c>
      <c r="R5" s="78">
        <f t="shared" si="10"/>
        <v>0</v>
      </c>
    </row>
    <row r="6" spans="1:18" s="77" customFormat="1">
      <c r="A6" s="77">
        <f>Main!F7</f>
        <v>0</v>
      </c>
      <c r="B6" s="77">
        <f>Main!G7</f>
        <v>0</v>
      </c>
      <c r="C6" s="74" t="str">
        <f t="shared" si="1"/>
        <v>-</v>
      </c>
      <c r="D6" s="74">
        <f t="shared" si="2"/>
        <v>0</v>
      </c>
      <c r="E6" s="75">
        <f t="shared" si="3"/>
        <v>0</v>
      </c>
      <c r="F6" s="75">
        <f t="shared" si="4"/>
        <v>0</v>
      </c>
      <c r="G6" s="76" t="str">
        <f t="shared" si="0"/>
        <v>-</v>
      </c>
      <c r="I6" s="77">
        <v>4</v>
      </c>
      <c r="J6" s="82">
        <f t="shared" si="5"/>
        <v>0</v>
      </c>
      <c r="K6" s="82">
        <f t="shared" si="6"/>
        <v>0</v>
      </c>
      <c r="M6" s="77">
        <f t="shared" si="7"/>
        <v>0</v>
      </c>
      <c r="N6" s="79">
        <f t="shared" si="8"/>
        <v>0</v>
      </c>
      <c r="O6" s="76">
        <f t="shared" si="9"/>
        <v>0</v>
      </c>
      <c r="Q6" s="77">
        <v>4</v>
      </c>
      <c r="R6" s="78">
        <f t="shared" si="10"/>
        <v>0</v>
      </c>
    </row>
    <row r="7" spans="1:18">
      <c r="A7" s="77">
        <f>Main!F8</f>
        <v>0</v>
      </c>
      <c r="B7" s="77">
        <f>Main!G8</f>
        <v>0</v>
      </c>
      <c r="C7" s="74" t="str">
        <f t="shared" si="1"/>
        <v>-</v>
      </c>
      <c r="D7" s="74">
        <f t="shared" si="2"/>
        <v>0</v>
      </c>
      <c r="E7" s="75">
        <f t="shared" si="3"/>
        <v>0</v>
      </c>
      <c r="F7" s="75">
        <f t="shared" si="4"/>
        <v>0</v>
      </c>
      <c r="G7" s="76" t="str">
        <f t="shared" si="0"/>
        <v>-</v>
      </c>
      <c r="I7" s="77">
        <v>5</v>
      </c>
      <c r="J7" s="82">
        <f t="shared" si="5"/>
        <v>0</v>
      </c>
      <c r="K7" s="82">
        <f t="shared" si="6"/>
        <v>0</v>
      </c>
      <c r="M7" s="77">
        <f t="shared" si="7"/>
        <v>0</v>
      </c>
      <c r="N7" s="79">
        <f t="shared" si="8"/>
        <v>0</v>
      </c>
      <c r="O7" s="76">
        <f t="shared" si="9"/>
        <v>0</v>
      </c>
      <c r="Q7" s="77">
        <v>5</v>
      </c>
      <c r="R7" s="78">
        <f t="shared" si="10"/>
        <v>0</v>
      </c>
    </row>
    <row r="8" spans="1:18">
      <c r="A8" s="77">
        <f>Main!F9</f>
        <v>0</v>
      </c>
      <c r="B8" s="77">
        <f>Main!G9</f>
        <v>0</v>
      </c>
      <c r="C8" s="74" t="str">
        <f t="shared" si="1"/>
        <v>-</v>
      </c>
      <c r="D8" s="74">
        <f t="shared" si="2"/>
        <v>0</v>
      </c>
      <c r="E8" s="75">
        <f t="shared" si="3"/>
        <v>0</v>
      </c>
      <c r="F8" s="75">
        <f t="shared" si="4"/>
        <v>0</v>
      </c>
      <c r="G8" s="76" t="str">
        <f t="shared" si="0"/>
        <v>-</v>
      </c>
      <c r="I8" s="77">
        <v>6</v>
      </c>
      <c r="J8" s="82">
        <f t="shared" si="5"/>
        <v>0</v>
      </c>
      <c r="K8" s="82">
        <f t="shared" si="6"/>
        <v>0</v>
      </c>
      <c r="M8" s="77">
        <f t="shared" si="7"/>
        <v>0</v>
      </c>
      <c r="N8" s="79">
        <f t="shared" si="8"/>
        <v>0</v>
      </c>
      <c r="O8" s="76">
        <f t="shared" si="9"/>
        <v>0</v>
      </c>
      <c r="Q8" s="77">
        <v>6</v>
      </c>
      <c r="R8" s="78">
        <f t="shared" si="10"/>
        <v>0</v>
      </c>
    </row>
    <row r="9" spans="1:18">
      <c r="A9" s="77">
        <f>Main!F10</f>
        <v>0</v>
      </c>
      <c r="B9" s="77">
        <f>Main!G10</f>
        <v>0</v>
      </c>
      <c r="C9" s="74" t="str">
        <f t="shared" si="1"/>
        <v>-</v>
      </c>
      <c r="D9" s="74">
        <f t="shared" si="2"/>
        <v>0</v>
      </c>
      <c r="E9" s="75">
        <f t="shared" si="3"/>
        <v>0</v>
      </c>
      <c r="F9" s="75">
        <f t="shared" si="4"/>
        <v>0</v>
      </c>
      <c r="G9" s="76" t="str">
        <f t="shared" si="0"/>
        <v>-</v>
      </c>
      <c r="I9" s="77">
        <v>7</v>
      </c>
      <c r="J9" s="82">
        <f t="shared" si="5"/>
        <v>0</v>
      </c>
      <c r="K9" s="82">
        <f t="shared" si="6"/>
        <v>0</v>
      </c>
      <c r="M9" s="77">
        <f t="shared" si="7"/>
        <v>0</v>
      </c>
      <c r="N9" s="79">
        <f t="shared" si="8"/>
        <v>0</v>
      </c>
      <c r="O9" s="76">
        <f t="shared" si="9"/>
        <v>0</v>
      </c>
      <c r="Q9" s="77">
        <v>7</v>
      </c>
      <c r="R9" s="78">
        <f t="shared" si="10"/>
        <v>0</v>
      </c>
    </row>
    <row r="10" spans="1:18">
      <c r="A10" s="77">
        <f>Main!F11</f>
        <v>0</v>
      </c>
      <c r="B10" s="77">
        <f>Main!G11</f>
        <v>0</v>
      </c>
      <c r="C10" s="74" t="str">
        <f t="shared" si="1"/>
        <v>-</v>
      </c>
      <c r="D10" s="74">
        <f t="shared" si="2"/>
        <v>0</v>
      </c>
      <c r="E10" s="75">
        <f t="shared" si="3"/>
        <v>0</v>
      </c>
      <c r="F10" s="75">
        <f t="shared" si="4"/>
        <v>0</v>
      </c>
      <c r="G10" s="76" t="str">
        <f t="shared" si="0"/>
        <v>-</v>
      </c>
      <c r="I10" s="77">
        <v>8</v>
      </c>
      <c r="J10" s="82">
        <f t="shared" si="5"/>
        <v>0</v>
      </c>
      <c r="K10" s="82">
        <f t="shared" si="6"/>
        <v>0</v>
      </c>
      <c r="M10" s="77">
        <f t="shared" si="7"/>
        <v>0</v>
      </c>
      <c r="N10" s="79">
        <f t="shared" si="8"/>
        <v>0</v>
      </c>
      <c r="O10" s="76">
        <f t="shared" si="9"/>
        <v>0</v>
      </c>
      <c r="Q10" s="77">
        <v>8</v>
      </c>
      <c r="R10" s="78">
        <f t="shared" si="10"/>
        <v>0</v>
      </c>
    </row>
    <row r="11" spans="1:18">
      <c r="A11" s="77">
        <f>Main!F12</f>
        <v>0</v>
      </c>
      <c r="B11" s="77">
        <f>Main!G12</f>
        <v>0</v>
      </c>
      <c r="C11" s="74" t="str">
        <f t="shared" si="1"/>
        <v>-</v>
      </c>
      <c r="D11" s="74">
        <f t="shared" si="2"/>
        <v>0</v>
      </c>
      <c r="E11" s="75">
        <f t="shared" si="3"/>
        <v>0</v>
      </c>
      <c r="F11" s="75">
        <f t="shared" si="4"/>
        <v>0</v>
      </c>
      <c r="G11" s="76" t="str">
        <f t="shared" si="0"/>
        <v>-</v>
      </c>
      <c r="I11" s="77">
        <v>9</v>
      </c>
      <c r="J11" s="82">
        <f t="shared" si="5"/>
        <v>0</v>
      </c>
      <c r="K11" s="82">
        <f t="shared" si="6"/>
        <v>0</v>
      </c>
      <c r="M11" s="77">
        <f t="shared" si="7"/>
        <v>0</v>
      </c>
      <c r="N11" s="79">
        <f t="shared" si="8"/>
        <v>0</v>
      </c>
      <c r="O11" s="76">
        <f t="shared" si="9"/>
        <v>0</v>
      </c>
      <c r="Q11" s="77">
        <v>9</v>
      </c>
      <c r="R11" s="78">
        <f t="shared" si="10"/>
        <v>0</v>
      </c>
    </row>
    <row r="12" spans="1:18">
      <c r="A12" s="77">
        <f>Main!F13</f>
        <v>0</v>
      </c>
      <c r="B12" s="77">
        <f>Main!G13</f>
        <v>0</v>
      </c>
      <c r="C12" s="74" t="str">
        <f t="shared" si="1"/>
        <v>-</v>
      </c>
      <c r="D12" s="74">
        <f t="shared" si="2"/>
        <v>0</v>
      </c>
      <c r="E12" s="75">
        <f t="shared" si="3"/>
        <v>0</v>
      </c>
      <c r="F12" s="75">
        <f t="shared" si="4"/>
        <v>0</v>
      </c>
      <c r="G12" s="76" t="str">
        <f t="shared" si="0"/>
        <v>-</v>
      </c>
      <c r="I12" s="77">
        <v>10</v>
      </c>
      <c r="J12" s="82">
        <f t="shared" si="5"/>
        <v>0</v>
      </c>
      <c r="K12" s="82">
        <f t="shared" si="6"/>
        <v>0</v>
      </c>
      <c r="M12" s="77">
        <f t="shared" si="7"/>
        <v>0</v>
      </c>
      <c r="N12" s="79">
        <f t="shared" si="8"/>
        <v>0</v>
      </c>
      <c r="O12" s="76">
        <f t="shared" si="9"/>
        <v>0</v>
      </c>
      <c r="Q12" s="77">
        <v>10</v>
      </c>
      <c r="R12" s="78">
        <f t="shared" si="10"/>
        <v>0</v>
      </c>
    </row>
    <row r="13" spans="1:18">
      <c r="A13" s="77">
        <f>Main!F14</f>
        <v>0</v>
      </c>
      <c r="B13" s="77">
        <f>Main!G14</f>
        <v>0</v>
      </c>
      <c r="C13" s="74" t="str">
        <f t="shared" si="1"/>
        <v>-</v>
      </c>
      <c r="D13" s="74">
        <f t="shared" si="2"/>
        <v>0</v>
      </c>
      <c r="E13" s="75">
        <f t="shared" si="3"/>
        <v>0</v>
      </c>
      <c r="F13" s="75">
        <f t="shared" si="4"/>
        <v>0</v>
      </c>
      <c r="G13" s="76" t="str">
        <f t="shared" si="0"/>
        <v>-</v>
      </c>
      <c r="I13" s="77">
        <v>11</v>
      </c>
      <c r="J13" s="82">
        <f t="shared" si="5"/>
        <v>0</v>
      </c>
      <c r="K13" s="82">
        <f t="shared" si="6"/>
        <v>0</v>
      </c>
      <c r="M13" s="77">
        <f t="shared" si="7"/>
        <v>0</v>
      </c>
      <c r="N13" s="79">
        <f t="shared" si="8"/>
        <v>0</v>
      </c>
      <c r="O13" s="76">
        <f t="shared" si="9"/>
        <v>0</v>
      </c>
      <c r="Q13" s="77">
        <v>11</v>
      </c>
      <c r="R13" s="78">
        <f t="shared" si="10"/>
        <v>0</v>
      </c>
    </row>
    <row r="14" spans="1:18">
      <c r="A14" s="77">
        <f>Main!F15</f>
        <v>0</v>
      </c>
      <c r="B14" s="77">
        <f>Main!G15</f>
        <v>0</v>
      </c>
      <c r="C14" s="74" t="str">
        <f t="shared" si="1"/>
        <v>-</v>
      </c>
      <c r="D14" s="74">
        <f t="shared" si="2"/>
        <v>0</v>
      </c>
      <c r="E14" s="75">
        <f t="shared" si="3"/>
        <v>0</v>
      </c>
      <c r="F14" s="75">
        <f t="shared" si="4"/>
        <v>0</v>
      </c>
      <c r="G14" s="76" t="str">
        <f t="shared" si="0"/>
        <v>-</v>
      </c>
      <c r="I14" s="77">
        <v>12</v>
      </c>
      <c r="J14" s="82">
        <f t="shared" si="5"/>
        <v>0</v>
      </c>
      <c r="K14" s="82">
        <f t="shared" si="6"/>
        <v>0</v>
      </c>
      <c r="M14" s="77">
        <f t="shared" si="7"/>
        <v>0</v>
      </c>
      <c r="N14" s="79">
        <f t="shared" si="8"/>
        <v>0</v>
      </c>
      <c r="O14" s="76">
        <f t="shared" si="9"/>
        <v>0</v>
      </c>
      <c r="Q14" s="77">
        <v>12</v>
      </c>
      <c r="R14" s="78">
        <f t="shared" si="10"/>
        <v>0</v>
      </c>
    </row>
    <row r="15" spans="1:18">
      <c r="A15" s="77">
        <f>Main!F16</f>
        <v>0</v>
      </c>
      <c r="B15" s="77">
        <f>Main!G16</f>
        <v>0</v>
      </c>
      <c r="C15" s="74" t="str">
        <f t="shared" si="1"/>
        <v>-</v>
      </c>
      <c r="D15" s="74">
        <f t="shared" si="2"/>
        <v>0</v>
      </c>
      <c r="E15" s="75">
        <f t="shared" si="3"/>
        <v>0</v>
      </c>
      <c r="F15" s="75">
        <f t="shared" si="4"/>
        <v>0</v>
      </c>
      <c r="G15" s="76" t="str">
        <f t="shared" si="0"/>
        <v>-</v>
      </c>
      <c r="I15" s="77">
        <v>13</v>
      </c>
      <c r="J15" s="82">
        <f t="shared" si="5"/>
        <v>0</v>
      </c>
      <c r="K15" s="82">
        <f t="shared" si="6"/>
        <v>0</v>
      </c>
      <c r="M15" s="77">
        <f t="shared" si="7"/>
        <v>0</v>
      </c>
      <c r="N15" s="79">
        <f t="shared" si="8"/>
        <v>0</v>
      </c>
      <c r="O15" s="76">
        <f t="shared" si="9"/>
        <v>0</v>
      </c>
      <c r="Q15" s="77">
        <v>13</v>
      </c>
      <c r="R15" s="78">
        <f t="shared" si="10"/>
        <v>0</v>
      </c>
    </row>
    <row r="16" spans="1:18">
      <c r="A16" s="77">
        <f>Main!F17</f>
        <v>0</v>
      </c>
      <c r="B16" s="77">
        <f>Main!G17</f>
        <v>0</v>
      </c>
      <c r="C16" s="74" t="str">
        <f t="shared" si="1"/>
        <v>-</v>
      </c>
      <c r="D16" s="74">
        <f t="shared" si="2"/>
        <v>0</v>
      </c>
      <c r="E16" s="75">
        <f t="shared" si="3"/>
        <v>0</v>
      </c>
      <c r="F16" s="75">
        <f t="shared" si="4"/>
        <v>0</v>
      </c>
      <c r="G16" s="76" t="str">
        <f t="shared" si="0"/>
        <v>-</v>
      </c>
      <c r="I16" s="77">
        <v>14</v>
      </c>
      <c r="J16" s="82">
        <f t="shared" si="5"/>
        <v>0</v>
      </c>
      <c r="K16" s="82">
        <f t="shared" si="6"/>
        <v>0</v>
      </c>
      <c r="M16" s="77">
        <f t="shared" si="7"/>
        <v>0</v>
      </c>
      <c r="N16" s="79">
        <f t="shared" si="8"/>
        <v>0</v>
      </c>
      <c r="O16" s="76">
        <f t="shared" si="9"/>
        <v>0</v>
      </c>
      <c r="Q16" s="77">
        <v>14</v>
      </c>
      <c r="R16" s="78">
        <f t="shared" si="10"/>
        <v>0</v>
      </c>
    </row>
    <row r="17" spans="1:18">
      <c r="A17" s="77">
        <f>Main!F18</f>
        <v>0</v>
      </c>
      <c r="B17" s="77">
        <f>Main!G18</f>
        <v>0</v>
      </c>
      <c r="C17" s="74" t="str">
        <f t="shared" si="1"/>
        <v>-</v>
      </c>
      <c r="D17" s="74">
        <f t="shared" si="2"/>
        <v>0</v>
      </c>
      <c r="E17" s="75">
        <f t="shared" si="3"/>
        <v>0</v>
      </c>
      <c r="F17" s="75">
        <f t="shared" si="4"/>
        <v>0</v>
      </c>
      <c r="G17" s="76" t="str">
        <f t="shared" si="0"/>
        <v>-</v>
      </c>
      <c r="I17" s="77">
        <v>15</v>
      </c>
      <c r="J17" s="82">
        <f t="shared" si="5"/>
        <v>0</v>
      </c>
      <c r="K17" s="82">
        <f t="shared" si="6"/>
        <v>0</v>
      </c>
      <c r="M17" s="77">
        <f t="shared" si="7"/>
        <v>0</v>
      </c>
      <c r="N17" s="79">
        <f t="shared" si="8"/>
        <v>0</v>
      </c>
      <c r="O17" s="76">
        <f t="shared" si="9"/>
        <v>0</v>
      </c>
      <c r="Q17" s="77">
        <v>15</v>
      </c>
      <c r="R17" s="78">
        <f t="shared" si="10"/>
        <v>0</v>
      </c>
    </row>
    <row r="18" spans="1:18">
      <c r="A18" s="77">
        <f>Main!F19</f>
        <v>0</v>
      </c>
      <c r="B18" s="77">
        <f>Main!G19</f>
        <v>0</v>
      </c>
      <c r="C18" s="74" t="str">
        <f t="shared" si="1"/>
        <v>-</v>
      </c>
      <c r="D18" s="74">
        <f t="shared" si="2"/>
        <v>0</v>
      </c>
      <c r="E18" s="75">
        <f t="shared" si="3"/>
        <v>0</v>
      </c>
      <c r="F18" s="75">
        <f t="shared" si="4"/>
        <v>0</v>
      </c>
      <c r="G18" s="76" t="str">
        <f t="shared" si="0"/>
        <v>-</v>
      </c>
      <c r="I18" s="77">
        <v>16</v>
      </c>
      <c r="J18" s="82">
        <f t="shared" si="5"/>
        <v>0</v>
      </c>
      <c r="K18" s="82">
        <f t="shared" si="6"/>
        <v>0</v>
      </c>
      <c r="M18" s="77">
        <f t="shared" si="7"/>
        <v>0</v>
      </c>
      <c r="N18" s="79">
        <f t="shared" si="8"/>
        <v>0</v>
      </c>
      <c r="O18" s="76">
        <f t="shared" si="9"/>
        <v>0</v>
      </c>
      <c r="Q18" s="77">
        <v>16</v>
      </c>
      <c r="R18" s="78">
        <f t="shared" si="10"/>
        <v>0</v>
      </c>
    </row>
    <row r="19" spans="1:18">
      <c r="A19" s="77">
        <f>Main!F20</f>
        <v>0</v>
      </c>
      <c r="B19" s="77">
        <f>Main!G20</f>
        <v>0</v>
      </c>
      <c r="C19" s="74" t="str">
        <f t="shared" si="1"/>
        <v>-</v>
      </c>
      <c r="D19" s="74">
        <f t="shared" si="2"/>
        <v>0</v>
      </c>
      <c r="E19" s="75">
        <f t="shared" si="3"/>
        <v>0</v>
      </c>
      <c r="F19" s="75">
        <f t="shared" si="4"/>
        <v>0</v>
      </c>
      <c r="G19" s="76" t="str">
        <f t="shared" si="0"/>
        <v>-</v>
      </c>
      <c r="I19" s="77">
        <v>17</v>
      </c>
      <c r="J19" s="82">
        <f t="shared" si="5"/>
        <v>0</v>
      </c>
      <c r="K19" s="82">
        <f t="shared" si="6"/>
        <v>0</v>
      </c>
      <c r="M19" s="77">
        <f t="shared" si="7"/>
        <v>0</v>
      </c>
      <c r="N19" s="79">
        <f t="shared" si="8"/>
        <v>0</v>
      </c>
      <c r="O19" s="76">
        <f t="shared" si="9"/>
        <v>0</v>
      </c>
      <c r="Q19" s="77">
        <v>17</v>
      </c>
      <c r="R19" s="78">
        <f t="shared" si="10"/>
        <v>0</v>
      </c>
    </row>
    <row r="20" spans="1:18">
      <c r="A20" s="77">
        <f>Main!F21</f>
        <v>0</v>
      </c>
      <c r="B20" s="77">
        <f>Main!G21</f>
        <v>0</v>
      </c>
      <c r="C20" s="74" t="str">
        <f t="shared" si="1"/>
        <v>-</v>
      </c>
      <c r="D20" s="74">
        <f t="shared" si="2"/>
        <v>0</v>
      </c>
      <c r="E20" s="75">
        <f t="shared" si="3"/>
        <v>0</v>
      </c>
      <c r="F20" s="75">
        <f t="shared" si="4"/>
        <v>0</v>
      </c>
      <c r="G20" s="76" t="str">
        <f t="shared" si="0"/>
        <v>-</v>
      </c>
      <c r="I20" s="77">
        <v>18</v>
      </c>
      <c r="J20" s="82">
        <f t="shared" si="5"/>
        <v>0</v>
      </c>
      <c r="K20" s="82">
        <f t="shared" si="6"/>
        <v>0</v>
      </c>
      <c r="M20" s="77">
        <f t="shared" si="7"/>
        <v>0</v>
      </c>
      <c r="N20" s="79">
        <f t="shared" si="8"/>
        <v>0</v>
      </c>
      <c r="O20" s="76">
        <f t="shared" si="9"/>
        <v>0</v>
      </c>
      <c r="Q20" s="77">
        <v>18</v>
      </c>
      <c r="R20" s="78">
        <f t="shared" si="10"/>
        <v>0</v>
      </c>
    </row>
    <row r="21" spans="1:18">
      <c r="A21" s="77">
        <f>Main!F22</f>
        <v>0</v>
      </c>
      <c r="B21" s="77">
        <f>Main!G22</f>
        <v>0</v>
      </c>
      <c r="C21" s="74" t="str">
        <f t="shared" si="1"/>
        <v>-</v>
      </c>
      <c r="D21" s="74">
        <f t="shared" si="2"/>
        <v>0</v>
      </c>
      <c r="E21" s="75">
        <f t="shared" si="3"/>
        <v>0</v>
      </c>
      <c r="F21" s="75">
        <f t="shared" si="4"/>
        <v>0</v>
      </c>
      <c r="G21" s="76" t="str">
        <f t="shared" si="0"/>
        <v>-</v>
      </c>
      <c r="I21" s="77">
        <v>19</v>
      </c>
      <c r="J21" s="82">
        <f t="shared" si="5"/>
        <v>0</v>
      </c>
      <c r="K21" s="82">
        <f t="shared" si="6"/>
        <v>0</v>
      </c>
      <c r="M21" s="77">
        <f t="shared" si="7"/>
        <v>0</v>
      </c>
      <c r="N21" s="79">
        <f t="shared" si="8"/>
        <v>0</v>
      </c>
      <c r="O21" s="76">
        <f t="shared" si="9"/>
        <v>0</v>
      </c>
      <c r="Q21" s="77">
        <v>19</v>
      </c>
      <c r="R21" s="78">
        <f t="shared" si="10"/>
        <v>0</v>
      </c>
    </row>
    <row r="22" spans="1:18">
      <c r="A22" s="77">
        <f>Main!F23</f>
        <v>0</v>
      </c>
      <c r="B22" s="77">
        <f>Main!G23</f>
        <v>0</v>
      </c>
      <c r="C22" s="74" t="str">
        <f t="shared" si="1"/>
        <v>-</v>
      </c>
      <c r="D22" s="74">
        <f t="shared" si="2"/>
        <v>0</v>
      </c>
      <c r="E22" s="75">
        <f t="shared" si="3"/>
        <v>0</v>
      </c>
      <c r="F22" s="75">
        <f t="shared" si="4"/>
        <v>0</v>
      </c>
      <c r="G22" s="76" t="str">
        <f t="shared" si="0"/>
        <v>-</v>
      </c>
      <c r="I22" s="77">
        <v>20</v>
      </c>
      <c r="J22" s="82">
        <f t="shared" si="5"/>
        <v>0</v>
      </c>
      <c r="K22" s="82">
        <f t="shared" si="6"/>
        <v>0</v>
      </c>
      <c r="M22" s="77">
        <f t="shared" si="7"/>
        <v>0</v>
      </c>
      <c r="N22" s="79">
        <f t="shared" si="8"/>
        <v>0</v>
      </c>
      <c r="O22" s="76">
        <f t="shared" si="9"/>
        <v>0</v>
      </c>
      <c r="Q22" s="77">
        <v>20</v>
      </c>
      <c r="R22" s="78">
        <f t="shared" si="10"/>
        <v>0</v>
      </c>
    </row>
    <row r="23" spans="1:18">
      <c r="A23" s="77">
        <f>Main!F24</f>
        <v>0</v>
      </c>
      <c r="B23" s="77">
        <f>Main!G24</f>
        <v>0</v>
      </c>
      <c r="C23" s="74" t="str">
        <f t="shared" si="1"/>
        <v>-</v>
      </c>
      <c r="D23" s="74">
        <f t="shared" si="2"/>
        <v>0</v>
      </c>
      <c r="E23" s="75">
        <f t="shared" si="3"/>
        <v>0</v>
      </c>
      <c r="F23" s="75">
        <f t="shared" si="4"/>
        <v>0</v>
      </c>
      <c r="G23" s="76" t="str">
        <f t="shared" si="0"/>
        <v>-</v>
      </c>
      <c r="I23" s="77">
        <v>21</v>
      </c>
      <c r="J23" s="82">
        <f t="shared" si="5"/>
        <v>0</v>
      </c>
      <c r="K23" s="82">
        <f t="shared" si="6"/>
        <v>0</v>
      </c>
      <c r="M23" s="77">
        <f t="shared" si="7"/>
        <v>0</v>
      </c>
      <c r="N23" s="79">
        <f t="shared" si="8"/>
        <v>0</v>
      </c>
      <c r="O23" s="76">
        <f t="shared" si="9"/>
        <v>0</v>
      </c>
      <c r="Q23" s="77">
        <v>21</v>
      </c>
      <c r="R23" s="78">
        <f t="shared" si="10"/>
        <v>0</v>
      </c>
    </row>
    <row r="24" spans="1:18">
      <c r="A24" s="77">
        <f>Main!F25</f>
        <v>0</v>
      </c>
      <c r="B24" s="77">
        <f>Main!G25</f>
        <v>0</v>
      </c>
      <c r="C24" s="74" t="str">
        <f t="shared" si="1"/>
        <v>-</v>
      </c>
      <c r="D24" s="74">
        <f t="shared" si="2"/>
        <v>0</v>
      </c>
      <c r="E24" s="75">
        <f t="shared" si="3"/>
        <v>0</v>
      </c>
      <c r="F24" s="75">
        <f t="shared" si="4"/>
        <v>0</v>
      </c>
      <c r="G24" s="76" t="str">
        <f t="shared" si="0"/>
        <v>-</v>
      </c>
      <c r="I24" s="77">
        <v>22</v>
      </c>
      <c r="J24" s="82">
        <f t="shared" si="5"/>
        <v>0</v>
      </c>
      <c r="K24" s="82">
        <f t="shared" si="6"/>
        <v>0</v>
      </c>
      <c r="M24" s="77">
        <f t="shared" si="7"/>
        <v>0</v>
      </c>
      <c r="N24" s="79">
        <f t="shared" si="8"/>
        <v>0</v>
      </c>
      <c r="O24" s="76">
        <f t="shared" si="9"/>
        <v>0</v>
      </c>
      <c r="Q24" s="77">
        <v>22</v>
      </c>
      <c r="R24" s="78">
        <f t="shared" si="10"/>
        <v>0</v>
      </c>
    </row>
    <row r="25" spans="1:18">
      <c r="A25" s="77">
        <f>Main!F26</f>
        <v>0</v>
      </c>
      <c r="B25" s="77">
        <f>Main!G26</f>
        <v>0</v>
      </c>
      <c r="C25" s="74" t="str">
        <f t="shared" si="1"/>
        <v>-</v>
      </c>
      <c r="D25" s="74">
        <f t="shared" si="2"/>
        <v>0</v>
      </c>
      <c r="E25" s="75">
        <f t="shared" si="3"/>
        <v>0</v>
      </c>
      <c r="F25" s="75">
        <f t="shared" si="4"/>
        <v>0</v>
      </c>
      <c r="G25" s="76" t="str">
        <f t="shared" si="0"/>
        <v>-</v>
      </c>
      <c r="I25" s="77">
        <v>23</v>
      </c>
      <c r="J25" s="82">
        <f t="shared" si="5"/>
        <v>0</v>
      </c>
      <c r="K25" s="82">
        <f t="shared" si="6"/>
        <v>0</v>
      </c>
      <c r="M25" s="77">
        <f t="shared" si="7"/>
        <v>0</v>
      </c>
      <c r="N25" s="79">
        <f t="shared" si="8"/>
        <v>0</v>
      </c>
      <c r="O25" s="76">
        <f t="shared" si="9"/>
        <v>0</v>
      </c>
      <c r="Q25" s="77">
        <v>23</v>
      </c>
      <c r="R25" s="78">
        <f t="shared" si="10"/>
        <v>0</v>
      </c>
    </row>
    <row r="26" spans="1:18">
      <c r="A26" s="77">
        <f>Main!F27</f>
        <v>0</v>
      </c>
      <c r="B26" s="77">
        <f>Main!G27</f>
        <v>0</v>
      </c>
      <c r="C26" s="74" t="str">
        <f t="shared" si="1"/>
        <v>-</v>
      </c>
      <c r="D26" s="74">
        <f t="shared" si="2"/>
        <v>0</v>
      </c>
      <c r="E26" s="75">
        <f t="shared" si="3"/>
        <v>0</v>
      </c>
      <c r="F26" s="75">
        <f t="shared" si="4"/>
        <v>0</v>
      </c>
      <c r="G26" s="76" t="str">
        <f t="shared" si="0"/>
        <v>-</v>
      </c>
      <c r="I26" s="77">
        <v>24</v>
      </c>
      <c r="J26" s="82">
        <f t="shared" si="5"/>
        <v>0</v>
      </c>
      <c r="K26" s="82">
        <f t="shared" si="6"/>
        <v>0</v>
      </c>
      <c r="M26" s="77">
        <f t="shared" si="7"/>
        <v>0</v>
      </c>
      <c r="N26" s="79">
        <f t="shared" si="8"/>
        <v>0</v>
      </c>
      <c r="O26" s="76">
        <f t="shared" si="9"/>
        <v>0</v>
      </c>
      <c r="Q26" s="77">
        <v>24</v>
      </c>
      <c r="R26" s="78">
        <f t="shared" si="10"/>
        <v>0</v>
      </c>
    </row>
    <row r="27" spans="1:18">
      <c r="A27" s="77">
        <f>Main!F28</f>
        <v>0</v>
      </c>
      <c r="B27" s="77">
        <f>Main!G28</f>
        <v>0</v>
      </c>
      <c r="C27" s="74" t="str">
        <f t="shared" si="1"/>
        <v>-</v>
      </c>
      <c r="D27" s="74">
        <f t="shared" si="2"/>
        <v>0</v>
      </c>
      <c r="E27" s="75">
        <f t="shared" si="3"/>
        <v>0</v>
      </c>
      <c r="F27" s="75">
        <f t="shared" si="4"/>
        <v>0</v>
      </c>
      <c r="G27" s="76" t="str">
        <f t="shared" si="0"/>
        <v>-</v>
      </c>
      <c r="I27" s="77">
        <v>25</v>
      </c>
      <c r="J27" s="82">
        <f t="shared" si="5"/>
        <v>0</v>
      </c>
      <c r="K27" s="82">
        <f t="shared" si="6"/>
        <v>0</v>
      </c>
      <c r="M27" s="77">
        <f t="shared" si="7"/>
        <v>0</v>
      </c>
      <c r="N27" s="79">
        <f t="shared" si="8"/>
        <v>0</v>
      </c>
      <c r="O27" s="76">
        <f t="shared" si="9"/>
        <v>0</v>
      </c>
      <c r="Q27" s="77">
        <v>25</v>
      </c>
      <c r="R27" s="78">
        <f t="shared" si="10"/>
        <v>0</v>
      </c>
    </row>
    <row r="28" spans="1:18">
      <c r="A28" s="77">
        <f>Main!F29</f>
        <v>0</v>
      </c>
      <c r="B28" s="77">
        <f>Main!G29</f>
        <v>0</v>
      </c>
      <c r="C28" s="74" t="str">
        <f t="shared" si="1"/>
        <v>-</v>
      </c>
      <c r="D28" s="74">
        <f t="shared" si="2"/>
        <v>0</v>
      </c>
      <c r="E28" s="75">
        <f t="shared" si="3"/>
        <v>0</v>
      </c>
      <c r="F28" s="75">
        <f t="shared" si="4"/>
        <v>0</v>
      </c>
      <c r="G28" s="76" t="str">
        <f t="shared" si="0"/>
        <v>-</v>
      </c>
      <c r="I28" s="77">
        <v>26</v>
      </c>
      <c r="J28" s="82">
        <f t="shared" si="5"/>
        <v>0</v>
      </c>
      <c r="K28" s="82">
        <f t="shared" si="6"/>
        <v>0</v>
      </c>
      <c r="M28" s="77">
        <f t="shared" si="7"/>
        <v>0</v>
      </c>
      <c r="N28" s="79">
        <f t="shared" si="8"/>
        <v>0</v>
      </c>
      <c r="O28" s="76">
        <f t="shared" si="9"/>
        <v>0</v>
      </c>
      <c r="Q28" s="77">
        <v>26</v>
      </c>
      <c r="R28" s="78">
        <f t="shared" si="10"/>
        <v>0</v>
      </c>
    </row>
    <row r="29" spans="1:18">
      <c r="A29" s="77">
        <f>Main!F30</f>
        <v>0</v>
      </c>
      <c r="B29" s="77">
        <f>Main!G30</f>
        <v>0</v>
      </c>
      <c r="C29" s="74" t="str">
        <f t="shared" si="1"/>
        <v>-</v>
      </c>
      <c r="D29" s="74">
        <f t="shared" si="2"/>
        <v>0</v>
      </c>
      <c r="E29" s="75">
        <f t="shared" si="3"/>
        <v>0</v>
      </c>
      <c r="F29" s="75">
        <f t="shared" si="4"/>
        <v>0</v>
      </c>
      <c r="G29" s="76" t="str">
        <f t="shared" si="0"/>
        <v>-</v>
      </c>
      <c r="I29" s="77">
        <v>27</v>
      </c>
      <c r="J29" s="82">
        <f t="shared" si="5"/>
        <v>0</v>
      </c>
      <c r="K29" s="82">
        <f t="shared" si="6"/>
        <v>0</v>
      </c>
      <c r="M29" s="77">
        <f t="shared" si="7"/>
        <v>0</v>
      </c>
      <c r="N29" s="79">
        <f t="shared" si="8"/>
        <v>0</v>
      </c>
      <c r="O29" s="76">
        <f t="shared" si="9"/>
        <v>0</v>
      </c>
      <c r="Q29" s="77">
        <v>27</v>
      </c>
      <c r="R29" s="78">
        <f t="shared" si="10"/>
        <v>0</v>
      </c>
    </row>
    <row r="30" spans="1:18">
      <c r="A30" s="77">
        <f>Main!F31</f>
        <v>0</v>
      </c>
      <c r="B30" s="77">
        <f>Main!G31</f>
        <v>0</v>
      </c>
      <c r="C30" s="74" t="str">
        <f t="shared" si="1"/>
        <v>-</v>
      </c>
      <c r="D30" s="74">
        <f t="shared" si="2"/>
        <v>0</v>
      </c>
      <c r="E30" s="75">
        <f t="shared" si="3"/>
        <v>0</v>
      </c>
      <c r="F30" s="75">
        <f t="shared" si="4"/>
        <v>0</v>
      </c>
      <c r="G30" s="76" t="str">
        <f t="shared" si="0"/>
        <v>-</v>
      </c>
      <c r="I30" s="77">
        <v>28</v>
      </c>
      <c r="J30" s="82">
        <f t="shared" si="5"/>
        <v>0</v>
      </c>
      <c r="K30" s="82">
        <f t="shared" si="6"/>
        <v>0</v>
      </c>
      <c r="M30" s="77">
        <f t="shared" si="7"/>
        <v>0</v>
      </c>
      <c r="N30" s="79">
        <f t="shared" si="8"/>
        <v>0</v>
      </c>
      <c r="O30" s="76">
        <f t="shared" si="9"/>
        <v>0</v>
      </c>
      <c r="Q30" s="77">
        <v>28</v>
      </c>
      <c r="R30" s="78">
        <f t="shared" si="10"/>
        <v>0</v>
      </c>
    </row>
    <row r="31" spans="1:18">
      <c r="A31" s="77">
        <f>Main!F32</f>
        <v>0</v>
      </c>
      <c r="B31" s="77">
        <f>Main!G32</f>
        <v>0</v>
      </c>
      <c r="C31" s="74" t="str">
        <f t="shared" si="1"/>
        <v>-</v>
      </c>
      <c r="D31" s="74">
        <f t="shared" si="2"/>
        <v>0</v>
      </c>
      <c r="E31" s="75">
        <f t="shared" si="3"/>
        <v>0</v>
      </c>
      <c r="F31" s="75">
        <f t="shared" si="4"/>
        <v>0</v>
      </c>
      <c r="G31" s="76" t="str">
        <f t="shared" si="0"/>
        <v>-</v>
      </c>
      <c r="I31" s="77">
        <v>29</v>
      </c>
      <c r="J31" s="82">
        <f t="shared" si="5"/>
        <v>0</v>
      </c>
      <c r="K31" s="82">
        <f t="shared" si="6"/>
        <v>0</v>
      </c>
      <c r="M31" s="77">
        <f t="shared" si="7"/>
        <v>0</v>
      </c>
      <c r="N31" s="79">
        <f t="shared" si="8"/>
        <v>0</v>
      </c>
      <c r="O31" s="76">
        <f t="shared" si="9"/>
        <v>0</v>
      </c>
      <c r="Q31" s="77">
        <v>29</v>
      </c>
      <c r="R31" s="78">
        <f t="shared" si="10"/>
        <v>0</v>
      </c>
    </row>
    <row r="32" spans="1:18">
      <c r="A32" s="77">
        <f>Main!F33</f>
        <v>0</v>
      </c>
      <c r="B32" s="77">
        <f>Main!G33</f>
        <v>0</v>
      </c>
      <c r="C32" s="74" t="str">
        <f t="shared" si="1"/>
        <v>-</v>
      </c>
      <c r="D32" s="74">
        <f t="shared" si="2"/>
        <v>0</v>
      </c>
      <c r="E32" s="75">
        <f t="shared" si="3"/>
        <v>0</v>
      </c>
      <c r="F32" s="75">
        <f t="shared" si="4"/>
        <v>0</v>
      </c>
      <c r="G32" s="76" t="str">
        <f t="shared" si="0"/>
        <v>-</v>
      </c>
      <c r="I32" s="77">
        <v>30</v>
      </c>
      <c r="J32" s="82">
        <f t="shared" si="5"/>
        <v>0</v>
      </c>
      <c r="K32" s="82">
        <f t="shared" si="6"/>
        <v>0</v>
      </c>
      <c r="M32" s="77">
        <f t="shared" si="7"/>
        <v>0</v>
      </c>
      <c r="N32" s="79">
        <f t="shared" si="8"/>
        <v>0</v>
      </c>
      <c r="O32" s="76">
        <f t="shared" si="9"/>
        <v>0</v>
      </c>
      <c r="Q32" s="77">
        <v>30</v>
      </c>
      <c r="R32" s="78">
        <f t="shared" si="10"/>
        <v>0</v>
      </c>
    </row>
    <row r="33" spans="1:18">
      <c r="A33" s="77">
        <f>Main!F34</f>
        <v>0</v>
      </c>
      <c r="B33" s="77">
        <f>Main!G34</f>
        <v>0</v>
      </c>
      <c r="C33" s="74" t="str">
        <f t="shared" si="1"/>
        <v>-</v>
      </c>
      <c r="D33" s="74">
        <f t="shared" si="2"/>
        <v>0</v>
      </c>
      <c r="E33" s="75">
        <f t="shared" si="3"/>
        <v>0</v>
      </c>
      <c r="F33" s="75">
        <f t="shared" si="4"/>
        <v>0</v>
      </c>
      <c r="G33" s="76" t="str">
        <f t="shared" si="0"/>
        <v>-</v>
      </c>
      <c r="I33" s="77">
        <v>31</v>
      </c>
      <c r="J33" s="82">
        <f t="shared" si="5"/>
        <v>0</v>
      </c>
      <c r="K33" s="82">
        <f t="shared" si="6"/>
        <v>0</v>
      </c>
      <c r="M33" s="77">
        <f t="shared" si="7"/>
        <v>0</v>
      </c>
      <c r="N33" s="79">
        <f t="shared" si="8"/>
        <v>0</v>
      </c>
      <c r="O33" s="76">
        <f t="shared" si="9"/>
        <v>0</v>
      </c>
      <c r="Q33" s="77">
        <v>31</v>
      </c>
      <c r="R33" s="78">
        <f t="shared" si="10"/>
        <v>0</v>
      </c>
    </row>
    <row r="34" spans="1:18">
      <c r="A34" s="77">
        <f>Main!F35</f>
        <v>0</v>
      </c>
      <c r="B34" s="77">
        <f>Main!G35</f>
        <v>0</v>
      </c>
      <c r="C34" s="74" t="str">
        <f t="shared" si="1"/>
        <v>-</v>
      </c>
      <c r="D34" s="74">
        <f t="shared" si="2"/>
        <v>0</v>
      </c>
      <c r="E34" s="75">
        <f t="shared" si="3"/>
        <v>0</v>
      </c>
      <c r="F34" s="75">
        <f t="shared" si="4"/>
        <v>0</v>
      </c>
      <c r="G34" s="76" t="str">
        <f t="shared" si="0"/>
        <v>-</v>
      </c>
      <c r="I34" s="77">
        <v>32</v>
      </c>
      <c r="J34" s="82">
        <f t="shared" si="5"/>
        <v>0</v>
      </c>
      <c r="K34" s="82">
        <f t="shared" si="6"/>
        <v>0</v>
      </c>
      <c r="M34" s="77">
        <f t="shared" si="7"/>
        <v>0</v>
      </c>
      <c r="N34" s="79">
        <f t="shared" si="8"/>
        <v>0</v>
      </c>
      <c r="O34" s="76">
        <f t="shared" si="9"/>
        <v>0</v>
      </c>
      <c r="Q34" s="77">
        <v>32</v>
      </c>
      <c r="R34" s="78">
        <f t="shared" si="10"/>
        <v>0</v>
      </c>
    </row>
    <row r="35" spans="1:18">
      <c r="A35" s="77">
        <f>Main!F36</f>
        <v>0</v>
      </c>
      <c r="B35" s="77">
        <f>Main!G36</f>
        <v>0</v>
      </c>
      <c r="C35" s="74" t="str">
        <f t="shared" si="1"/>
        <v>-</v>
      </c>
      <c r="D35" s="74">
        <f t="shared" si="2"/>
        <v>0</v>
      </c>
      <c r="E35" s="75">
        <f t="shared" si="3"/>
        <v>0</v>
      </c>
      <c r="F35" s="75">
        <f t="shared" si="4"/>
        <v>0</v>
      </c>
      <c r="G35" s="76" t="str">
        <f t="shared" si="0"/>
        <v>-</v>
      </c>
      <c r="I35" s="77">
        <v>33</v>
      </c>
      <c r="J35" s="82">
        <f t="shared" si="5"/>
        <v>0</v>
      </c>
      <c r="K35" s="82">
        <f t="shared" si="6"/>
        <v>0</v>
      </c>
      <c r="M35" s="77">
        <f t="shared" si="7"/>
        <v>0</v>
      </c>
      <c r="N35" s="79">
        <f t="shared" si="8"/>
        <v>0</v>
      </c>
      <c r="O35" s="76">
        <f t="shared" si="9"/>
        <v>0</v>
      </c>
      <c r="Q35" s="77">
        <v>33</v>
      </c>
      <c r="R35" s="78">
        <f t="shared" si="10"/>
        <v>0</v>
      </c>
    </row>
    <row r="36" spans="1:18">
      <c r="A36" s="77">
        <f>Main!F37</f>
        <v>0</v>
      </c>
      <c r="B36" s="77">
        <f>Main!G37</f>
        <v>0</v>
      </c>
      <c r="C36" s="74" t="str">
        <f t="shared" si="1"/>
        <v>-</v>
      </c>
      <c r="D36" s="74">
        <f t="shared" si="2"/>
        <v>0</v>
      </c>
      <c r="E36" s="75">
        <f t="shared" si="3"/>
        <v>0</v>
      </c>
      <c r="F36" s="75">
        <f t="shared" si="4"/>
        <v>0</v>
      </c>
      <c r="G36" s="76" t="str">
        <f t="shared" si="0"/>
        <v>-</v>
      </c>
      <c r="I36" s="77">
        <v>34</v>
      </c>
      <c r="J36" s="82">
        <f t="shared" si="5"/>
        <v>0</v>
      </c>
      <c r="K36" s="82">
        <f t="shared" si="6"/>
        <v>0</v>
      </c>
      <c r="M36" s="77">
        <f t="shared" si="7"/>
        <v>0</v>
      </c>
      <c r="N36" s="79">
        <f t="shared" si="8"/>
        <v>0</v>
      </c>
      <c r="O36" s="76">
        <f t="shared" si="9"/>
        <v>0</v>
      </c>
      <c r="Q36" s="77">
        <v>34</v>
      </c>
      <c r="R36" s="78">
        <f t="shared" si="10"/>
        <v>0</v>
      </c>
    </row>
    <row r="37" spans="1:18">
      <c r="A37" s="77">
        <f>Main!F38</f>
        <v>0</v>
      </c>
      <c r="B37" s="77">
        <f>Main!G38</f>
        <v>0</v>
      </c>
      <c r="C37" s="74" t="str">
        <f t="shared" si="1"/>
        <v>-</v>
      </c>
      <c r="D37" s="74">
        <f t="shared" si="2"/>
        <v>0</v>
      </c>
      <c r="E37" s="75">
        <f t="shared" si="3"/>
        <v>0</v>
      </c>
      <c r="F37" s="75">
        <f t="shared" si="4"/>
        <v>0</v>
      </c>
      <c r="G37" s="76" t="str">
        <f t="shared" si="0"/>
        <v>-</v>
      </c>
      <c r="I37" s="77">
        <v>35</v>
      </c>
      <c r="J37" s="82">
        <f t="shared" si="5"/>
        <v>0</v>
      </c>
      <c r="K37" s="82">
        <f t="shared" si="6"/>
        <v>0</v>
      </c>
      <c r="M37" s="77">
        <f t="shared" si="7"/>
        <v>0</v>
      </c>
      <c r="N37" s="79">
        <f t="shared" si="8"/>
        <v>0</v>
      </c>
      <c r="O37" s="76">
        <f t="shared" si="9"/>
        <v>0</v>
      </c>
      <c r="Q37" s="77">
        <v>35</v>
      </c>
      <c r="R37" s="78">
        <f t="shared" si="10"/>
        <v>0</v>
      </c>
    </row>
    <row r="38" spans="1:18">
      <c r="A38" s="77">
        <f>Main!F39</f>
        <v>0</v>
      </c>
      <c r="B38" s="77">
        <f>Main!G39</f>
        <v>0</v>
      </c>
      <c r="C38" s="74" t="str">
        <f t="shared" si="1"/>
        <v>-</v>
      </c>
      <c r="D38" s="74">
        <f t="shared" si="2"/>
        <v>0</v>
      </c>
      <c r="E38" s="75">
        <f t="shared" si="3"/>
        <v>0</v>
      </c>
      <c r="F38" s="75">
        <f t="shared" si="4"/>
        <v>0</v>
      </c>
      <c r="G38" s="76" t="str">
        <f t="shared" si="0"/>
        <v>-</v>
      </c>
      <c r="I38" s="77">
        <v>36</v>
      </c>
      <c r="J38" s="82">
        <f t="shared" si="5"/>
        <v>0</v>
      </c>
      <c r="K38" s="82">
        <f t="shared" si="6"/>
        <v>0</v>
      </c>
      <c r="M38" s="77">
        <f t="shared" si="7"/>
        <v>0</v>
      </c>
      <c r="N38" s="79">
        <f t="shared" si="8"/>
        <v>0</v>
      </c>
      <c r="O38" s="76">
        <f t="shared" si="9"/>
        <v>0</v>
      </c>
      <c r="Q38" s="77">
        <v>36</v>
      </c>
      <c r="R38" s="78">
        <f t="shared" si="10"/>
        <v>0</v>
      </c>
    </row>
    <row r="39" spans="1:18">
      <c r="A39" s="77">
        <f>Main!F40</f>
        <v>0</v>
      </c>
      <c r="B39" s="77">
        <f>Main!G40</f>
        <v>0</v>
      </c>
      <c r="C39" s="74" t="str">
        <f t="shared" si="1"/>
        <v>-</v>
      </c>
      <c r="D39" s="74">
        <f t="shared" si="2"/>
        <v>0</v>
      </c>
      <c r="E39" s="75">
        <f t="shared" si="3"/>
        <v>0</v>
      </c>
      <c r="F39" s="75">
        <f t="shared" si="4"/>
        <v>0</v>
      </c>
      <c r="G39" s="76" t="str">
        <f t="shared" si="0"/>
        <v>-</v>
      </c>
      <c r="I39" s="77">
        <v>37</v>
      </c>
      <c r="J39" s="82">
        <f t="shared" si="5"/>
        <v>0</v>
      </c>
      <c r="K39" s="82">
        <f t="shared" si="6"/>
        <v>0</v>
      </c>
      <c r="M39" s="77">
        <f t="shared" si="7"/>
        <v>0</v>
      </c>
      <c r="N39" s="79">
        <f t="shared" si="8"/>
        <v>0</v>
      </c>
      <c r="O39" s="76">
        <f t="shared" si="9"/>
        <v>0</v>
      </c>
      <c r="Q39" s="77">
        <v>37</v>
      </c>
      <c r="R39" s="78">
        <f t="shared" si="10"/>
        <v>0</v>
      </c>
    </row>
    <row r="40" spans="1:18">
      <c r="A40" s="77">
        <f>Main!F41</f>
        <v>0</v>
      </c>
      <c r="B40" s="77">
        <f>Main!G41</f>
        <v>0</v>
      </c>
      <c r="C40" s="74" t="str">
        <f t="shared" si="1"/>
        <v>-</v>
      </c>
      <c r="D40" s="74">
        <f t="shared" si="2"/>
        <v>0</v>
      </c>
      <c r="E40" s="75">
        <f t="shared" si="3"/>
        <v>0</v>
      </c>
      <c r="F40" s="75">
        <f t="shared" si="4"/>
        <v>0</v>
      </c>
      <c r="G40" s="76" t="str">
        <f t="shared" si="0"/>
        <v>-</v>
      </c>
      <c r="I40" s="77">
        <v>38</v>
      </c>
      <c r="J40" s="82">
        <f t="shared" si="5"/>
        <v>0</v>
      </c>
      <c r="K40" s="82">
        <f t="shared" si="6"/>
        <v>0</v>
      </c>
      <c r="M40" s="77">
        <f t="shared" si="7"/>
        <v>0</v>
      </c>
      <c r="N40" s="79">
        <f t="shared" si="8"/>
        <v>0</v>
      </c>
      <c r="O40" s="76">
        <f t="shared" si="9"/>
        <v>0</v>
      </c>
      <c r="Q40" s="77">
        <v>38</v>
      </c>
      <c r="R40" s="78">
        <f t="shared" si="10"/>
        <v>0</v>
      </c>
    </row>
    <row r="41" spans="1:18">
      <c r="A41" s="77">
        <f>Main!F42</f>
        <v>0</v>
      </c>
      <c r="B41" s="77">
        <f>Main!G42</f>
        <v>0</v>
      </c>
      <c r="C41" s="74" t="str">
        <f t="shared" si="1"/>
        <v>-</v>
      </c>
      <c r="D41" s="74">
        <f t="shared" si="2"/>
        <v>0</v>
      </c>
      <c r="E41" s="75">
        <f t="shared" si="3"/>
        <v>0</v>
      </c>
      <c r="F41" s="75">
        <f t="shared" si="4"/>
        <v>0</v>
      </c>
      <c r="G41" s="76" t="str">
        <f t="shared" si="0"/>
        <v>-</v>
      </c>
      <c r="I41" s="77">
        <v>39</v>
      </c>
      <c r="J41" s="82">
        <f t="shared" si="5"/>
        <v>0</v>
      </c>
      <c r="K41" s="82">
        <f t="shared" si="6"/>
        <v>0</v>
      </c>
      <c r="M41" s="77">
        <f t="shared" si="7"/>
        <v>0</v>
      </c>
      <c r="N41" s="79">
        <f t="shared" si="8"/>
        <v>0</v>
      </c>
      <c r="O41" s="76">
        <f t="shared" si="9"/>
        <v>0</v>
      </c>
      <c r="Q41" s="77">
        <v>39</v>
      </c>
      <c r="R41" s="78">
        <f t="shared" si="10"/>
        <v>0</v>
      </c>
    </row>
    <row r="42" spans="1:18">
      <c r="A42" s="77">
        <f>Main!F43</f>
        <v>0</v>
      </c>
      <c r="B42" s="77">
        <f>Main!G43</f>
        <v>0</v>
      </c>
      <c r="C42" s="74" t="str">
        <f t="shared" si="1"/>
        <v>-</v>
      </c>
      <c r="D42" s="74">
        <f t="shared" si="2"/>
        <v>0</v>
      </c>
      <c r="E42" s="75">
        <f t="shared" si="3"/>
        <v>0</v>
      </c>
      <c r="F42" s="75">
        <f t="shared" si="4"/>
        <v>0</v>
      </c>
      <c r="G42" s="76" t="str">
        <f t="shared" si="0"/>
        <v>-</v>
      </c>
      <c r="I42" s="77">
        <v>40</v>
      </c>
      <c r="J42" s="82">
        <f t="shared" si="5"/>
        <v>0</v>
      </c>
      <c r="K42" s="82">
        <f t="shared" si="6"/>
        <v>0</v>
      </c>
      <c r="M42" s="77">
        <f t="shared" si="7"/>
        <v>0</v>
      </c>
      <c r="N42" s="79">
        <f t="shared" si="8"/>
        <v>0</v>
      </c>
      <c r="O42" s="76">
        <f t="shared" si="9"/>
        <v>0</v>
      </c>
      <c r="Q42" s="77">
        <v>40</v>
      </c>
      <c r="R42" s="78">
        <f t="shared" si="10"/>
        <v>0</v>
      </c>
    </row>
    <row r="43" spans="1:18">
      <c r="A43" s="77">
        <f>Main!F44</f>
        <v>0</v>
      </c>
      <c r="B43" s="77">
        <f>Main!G44</f>
        <v>0</v>
      </c>
      <c r="C43" s="74" t="str">
        <f t="shared" si="1"/>
        <v>-</v>
      </c>
      <c r="D43" s="74">
        <f t="shared" si="2"/>
        <v>0</v>
      </c>
      <c r="E43" s="75">
        <f t="shared" si="3"/>
        <v>0</v>
      </c>
      <c r="F43" s="75">
        <f t="shared" si="4"/>
        <v>0</v>
      </c>
      <c r="G43" s="76" t="str">
        <f t="shared" si="0"/>
        <v>-</v>
      </c>
      <c r="I43" s="77">
        <v>41</v>
      </c>
      <c r="J43" s="82">
        <f t="shared" si="5"/>
        <v>0</v>
      </c>
      <c r="K43" s="82">
        <f t="shared" si="6"/>
        <v>0</v>
      </c>
      <c r="M43" s="77">
        <f t="shared" si="7"/>
        <v>0</v>
      </c>
      <c r="N43" s="79">
        <f t="shared" si="8"/>
        <v>0</v>
      </c>
      <c r="O43" s="76">
        <f t="shared" si="9"/>
        <v>0</v>
      </c>
      <c r="Q43" s="77">
        <v>41</v>
      </c>
      <c r="R43" s="78">
        <f t="shared" si="10"/>
        <v>0</v>
      </c>
    </row>
    <row r="44" spans="1:18">
      <c r="A44" s="77">
        <f>Main!F45</f>
        <v>0</v>
      </c>
      <c r="B44" s="77">
        <f>Main!G45</f>
        <v>0</v>
      </c>
      <c r="C44" s="74" t="str">
        <f t="shared" si="1"/>
        <v>-</v>
      </c>
      <c r="D44" s="74">
        <f t="shared" si="2"/>
        <v>0</v>
      </c>
      <c r="E44" s="75">
        <f t="shared" si="3"/>
        <v>0</v>
      </c>
      <c r="F44" s="75">
        <f t="shared" si="4"/>
        <v>0</v>
      </c>
      <c r="G44" s="76" t="str">
        <f t="shared" si="0"/>
        <v>-</v>
      </c>
      <c r="I44" s="77">
        <v>42</v>
      </c>
      <c r="J44" s="82">
        <f t="shared" si="5"/>
        <v>0</v>
      </c>
      <c r="K44" s="82">
        <f t="shared" si="6"/>
        <v>0</v>
      </c>
      <c r="M44" s="77">
        <f t="shared" si="7"/>
        <v>0</v>
      </c>
      <c r="N44" s="79">
        <f t="shared" si="8"/>
        <v>0</v>
      </c>
      <c r="O44" s="76">
        <f t="shared" si="9"/>
        <v>0</v>
      </c>
      <c r="Q44" s="77">
        <v>42</v>
      </c>
      <c r="R44" s="78">
        <f t="shared" si="10"/>
        <v>0</v>
      </c>
    </row>
    <row r="45" spans="1:18">
      <c r="A45" s="77">
        <f>Main!F46</f>
        <v>0</v>
      </c>
      <c r="B45" s="77">
        <f>Main!G46</f>
        <v>0</v>
      </c>
      <c r="C45" s="74" t="str">
        <f t="shared" si="1"/>
        <v>-</v>
      </c>
      <c r="D45" s="74">
        <f t="shared" si="2"/>
        <v>0</v>
      </c>
      <c r="E45" s="75">
        <f t="shared" si="3"/>
        <v>0</v>
      </c>
      <c r="F45" s="75">
        <f t="shared" si="4"/>
        <v>0</v>
      </c>
      <c r="G45" s="76" t="str">
        <f t="shared" si="0"/>
        <v>-</v>
      </c>
      <c r="I45" s="77">
        <v>43</v>
      </c>
      <c r="J45" s="82">
        <f t="shared" si="5"/>
        <v>0</v>
      </c>
      <c r="K45" s="82">
        <f t="shared" si="6"/>
        <v>0</v>
      </c>
      <c r="M45" s="77">
        <f t="shared" si="7"/>
        <v>0</v>
      </c>
      <c r="N45" s="79">
        <f t="shared" si="8"/>
        <v>0</v>
      </c>
      <c r="O45" s="76">
        <f t="shared" si="9"/>
        <v>0</v>
      </c>
      <c r="Q45" s="77">
        <v>43</v>
      </c>
      <c r="R45" s="78">
        <f t="shared" si="10"/>
        <v>0</v>
      </c>
    </row>
    <row r="46" spans="1:18">
      <c r="A46" s="77">
        <f>Main!F47</f>
        <v>0</v>
      </c>
      <c r="B46" s="77">
        <f>Main!G47</f>
        <v>0</v>
      </c>
      <c r="C46" s="74" t="str">
        <f t="shared" si="1"/>
        <v>-</v>
      </c>
      <c r="D46" s="74">
        <f t="shared" si="2"/>
        <v>0</v>
      </c>
      <c r="E46" s="75">
        <f t="shared" si="3"/>
        <v>0</v>
      </c>
      <c r="F46" s="75">
        <f t="shared" si="4"/>
        <v>0</v>
      </c>
      <c r="G46" s="76" t="str">
        <f t="shared" si="0"/>
        <v>-</v>
      </c>
      <c r="I46" s="77">
        <v>44</v>
      </c>
      <c r="J46" s="82">
        <f t="shared" si="5"/>
        <v>0</v>
      </c>
      <c r="K46" s="82">
        <f t="shared" si="6"/>
        <v>0</v>
      </c>
      <c r="M46" s="77">
        <f t="shared" si="7"/>
        <v>0</v>
      </c>
      <c r="N46" s="79">
        <f t="shared" si="8"/>
        <v>0</v>
      </c>
      <c r="O46" s="76">
        <f t="shared" si="9"/>
        <v>0</v>
      </c>
      <c r="Q46" s="77">
        <v>44</v>
      </c>
      <c r="R46" s="78">
        <f t="shared" si="10"/>
        <v>0</v>
      </c>
    </row>
    <row r="47" spans="1:18">
      <c r="A47" s="77">
        <f>Main!F48</f>
        <v>0</v>
      </c>
      <c r="B47" s="77">
        <f>Main!G48</f>
        <v>0</v>
      </c>
      <c r="C47" s="74" t="str">
        <f t="shared" si="1"/>
        <v>-</v>
      </c>
      <c r="D47" s="74">
        <f t="shared" si="2"/>
        <v>0</v>
      </c>
      <c r="E47" s="75">
        <f t="shared" si="3"/>
        <v>0</v>
      </c>
      <c r="F47" s="75">
        <f t="shared" si="4"/>
        <v>0</v>
      </c>
      <c r="G47" s="76" t="str">
        <f t="shared" si="0"/>
        <v>-</v>
      </c>
      <c r="I47" s="77">
        <v>45</v>
      </c>
      <c r="J47" s="82">
        <f t="shared" si="5"/>
        <v>0</v>
      </c>
      <c r="K47" s="82">
        <f t="shared" si="6"/>
        <v>0</v>
      </c>
      <c r="M47" s="77">
        <f t="shared" si="7"/>
        <v>0</v>
      </c>
      <c r="N47" s="79">
        <f t="shared" si="8"/>
        <v>0</v>
      </c>
      <c r="O47" s="76">
        <f t="shared" si="9"/>
        <v>0</v>
      </c>
      <c r="Q47" s="77">
        <v>45</v>
      </c>
      <c r="R47" s="78">
        <f t="shared" si="10"/>
        <v>0</v>
      </c>
    </row>
    <row r="48" spans="1:18">
      <c r="A48" s="77">
        <f>Main!F49</f>
        <v>0</v>
      </c>
      <c r="B48" s="77">
        <f>Main!G49</f>
        <v>0</v>
      </c>
      <c r="C48" s="74" t="str">
        <f t="shared" si="1"/>
        <v>-</v>
      </c>
      <c r="D48" s="74">
        <f t="shared" si="2"/>
        <v>0</v>
      </c>
      <c r="E48" s="75">
        <f t="shared" si="3"/>
        <v>0</v>
      </c>
      <c r="F48" s="75">
        <f t="shared" si="4"/>
        <v>0</v>
      </c>
      <c r="G48" s="76" t="str">
        <f t="shared" si="0"/>
        <v>-</v>
      </c>
      <c r="I48" s="77">
        <v>46</v>
      </c>
      <c r="J48" s="82">
        <f t="shared" si="5"/>
        <v>0</v>
      </c>
      <c r="K48" s="82">
        <f t="shared" si="6"/>
        <v>0</v>
      </c>
      <c r="M48" s="77">
        <f t="shared" si="7"/>
        <v>0</v>
      </c>
      <c r="N48" s="79">
        <f t="shared" si="8"/>
        <v>0</v>
      </c>
      <c r="O48" s="76">
        <f t="shared" si="9"/>
        <v>0</v>
      </c>
      <c r="Q48" s="77">
        <v>46</v>
      </c>
      <c r="R48" s="78">
        <f t="shared" si="10"/>
        <v>0</v>
      </c>
    </row>
    <row r="49" spans="1:18">
      <c r="A49" s="77">
        <f>Main!F50</f>
        <v>0</v>
      </c>
      <c r="B49" s="77">
        <f>Main!G50</f>
        <v>0</v>
      </c>
      <c r="C49" s="74" t="str">
        <f t="shared" si="1"/>
        <v>-</v>
      </c>
      <c r="D49" s="74">
        <f t="shared" si="2"/>
        <v>0</v>
      </c>
      <c r="E49" s="75">
        <f t="shared" si="3"/>
        <v>0</v>
      </c>
      <c r="F49" s="75">
        <f t="shared" si="4"/>
        <v>0</v>
      </c>
      <c r="G49" s="76" t="str">
        <f t="shared" si="0"/>
        <v>-</v>
      </c>
      <c r="I49" s="77">
        <v>47</v>
      </c>
      <c r="J49" s="82">
        <f t="shared" si="5"/>
        <v>0</v>
      </c>
      <c r="K49" s="82">
        <f t="shared" si="6"/>
        <v>0</v>
      </c>
      <c r="M49" s="77">
        <f t="shared" si="7"/>
        <v>0</v>
      </c>
      <c r="N49" s="79">
        <f t="shared" si="8"/>
        <v>0</v>
      </c>
      <c r="O49" s="76">
        <f t="shared" si="9"/>
        <v>0</v>
      </c>
      <c r="Q49" s="77">
        <v>47</v>
      </c>
      <c r="R49" s="78">
        <f t="shared" si="10"/>
        <v>0</v>
      </c>
    </row>
    <row r="50" spans="1:18">
      <c r="A50" s="77">
        <f>Main!F51</f>
        <v>0</v>
      </c>
      <c r="B50" s="77">
        <f>Main!G51</f>
        <v>0</v>
      </c>
      <c r="C50" s="74" t="str">
        <f t="shared" si="1"/>
        <v>-</v>
      </c>
      <c r="D50" s="74">
        <f t="shared" si="2"/>
        <v>0</v>
      </c>
      <c r="E50" s="75">
        <f t="shared" si="3"/>
        <v>0</v>
      </c>
      <c r="F50" s="75">
        <f t="shared" si="4"/>
        <v>0</v>
      </c>
      <c r="G50" s="76" t="str">
        <f t="shared" si="0"/>
        <v>-</v>
      </c>
      <c r="I50" s="77">
        <v>48</v>
      </c>
      <c r="J50" s="82">
        <f t="shared" si="5"/>
        <v>0</v>
      </c>
      <c r="K50" s="82">
        <f t="shared" si="6"/>
        <v>0</v>
      </c>
      <c r="M50" s="77">
        <f t="shared" si="7"/>
        <v>0</v>
      </c>
      <c r="N50" s="79">
        <f t="shared" si="8"/>
        <v>0</v>
      </c>
      <c r="O50" s="76">
        <f t="shared" si="9"/>
        <v>0</v>
      </c>
      <c r="Q50" s="77">
        <v>48</v>
      </c>
      <c r="R50" s="78">
        <f t="shared" si="10"/>
        <v>0</v>
      </c>
    </row>
    <row r="51" spans="1:18">
      <c r="A51" s="77">
        <f>Main!F52</f>
        <v>0</v>
      </c>
      <c r="B51" s="77">
        <f>Main!G52</f>
        <v>0</v>
      </c>
      <c r="C51" s="74" t="str">
        <f t="shared" si="1"/>
        <v>-</v>
      </c>
      <c r="D51" s="74">
        <f t="shared" si="2"/>
        <v>0</v>
      </c>
      <c r="E51" s="75">
        <f t="shared" si="3"/>
        <v>0</v>
      </c>
      <c r="F51" s="75">
        <f t="shared" si="4"/>
        <v>0</v>
      </c>
      <c r="G51" s="76" t="str">
        <f t="shared" si="0"/>
        <v>-</v>
      </c>
      <c r="I51" s="77">
        <v>49</v>
      </c>
      <c r="J51" s="82">
        <f t="shared" si="5"/>
        <v>0</v>
      </c>
      <c r="K51" s="82">
        <f t="shared" si="6"/>
        <v>0</v>
      </c>
      <c r="M51" s="77">
        <f t="shared" si="7"/>
        <v>0</v>
      </c>
      <c r="N51" s="79">
        <f t="shared" si="8"/>
        <v>0</v>
      </c>
      <c r="O51" s="76">
        <f t="shared" si="9"/>
        <v>0</v>
      </c>
      <c r="Q51" s="77">
        <v>49</v>
      </c>
      <c r="R51" s="78">
        <f t="shared" si="10"/>
        <v>0</v>
      </c>
    </row>
    <row r="52" spans="1:18">
      <c r="A52" s="77">
        <f>Main!F53</f>
        <v>0</v>
      </c>
      <c r="B52" s="77">
        <f>Main!G53</f>
        <v>0</v>
      </c>
      <c r="C52" s="74" t="str">
        <f t="shared" si="1"/>
        <v>-</v>
      </c>
      <c r="D52" s="74">
        <f t="shared" si="2"/>
        <v>0</v>
      </c>
      <c r="E52" s="75">
        <f t="shared" si="3"/>
        <v>0</v>
      </c>
      <c r="F52" s="75">
        <f t="shared" si="4"/>
        <v>0</v>
      </c>
      <c r="G52" s="76" t="str">
        <f t="shared" si="0"/>
        <v>-</v>
      </c>
      <c r="I52" s="77">
        <v>50</v>
      </c>
      <c r="J52" s="82">
        <f t="shared" si="5"/>
        <v>0</v>
      </c>
      <c r="K52" s="82">
        <f t="shared" si="6"/>
        <v>0</v>
      </c>
      <c r="M52" s="77">
        <f t="shared" si="7"/>
        <v>0</v>
      </c>
      <c r="N52" s="79">
        <f t="shared" si="8"/>
        <v>0</v>
      </c>
      <c r="O52" s="76">
        <f t="shared" si="9"/>
        <v>0</v>
      </c>
      <c r="Q52" s="77">
        <v>50</v>
      </c>
      <c r="R52" s="78">
        <f t="shared" si="10"/>
        <v>0</v>
      </c>
    </row>
    <row r="53" spans="1:18">
      <c r="A53" s="77">
        <f>Main!F54</f>
        <v>0</v>
      </c>
      <c r="B53" s="77">
        <f>Main!G54</f>
        <v>0</v>
      </c>
      <c r="C53" s="74" t="str">
        <f t="shared" si="1"/>
        <v>-</v>
      </c>
      <c r="D53" s="74">
        <f t="shared" si="2"/>
        <v>0</v>
      </c>
      <c r="E53" s="75">
        <f t="shared" si="3"/>
        <v>0</v>
      </c>
      <c r="F53" s="75">
        <f t="shared" si="4"/>
        <v>0</v>
      </c>
      <c r="G53" s="76" t="str">
        <f t="shared" si="0"/>
        <v>-</v>
      </c>
      <c r="I53" s="77">
        <v>51</v>
      </c>
      <c r="J53" s="82">
        <f t="shared" si="5"/>
        <v>0</v>
      </c>
      <c r="K53" s="82">
        <f t="shared" si="6"/>
        <v>0</v>
      </c>
      <c r="M53" s="77">
        <f t="shared" si="7"/>
        <v>0</v>
      </c>
      <c r="N53" s="79">
        <f t="shared" si="8"/>
        <v>0</v>
      </c>
      <c r="O53" s="76">
        <f t="shared" si="9"/>
        <v>0</v>
      </c>
      <c r="Q53" s="77">
        <v>51</v>
      </c>
      <c r="R53" s="78">
        <f t="shared" si="10"/>
        <v>0</v>
      </c>
    </row>
    <row r="54" spans="1:18">
      <c r="A54" s="77">
        <f>Main!F55</f>
        <v>0</v>
      </c>
      <c r="B54" s="77">
        <f>Main!G55</f>
        <v>0</v>
      </c>
      <c r="C54" s="74" t="str">
        <f t="shared" si="1"/>
        <v>-</v>
      </c>
      <c r="D54" s="74">
        <f t="shared" si="2"/>
        <v>0</v>
      </c>
      <c r="E54" s="75">
        <f t="shared" si="3"/>
        <v>0</v>
      </c>
      <c r="F54" s="75">
        <f t="shared" si="4"/>
        <v>0</v>
      </c>
      <c r="G54" s="76" t="str">
        <f t="shared" si="0"/>
        <v>-</v>
      </c>
      <c r="I54" s="77">
        <v>52</v>
      </c>
      <c r="J54" s="82">
        <f t="shared" si="5"/>
        <v>0</v>
      </c>
      <c r="K54" s="82">
        <f t="shared" si="6"/>
        <v>0</v>
      </c>
      <c r="M54" s="77">
        <f t="shared" si="7"/>
        <v>0</v>
      </c>
      <c r="N54" s="79">
        <f t="shared" si="8"/>
        <v>0</v>
      </c>
      <c r="O54" s="76">
        <f t="shared" si="9"/>
        <v>0</v>
      </c>
      <c r="Q54" s="77">
        <v>52</v>
      </c>
      <c r="R54" s="78">
        <f t="shared" si="10"/>
        <v>0</v>
      </c>
    </row>
    <row r="55" spans="1:18">
      <c r="A55" s="77">
        <f>Main!F56</f>
        <v>0</v>
      </c>
      <c r="B55" s="77">
        <f>Main!G56</f>
        <v>0</v>
      </c>
      <c r="C55" s="74" t="str">
        <f t="shared" si="1"/>
        <v>-</v>
      </c>
      <c r="D55" s="74">
        <f t="shared" si="2"/>
        <v>0</v>
      </c>
      <c r="E55" s="75">
        <f t="shared" si="3"/>
        <v>0</v>
      </c>
      <c r="F55" s="75">
        <f t="shared" si="4"/>
        <v>0</v>
      </c>
      <c r="G55" s="76" t="str">
        <f t="shared" si="0"/>
        <v>-</v>
      </c>
      <c r="I55" s="77">
        <v>53</v>
      </c>
      <c r="J55" s="82">
        <f t="shared" si="5"/>
        <v>0</v>
      </c>
      <c r="K55" s="82">
        <f t="shared" si="6"/>
        <v>0</v>
      </c>
      <c r="M55" s="77">
        <f t="shared" si="7"/>
        <v>0</v>
      </c>
      <c r="N55" s="79">
        <f t="shared" si="8"/>
        <v>0</v>
      </c>
      <c r="O55" s="76">
        <f t="shared" si="9"/>
        <v>0</v>
      </c>
      <c r="Q55" s="77">
        <v>53</v>
      </c>
      <c r="R55" s="78">
        <f t="shared" si="10"/>
        <v>0</v>
      </c>
    </row>
    <row r="56" spans="1:18">
      <c r="A56" s="77">
        <f>Main!F57</f>
        <v>0</v>
      </c>
      <c r="B56" s="77">
        <f>Main!G57</f>
        <v>0</v>
      </c>
      <c r="C56" s="74" t="str">
        <f t="shared" si="1"/>
        <v>-</v>
      </c>
      <c r="D56" s="74">
        <f t="shared" si="2"/>
        <v>0</v>
      </c>
      <c r="E56" s="75">
        <f t="shared" si="3"/>
        <v>0</v>
      </c>
      <c r="F56" s="75">
        <f t="shared" si="4"/>
        <v>0</v>
      </c>
      <c r="G56" s="76" t="str">
        <f t="shared" si="0"/>
        <v>-</v>
      </c>
      <c r="I56" s="77">
        <v>54</v>
      </c>
      <c r="J56" s="82">
        <f t="shared" si="5"/>
        <v>0</v>
      </c>
      <c r="K56" s="82">
        <f t="shared" si="6"/>
        <v>0</v>
      </c>
      <c r="M56" s="77">
        <f t="shared" si="7"/>
        <v>0</v>
      </c>
      <c r="N56" s="79">
        <f t="shared" si="8"/>
        <v>0</v>
      </c>
      <c r="O56" s="76">
        <f t="shared" si="9"/>
        <v>0</v>
      </c>
      <c r="Q56" s="77">
        <v>54</v>
      </c>
      <c r="R56" s="78">
        <f t="shared" si="10"/>
        <v>0</v>
      </c>
    </row>
    <row r="57" spans="1:18">
      <c r="A57" s="77">
        <f>Main!F58</f>
        <v>0</v>
      </c>
      <c r="B57" s="77">
        <f>Main!G58</f>
        <v>0</v>
      </c>
      <c r="C57" s="74" t="str">
        <f t="shared" si="1"/>
        <v>-</v>
      </c>
      <c r="D57" s="74">
        <f t="shared" si="2"/>
        <v>0</v>
      </c>
      <c r="E57" s="75">
        <f t="shared" si="3"/>
        <v>0</v>
      </c>
      <c r="F57" s="75">
        <f t="shared" si="4"/>
        <v>0</v>
      </c>
      <c r="G57" s="76" t="str">
        <f t="shared" si="0"/>
        <v>-</v>
      </c>
      <c r="I57" s="77">
        <v>55</v>
      </c>
      <c r="J57" s="82">
        <f t="shared" si="5"/>
        <v>0</v>
      </c>
      <c r="K57" s="82">
        <f t="shared" si="6"/>
        <v>0</v>
      </c>
      <c r="M57" s="77">
        <f t="shared" si="7"/>
        <v>0</v>
      </c>
      <c r="N57" s="79">
        <f t="shared" si="8"/>
        <v>0</v>
      </c>
      <c r="O57" s="76">
        <f t="shared" si="9"/>
        <v>0</v>
      </c>
      <c r="Q57" s="77">
        <v>55</v>
      </c>
      <c r="R57" s="78">
        <f t="shared" si="10"/>
        <v>0</v>
      </c>
    </row>
    <row r="58" spans="1:18">
      <c r="A58" s="77">
        <f>Main!F59</f>
        <v>0</v>
      </c>
      <c r="B58" s="77">
        <f>Main!G59</f>
        <v>0</v>
      </c>
      <c r="C58" s="74" t="str">
        <f t="shared" si="1"/>
        <v>-</v>
      </c>
      <c r="D58" s="74">
        <f t="shared" si="2"/>
        <v>0</v>
      </c>
      <c r="E58" s="75">
        <f t="shared" si="3"/>
        <v>0</v>
      </c>
      <c r="F58" s="75">
        <f t="shared" si="4"/>
        <v>0</v>
      </c>
      <c r="G58" s="76" t="str">
        <f t="shared" si="0"/>
        <v>-</v>
      </c>
      <c r="I58" s="77">
        <v>56</v>
      </c>
      <c r="J58" s="82">
        <f t="shared" si="5"/>
        <v>0</v>
      </c>
      <c r="K58" s="82">
        <f t="shared" si="6"/>
        <v>0</v>
      </c>
      <c r="M58" s="77">
        <f t="shared" si="7"/>
        <v>0</v>
      </c>
      <c r="N58" s="79">
        <f t="shared" si="8"/>
        <v>0</v>
      </c>
      <c r="O58" s="76">
        <f t="shared" si="9"/>
        <v>0</v>
      </c>
      <c r="Q58" s="77">
        <v>56</v>
      </c>
      <c r="R58" s="78">
        <f t="shared" si="10"/>
        <v>0</v>
      </c>
    </row>
    <row r="59" spans="1:18">
      <c r="A59" s="77">
        <f>Main!F60</f>
        <v>0</v>
      </c>
      <c r="B59" s="77">
        <f>Main!G60</f>
        <v>0</v>
      </c>
      <c r="C59" s="74" t="str">
        <f t="shared" si="1"/>
        <v>-</v>
      </c>
      <c r="D59" s="74">
        <f t="shared" si="2"/>
        <v>0</v>
      </c>
      <c r="E59" s="75">
        <f t="shared" si="3"/>
        <v>0</v>
      </c>
      <c r="F59" s="75">
        <f t="shared" si="4"/>
        <v>0</v>
      </c>
      <c r="G59" s="76" t="str">
        <f t="shared" si="0"/>
        <v>-</v>
      </c>
      <c r="I59" s="77">
        <v>57</v>
      </c>
      <c r="J59" s="82">
        <f t="shared" si="5"/>
        <v>0</v>
      </c>
      <c r="K59" s="82">
        <f t="shared" si="6"/>
        <v>0</v>
      </c>
      <c r="M59" s="77">
        <f t="shared" si="7"/>
        <v>0</v>
      </c>
      <c r="N59" s="79">
        <f t="shared" si="8"/>
        <v>0</v>
      </c>
      <c r="O59" s="76">
        <f t="shared" si="9"/>
        <v>0</v>
      </c>
      <c r="Q59" s="77">
        <v>57</v>
      </c>
      <c r="R59" s="78">
        <f t="shared" si="10"/>
        <v>0</v>
      </c>
    </row>
    <row r="60" spans="1:18">
      <c r="A60" s="77">
        <f>Main!F61</f>
        <v>0</v>
      </c>
      <c r="B60" s="77">
        <f>Main!G61</f>
        <v>0</v>
      </c>
      <c r="C60" s="74" t="str">
        <f t="shared" si="1"/>
        <v>-</v>
      </c>
      <c r="D60" s="74">
        <f t="shared" si="2"/>
        <v>0</v>
      </c>
      <c r="E60" s="75">
        <f t="shared" si="3"/>
        <v>0</v>
      </c>
      <c r="F60" s="75">
        <f t="shared" si="4"/>
        <v>0</v>
      </c>
      <c r="G60" s="76" t="str">
        <f t="shared" si="0"/>
        <v>-</v>
      </c>
      <c r="I60" s="77">
        <v>58</v>
      </c>
      <c r="J60" s="82">
        <f t="shared" si="5"/>
        <v>0</v>
      </c>
      <c r="K60" s="82">
        <f t="shared" si="6"/>
        <v>0</v>
      </c>
      <c r="M60" s="77">
        <f t="shared" si="7"/>
        <v>0</v>
      </c>
      <c r="N60" s="79">
        <f t="shared" si="8"/>
        <v>0</v>
      </c>
      <c r="O60" s="76">
        <f t="shared" si="9"/>
        <v>0</v>
      </c>
      <c r="Q60" s="77">
        <v>58</v>
      </c>
      <c r="R60" s="78">
        <f t="shared" si="10"/>
        <v>0</v>
      </c>
    </row>
    <row r="61" spans="1:18">
      <c r="A61" s="77">
        <f>Main!F62</f>
        <v>0</v>
      </c>
      <c r="B61" s="77">
        <f>Main!G62</f>
        <v>0</v>
      </c>
      <c r="C61" s="74" t="str">
        <f t="shared" si="1"/>
        <v>-</v>
      </c>
      <c r="D61" s="74">
        <f t="shared" si="2"/>
        <v>0</v>
      </c>
      <c r="E61" s="75">
        <f t="shared" si="3"/>
        <v>0</v>
      </c>
      <c r="F61" s="75">
        <f t="shared" si="4"/>
        <v>0</v>
      </c>
      <c r="G61" s="76" t="str">
        <f t="shared" si="0"/>
        <v>-</v>
      </c>
      <c r="I61" s="77">
        <v>59</v>
      </c>
      <c r="J61" s="82">
        <f t="shared" si="5"/>
        <v>0</v>
      </c>
      <c r="K61" s="82">
        <f t="shared" si="6"/>
        <v>0</v>
      </c>
      <c r="M61" s="77">
        <f t="shared" si="7"/>
        <v>0</v>
      </c>
      <c r="N61" s="79">
        <f t="shared" si="8"/>
        <v>0</v>
      </c>
      <c r="O61" s="76">
        <f t="shared" si="9"/>
        <v>0</v>
      </c>
      <c r="Q61" s="77">
        <v>59</v>
      </c>
      <c r="R61" s="78">
        <f t="shared" si="10"/>
        <v>0</v>
      </c>
    </row>
    <row r="62" spans="1:18">
      <c r="A62" s="77">
        <f>Main!F63</f>
        <v>0</v>
      </c>
      <c r="B62" s="77">
        <f>Main!G63</f>
        <v>0</v>
      </c>
      <c r="C62" s="74" t="str">
        <f t="shared" si="1"/>
        <v>-</v>
      </c>
      <c r="D62" s="74">
        <f t="shared" si="2"/>
        <v>0</v>
      </c>
      <c r="E62" s="75">
        <f t="shared" si="3"/>
        <v>0</v>
      </c>
      <c r="F62" s="75">
        <f t="shared" si="4"/>
        <v>0</v>
      </c>
      <c r="G62" s="76" t="str">
        <f t="shared" si="0"/>
        <v>-</v>
      </c>
      <c r="I62" s="77">
        <v>60</v>
      </c>
      <c r="J62" s="82">
        <f t="shared" si="5"/>
        <v>0</v>
      </c>
      <c r="K62" s="82">
        <f t="shared" si="6"/>
        <v>0</v>
      </c>
      <c r="M62" s="77">
        <f t="shared" si="7"/>
        <v>0</v>
      </c>
      <c r="N62" s="79">
        <f t="shared" si="8"/>
        <v>0</v>
      </c>
      <c r="O62" s="76">
        <f t="shared" si="9"/>
        <v>0</v>
      </c>
      <c r="Q62" s="77">
        <v>60</v>
      </c>
      <c r="R62" s="78">
        <f t="shared" si="10"/>
        <v>0</v>
      </c>
    </row>
    <row r="63" spans="1:18">
      <c r="A63" s="77">
        <f>Main!F64</f>
        <v>0</v>
      </c>
      <c r="B63" s="77">
        <f>Main!G64</f>
        <v>0</v>
      </c>
      <c r="C63" s="74" t="str">
        <f t="shared" si="1"/>
        <v>-</v>
      </c>
      <c r="D63" s="74">
        <f t="shared" si="2"/>
        <v>0</v>
      </c>
      <c r="E63" s="75">
        <f t="shared" si="3"/>
        <v>0</v>
      </c>
      <c r="F63" s="75">
        <f t="shared" si="4"/>
        <v>0</v>
      </c>
      <c r="G63" s="76" t="str">
        <f t="shared" si="0"/>
        <v>-</v>
      </c>
      <c r="I63" s="77">
        <v>61</v>
      </c>
      <c r="J63" s="82">
        <f t="shared" si="5"/>
        <v>0</v>
      </c>
      <c r="K63" s="82">
        <f t="shared" si="6"/>
        <v>0</v>
      </c>
      <c r="M63" s="77">
        <f t="shared" si="7"/>
        <v>0</v>
      </c>
      <c r="N63" s="79">
        <f t="shared" si="8"/>
        <v>0</v>
      </c>
      <c r="O63" s="76">
        <f t="shared" si="9"/>
        <v>0</v>
      </c>
      <c r="Q63" s="77">
        <v>61</v>
      </c>
      <c r="R63" s="78">
        <f t="shared" si="10"/>
        <v>0</v>
      </c>
    </row>
    <row r="64" spans="1:18">
      <c r="A64" s="77">
        <f>Main!F65</f>
        <v>0</v>
      </c>
      <c r="B64" s="77">
        <f>Main!G65</f>
        <v>0</v>
      </c>
      <c r="C64" s="74" t="str">
        <f t="shared" si="1"/>
        <v>-</v>
      </c>
      <c r="D64" s="74">
        <f t="shared" si="2"/>
        <v>0</v>
      </c>
      <c r="E64" s="75">
        <f t="shared" si="3"/>
        <v>0</v>
      </c>
      <c r="F64" s="75">
        <f t="shared" si="4"/>
        <v>0</v>
      </c>
      <c r="G64" s="76" t="str">
        <f t="shared" si="0"/>
        <v>-</v>
      </c>
      <c r="I64" s="77">
        <v>62</v>
      </c>
      <c r="J64" s="82">
        <f t="shared" si="5"/>
        <v>0</v>
      </c>
      <c r="K64" s="82">
        <f t="shared" si="6"/>
        <v>0</v>
      </c>
      <c r="M64" s="77">
        <f t="shared" si="7"/>
        <v>0</v>
      </c>
      <c r="N64" s="79">
        <f t="shared" si="8"/>
        <v>0</v>
      </c>
      <c r="O64" s="76">
        <f t="shared" si="9"/>
        <v>0</v>
      </c>
      <c r="Q64" s="77">
        <v>62</v>
      </c>
      <c r="R64" s="78">
        <f t="shared" si="10"/>
        <v>0</v>
      </c>
    </row>
    <row r="65" spans="1:18">
      <c r="A65" s="77">
        <f>Main!F66</f>
        <v>0</v>
      </c>
      <c r="B65" s="77">
        <f>Main!G66</f>
        <v>0</v>
      </c>
      <c r="C65" s="74" t="str">
        <f t="shared" si="1"/>
        <v>-</v>
      </c>
      <c r="D65" s="74">
        <f t="shared" si="2"/>
        <v>0</v>
      </c>
      <c r="E65" s="75">
        <f t="shared" si="3"/>
        <v>0</v>
      </c>
      <c r="F65" s="75">
        <f t="shared" si="4"/>
        <v>0</v>
      </c>
      <c r="G65" s="76" t="str">
        <f t="shared" si="0"/>
        <v>-</v>
      </c>
      <c r="I65" s="77">
        <v>63</v>
      </c>
      <c r="J65" s="82">
        <f t="shared" si="5"/>
        <v>0</v>
      </c>
      <c r="K65" s="82">
        <f t="shared" si="6"/>
        <v>0</v>
      </c>
      <c r="M65" s="77">
        <f t="shared" si="7"/>
        <v>0</v>
      </c>
      <c r="N65" s="79">
        <f t="shared" si="8"/>
        <v>0</v>
      </c>
      <c r="O65" s="76">
        <f t="shared" si="9"/>
        <v>0</v>
      </c>
      <c r="Q65" s="77">
        <v>63</v>
      </c>
      <c r="R65" s="78">
        <f t="shared" si="10"/>
        <v>0</v>
      </c>
    </row>
    <row r="66" spans="1:18">
      <c r="A66" s="77">
        <f>Main!F67</f>
        <v>0</v>
      </c>
      <c r="B66" s="77">
        <f>Main!G67</f>
        <v>0</v>
      </c>
      <c r="C66" s="74" t="str">
        <f t="shared" si="1"/>
        <v>-</v>
      </c>
      <c r="D66" s="74">
        <f t="shared" si="2"/>
        <v>0</v>
      </c>
      <c r="E66" s="75">
        <f t="shared" si="3"/>
        <v>0</v>
      </c>
      <c r="F66" s="75">
        <f t="shared" si="4"/>
        <v>0</v>
      </c>
      <c r="G66" s="76" t="str">
        <f t="shared" si="0"/>
        <v>-</v>
      </c>
      <c r="I66" s="77">
        <v>64</v>
      </c>
      <c r="J66" s="82">
        <f t="shared" si="5"/>
        <v>0</v>
      </c>
      <c r="K66" s="82">
        <f t="shared" si="6"/>
        <v>0</v>
      </c>
      <c r="M66" s="77">
        <f t="shared" si="7"/>
        <v>0</v>
      </c>
      <c r="N66" s="79">
        <f t="shared" si="8"/>
        <v>0</v>
      </c>
      <c r="O66" s="76">
        <f t="shared" si="9"/>
        <v>0</v>
      </c>
      <c r="Q66" s="77">
        <v>64</v>
      </c>
      <c r="R66" s="78">
        <f t="shared" si="10"/>
        <v>0</v>
      </c>
    </row>
    <row r="67" spans="1:18">
      <c r="A67" s="77">
        <f>Main!F68</f>
        <v>0</v>
      </c>
      <c r="B67" s="77">
        <f>Main!G68</f>
        <v>0</v>
      </c>
      <c r="C67" s="74" t="str">
        <f t="shared" si="1"/>
        <v>-</v>
      </c>
      <c r="D67" s="74">
        <f t="shared" si="2"/>
        <v>0</v>
      </c>
      <c r="E67" s="75">
        <f t="shared" si="3"/>
        <v>0</v>
      </c>
      <c r="F67" s="75">
        <f t="shared" si="4"/>
        <v>0</v>
      </c>
      <c r="G67" s="76" t="str">
        <f t="shared" ref="G67:G69" si="11">IF(C67="-","-",RANK(E67,$E$3:$E$100))</f>
        <v>-</v>
      </c>
      <c r="I67" s="77">
        <v>65</v>
      </c>
      <c r="J67" s="82">
        <f t="shared" si="5"/>
        <v>0</v>
      </c>
      <c r="K67" s="82">
        <f t="shared" si="6"/>
        <v>0</v>
      </c>
      <c r="M67" s="77">
        <f t="shared" si="7"/>
        <v>0</v>
      </c>
      <c r="N67" s="79">
        <f t="shared" si="8"/>
        <v>0</v>
      </c>
      <c r="O67" s="76">
        <f t="shared" si="9"/>
        <v>0</v>
      </c>
      <c r="Q67" s="77">
        <v>65</v>
      </c>
      <c r="R67" s="78">
        <f t="shared" si="10"/>
        <v>0</v>
      </c>
    </row>
    <row r="68" spans="1:18">
      <c r="A68" s="77">
        <f>Main!F69</f>
        <v>0</v>
      </c>
      <c r="B68" s="77">
        <f>Main!G69</f>
        <v>0</v>
      </c>
      <c r="C68" s="74" t="str">
        <f t="shared" ref="C68:C69" si="12">IF(B68=0,"-",0)</f>
        <v>-</v>
      </c>
      <c r="D68" s="74">
        <f t="shared" ref="D68:D69" si="13">IF(B68=0,IF(A68=0,0,A68),IF(A68=0,A67,A68))</f>
        <v>0</v>
      </c>
      <c r="E68" s="75">
        <f t="shared" ref="E68:E69" si="14">IF(B68=0,0,IF(A68&lt;0,(-100*D68+0.0000000001*ROW()+0.00001/B68),1/D68+0.0000000001*ROW()+0.00001/B68))</f>
        <v>0</v>
      </c>
      <c r="F68" s="75">
        <f t="shared" ref="F68:F69" si="15">B68</f>
        <v>0</v>
      </c>
      <c r="G68" s="76" t="str">
        <f t="shared" si="11"/>
        <v>-</v>
      </c>
      <c r="I68" s="77">
        <v>66</v>
      </c>
      <c r="J68" s="82">
        <f t="shared" ref="J68:J69" si="16">IF(I68&gt;MAX($G$3:$G$100),0,INDEX($D$3:$D$100, MATCH(I68,$G$3:$G$100,0)))</f>
        <v>0</v>
      </c>
      <c r="K68" s="82">
        <f t="shared" ref="K68:K69" si="17">IF(I68&gt;MAX($G$3:$G$100),0,INDEX($F$3:$F$100, MATCH(I68,$G$3:$G$100,0)))</f>
        <v>0</v>
      </c>
      <c r="M68" s="77">
        <f t="shared" ref="M68:M69" si="18">IF(A68&lt;0,-100*A68,IF(A68=0,0,1/A68))</f>
        <v>0</v>
      </c>
      <c r="N68" s="79">
        <f t="shared" ref="N68:N69" si="19">IF(M68=0,0,VALUE(M68)+0.00000000001*ROW())</f>
        <v>0</v>
      </c>
      <c r="O68" s="76">
        <f t="shared" ref="O68:O69" si="20">IF(N68=0,0,RANK(N68,$N$3:$N$100))</f>
        <v>0</v>
      </c>
      <c r="Q68" s="77">
        <v>66</v>
      </c>
      <c r="R68" s="78">
        <f t="shared" ref="R68:R69" si="21">IF(Q68&gt;MAX($O$3:$O$100),0,INDEX($A$3:$A$100, MATCH(Q68,$O$3:$O$100,0)))</f>
        <v>0</v>
      </c>
    </row>
    <row r="69" spans="1:18">
      <c r="A69" s="77">
        <f>Main!F70</f>
        <v>0</v>
      </c>
      <c r="B69" s="77">
        <f>Main!G70</f>
        <v>0</v>
      </c>
      <c r="C69" s="74" t="str">
        <f t="shared" si="12"/>
        <v>-</v>
      </c>
      <c r="D69" s="74">
        <f t="shared" si="13"/>
        <v>0</v>
      </c>
      <c r="E69" s="75">
        <f t="shared" si="14"/>
        <v>0</v>
      </c>
      <c r="F69" s="75">
        <f t="shared" si="15"/>
        <v>0</v>
      </c>
      <c r="G69" s="76" t="str">
        <f t="shared" si="11"/>
        <v>-</v>
      </c>
      <c r="I69" s="77">
        <v>67</v>
      </c>
      <c r="J69" s="82">
        <f t="shared" si="16"/>
        <v>0</v>
      </c>
      <c r="K69" s="82">
        <f t="shared" si="17"/>
        <v>0</v>
      </c>
      <c r="M69" s="77">
        <f t="shared" si="18"/>
        <v>0</v>
      </c>
      <c r="N69" s="79">
        <f t="shared" si="19"/>
        <v>0</v>
      </c>
      <c r="O69" s="76">
        <f t="shared" si="20"/>
        <v>0</v>
      </c>
      <c r="Q69" s="77">
        <v>67</v>
      </c>
      <c r="R69" s="78">
        <f t="shared" si="21"/>
        <v>0</v>
      </c>
    </row>
    <row r="70" spans="1:18">
      <c r="A70" s="77"/>
      <c r="B70" s="77"/>
      <c r="C70" s="74"/>
      <c r="D70" s="74"/>
      <c r="E70" s="75"/>
      <c r="F70" s="75"/>
      <c r="G70" s="76"/>
      <c r="I70" s="77"/>
      <c r="J70" s="82"/>
      <c r="K70" s="82"/>
      <c r="M70" s="77"/>
      <c r="N70" s="79"/>
      <c r="O70" s="76"/>
      <c r="Q70" s="77"/>
      <c r="R70" s="78"/>
    </row>
    <row r="71" spans="1:18">
      <c r="A71" s="77"/>
      <c r="B71" s="77"/>
      <c r="C71" s="74"/>
      <c r="D71" s="74"/>
      <c r="E71" s="75"/>
      <c r="F71" s="75"/>
      <c r="G71" s="76"/>
      <c r="I71" s="77"/>
      <c r="J71" s="82"/>
      <c r="K71" s="82"/>
      <c r="M71" s="77"/>
      <c r="N71" s="79"/>
      <c r="O71" s="76"/>
      <c r="Q71" s="77"/>
      <c r="R71" s="78"/>
    </row>
    <row r="72" spans="1:18">
      <c r="A72" s="77"/>
      <c r="B72" s="77"/>
      <c r="C72" s="74"/>
      <c r="D72" s="74"/>
      <c r="E72" s="75"/>
      <c r="F72" s="75"/>
      <c r="G72" s="76"/>
      <c r="I72" s="77"/>
      <c r="J72" s="82"/>
      <c r="K72" s="82"/>
      <c r="M72" s="77"/>
      <c r="N72" s="79"/>
      <c r="O72" s="76"/>
      <c r="Q72" s="77"/>
      <c r="R72" s="78"/>
    </row>
    <row r="73" spans="1:18">
      <c r="A73" s="77"/>
      <c r="B73" s="77"/>
      <c r="C73" s="74"/>
      <c r="D73" s="74"/>
      <c r="E73" s="75"/>
      <c r="F73" s="75"/>
      <c r="G73" s="76"/>
      <c r="I73" s="77"/>
      <c r="J73" s="82"/>
      <c r="K73" s="82"/>
      <c r="M73" s="77"/>
      <c r="N73" s="79"/>
      <c r="O73" s="76"/>
      <c r="Q73" s="77"/>
      <c r="R73" s="78"/>
    </row>
    <row r="74" spans="1:18">
      <c r="A74" s="77"/>
      <c r="B74" s="77"/>
      <c r="C74" s="74"/>
      <c r="D74" s="74"/>
      <c r="E74" s="75"/>
      <c r="F74" s="75"/>
      <c r="G74" s="76"/>
      <c r="I74" s="77"/>
      <c r="J74" s="82"/>
      <c r="K74" s="82"/>
      <c r="M74" s="77"/>
      <c r="N74" s="79"/>
      <c r="O74" s="76"/>
      <c r="Q74" s="77"/>
      <c r="R74" s="78"/>
    </row>
    <row r="75" spans="1:18">
      <c r="A75" s="77"/>
      <c r="B75" s="77"/>
      <c r="C75" s="74"/>
      <c r="D75" s="74"/>
      <c r="E75" s="75"/>
      <c r="F75" s="75"/>
      <c r="G75" s="76"/>
      <c r="I75" s="77"/>
      <c r="J75" s="82"/>
      <c r="K75" s="82"/>
      <c r="M75" s="77"/>
      <c r="N75" s="79"/>
      <c r="O75" s="76"/>
      <c r="Q75" s="77"/>
      <c r="R75" s="78"/>
    </row>
    <row r="76" spans="1:18">
      <c r="A76" s="77"/>
      <c r="B76" s="77"/>
      <c r="C76" s="74"/>
      <c r="D76" s="74"/>
      <c r="E76" s="75"/>
      <c r="F76" s="75"/>
      <c r="G76" s="76"/>
      <c r="I76" s="77"/>
      <c r="J76" s="82"/>
      <c r="K76" s="82"/>
      <c r="M76" s="77"/>
      <c r="N76" s="79"/>
      <c r="O76" s="76"/>
      <c r="Q76" s="77"/>
      <c r="R76" s="78"/>
    </row>
    <row r="77" spans="1:18">
      <c r="A77" s="77"/>
      <c r="B77" s="77"/>
      <c r="C77" s="74"/>
      <c r="D77" s="74"/>
      <c r="E77" s="75"/>
      <c r="F77" s="75"/>
      <c r="G77" s="76"/>
      <c r="I77" s="77"/>
      <c r="J77" s="82"/>
      <c r="K77" s="82"/>
      <c r="M77" s="77"/>
      <c r="N77" s="79"/>
      <c r="O77" s="76"/>
      <c r="Q77" s="77"/>
      <c r="R77" s="78"/>
    </row>
    <row r="78" spans="1:18">
      <c r="A78" s="77"/>
      <c r="B78" s="77"/>
      <c r="C78" s="74"/>
      <c r="D78" s="74"/>
      <c r="E78" s="75"/>
      <c r="F78" s="75"/>
      <c r="G78" s="76"/>
      <c r="I78" s="77"/>
      <c r="J78" s="82"/>
      <c r="K78" s="82"/>
      <c r="M78" s="77"/>
      <c r="N78" s="79"/>
      <c r="O78" s="76"/>
      <c r="Q78" s="77"/>
      <c r="R78" s="78"/>
    </row>
    <row r="79" spans="1:18">
      <c r="A79" s="77"/>
      <c r="B79" s="77"/>
      <c r="C79" s="74"/>
      <c r="D79" s="74"/>
      <c r="E79" s="75"/>
      <c r="F79" s="75"/>
      <c r="G79" s="76"/>
      <c r="I79" s="77"/>
      <c r="J79" s="82"/>
      <c r="K79" s="82"/>
      <c r="M79" s="77"/>
      <c r="N79" s="79"/>
      <c r="O79" s="76"/>
      <c r="Q79" s="77"/>
      <c r="R79" s="78"/>
    </row>
    <row r="80" spans="1:18">
      <c r="A80" s="77"/>
      <c r="B80" s="77"/>
      <c r="C80" s="74"/>
      <c r="D80" s="74"/>
      <c r="E80" s="75"/>
      <c r="F80" s="75"/>
      <c r="G80" s="76"/>
      <c r="I80" s="77"/>
      <c r="J80" s="82"/>
      <c r="K80" s="82"/>
      <c r="M80" s="77"/>
      <c r="N80" s="79"/>
      <c r="O80" s="76"/>
      <c r="Q80" s="77"/>
      <c r="R80" s="78"/>
    </row>
    <row r="81" spans="1:18">
      <c r="A81" s="77"/>
      <c r="B81" s="77"/>
      <c r="C81" s="74"/>
      <c r="D81" s="74"/>
      <c r="E81" s="75"/>
      <c r="F81" s="75"/>
      <c r="G81" s="76"/>
      <c r="I81" s="77"/>
      <c r="J81" s="82"/>
      <c r="K81" s="82"/>
      <c r="M81" s="77"/>
      <c r="N81" s="79"/>
      <c r="O81" s="76"/>
      <c r="Q81" s="77"/>
      <c r="R81" s="78"/>
    </row>
    <row r="82" spans="1:18">
      <c r="A82" s="77"/>
      <c r="B82" s="77"/>
      <c r="C82" s="74"/>
      <c r="D82" s="74"/>
      <c r="E82" s="75"/>
      <c r="F82" s="75"/>
      <c r="G82" s="76"/>
      <c r="I82" s="77"/>
      <c r="J82" s="82"/>
      <c r="K82" s="82"/>
      <c r="M82" s="77"/>
      <c r="N82" s="79"/>
      <c r="O82" s="76"/>
      <c r="Q82" s="77"/>
      <c r="R82" s="78"/>
    </row>
    <row r="83" spans="1:18">
      <c r="A83" s="77"/>
      <c r="B83" s="77"/>
      <c r="C83" s="74"/>
      <c r="D83" s="74"/>
      <c r="E83" s="75"/>
      <c r="F83" s="75"/>
      <c r="G83" s="76"/>
      <c r="I83" s="77"/>
      <c r="J83" s="82"/>
      <c r="K83" s="82"/>
      <c r="M83" s="77"/>
      <c r="N83" s="79"/>
      <c r="O83" s="76"/>
      <c r="Q83" s="77"/>
      <c r="R83" s="78"/>
    </row>
    <row r="84" spans="1:18">
      <c r="A84" s="77"/>
      <c r="B84" s="77"/>
      <c r="C84" s="74"/>
      <c r="D84" s="74"/>
      <c r="E84" s="75"/>
      <c r="F84" s="75"/>
      <c r="G84" s="76"/>
      <c r="I84" s="77"/>
      <c r="J84" s="82"/>
      <c r="K84" s="82"/>
      <c r="M84" s="77"/>
      <c r="N84" s="79"/>
      <c r="O84" s="76"/>
      <c r="Q84" s="77"/>
      <c r="R84" s="78"/>
    </row>
    <row r="85" spans="1:18">
      <c r="A85" s="77"/>
      <c r="B85" s="77"/>
      <c r="C85" s="74"/>
      <c r="D85" s="74"/>
      <c r="E85" s="75"/>
      <c r="F85" s="75"/>
      <c r="G85" s="76"/>
      <c r="I85" s="77"/>
      <c r="J85" s="82"/>
      <c r="K85" s="82"/>
      <c r="M85" s="77"/>
      <c r="N85" s="79"/>
      <c r="O85" s="76"/>
      <c r="Q85" s="77"/>
      <c r="R85" s="78"/>
    </row>
    <row r="86" spans="1:18">
      <c r="A86" s="77"/>
      <c r="B86" s="77"/>
      <c r="C86" s="74"/>
      <c r="D86" s="74"/>
      <c r="E86" s="75"/>
      <c r="F86" s="75"/>
      <c r="G86" s="76"/>
      <c r="I86" s="77"/>
      <c r="J86" s="82"/>
      <c r="K86" s="82"/>
      <c r="M86" s="77"/>
      <c r="N86" s="79"/>
      <c r="O86" s="76"/>
      <c r="Q86" s="77"/>
      <c r="R86" s="78"/>
    </row>
    <row r="87" spans="1:18">
      <c r="A87" s="77"/>
      <c r="B87" s="77"/>
      <c r="C87" s="74"/>
      <c r="D87" s="74"/>
      <c r="E87" s="75"/>
      <c r="F87" s="75"/>
      <c r="G87" s="76"/>
      <c r="I87" s="77"/>
      <c r="J87" s="82"/>
      <c r="K87" s="82"/>
      <c r="M87" s="77"/>
      <c r="N87" s="79"/>
      <c r="O87" s="76"/>
      <c r="Q87" s="77"/>
      <c r="R87" s="78"/>
    </row>
    <row r="88" spans="1:18">
      <c r="A88" s="77"/>
      <c r="B88" s="77"/>
      <c r="C88" s="74"/>
      <c r="D88" s="74"/>
      <c r="E88" s="75"/>
      <c r="F88" s="75"/>
      <c r="G88" s="76"/>
      <c r="I88" s="77"/>
      <c r="J88" s="82"/>
      <c r="K88" s="82"/>
      <c r="M88" s="77"/>
      <c r="N88" s="79"/>
      <c r="O88" s="76"/>
      <c r="Q88" s="77"/>
      <c r="R88" s="78"/>
    </row>
    <row r="89" spans="1:18">
      <c r="A89" s="77"/>
      <c r="B89" s="77"/>
      <c r="C89" s="74"/>
      <c r="D89" s="74"/>
      <c r="E89" s="75"/>
      <c r="F89" s="75"/>
      <c r="G89" s="76"/>
      <c r="I89" s="77"/>
      <c r="J89" s="82"/>
      <c r="K89" s="82"/>
      <c r="M89" s="77"/>
      <c r="N89" s="79"/>
      <c r="O89" s="76"/>
      <c r="Q89" s="77"/>
      <c r="R89" s="78"/>
    </row>
    <row r="90" spans="1:18">
      <c r="A90" s="77"/>
      <c r="B90" s="77"/>
      <c r="C90" s="74"/>
      <c r="D90" s="74"/>
      <c r="E90" s="75"/>
      <c r="F90" s="75"/>
      <c r="G90" s="76"/>
      <c r="I90" s="77"/>
      <c r="J90" s="82"/>
      <c r="K90" s="82"/>
      <c r="M90" s="77"/>
      <c r="N90" s="79"/>
      <c r="O90" s="76"/>
      <c r="Q90" s="77"/>
      <c r="R90" s="78"/>
    </row>
    <row r="91" spans="1:18">
      <c r="A91" s="77"/>
      <c r="B91" s="77"/>
      <c r="C91" s="74"/>
      <c r="D91" s="74"/>
      <c r="E91" s="75"/>
      <c r="F91" s="75"/>
      <c r="G91" s="76"/>
      <c r="I91" s="77"/>
      <c r="J91" s="82"/>
      <c r="K91" s="82"/>
      <c r="M91" s="77"/>
      <c r="N91" s="79"/>
      <c r="O91" s="76"/>
      <c r="Q91" s="77"/>
      <c r="R91" s="78"/>
    </row>
    <row r="92" spans="1:18">
      <c r="A92" s="77"/>
      <c r="B92" s="77"/>
      <c r="C92" s="74"/>
      <c r="D92" s="74"/>
      <c r="E92" s="75"/>
      <c r="F92" s="75"/>
      <c r="G92" s="76"/>
      <c r="I92" s="77"/>
      <c r="J92" s="82"/>
      <c r="K92" s="82"/>
      <c r="M92" s="77"/>
      <c r="N92" s="79"/>
      <c r="O92" s="76"/>
      <c r="Q92" s="77"/>
      <c r="R92" s="78"/>
    </row>
    <row r="93" spans="1:18">
      <c r="A93" s="77"/>
      <c r="B93" s="77"/>
      <c r="C93" s="74"/>
      <c r="D93" s="74"/>
      <c r="E93" s="75"/>
      <c r="F93" s="75"/>
      <c r="G93" s="76"/>
      <c r="I93" s="77"/>
      <c r="J93" s="82"/>
      <c r="K93" s="82"/>
      <c r="M93" s="77"/>
      <c r="N93" s="79"/>
      <c r="O93" s="76"/>
      <c r="Q93" s="77"/>
      <c r="R93" s="78"/>
    </row>
    <row r="94" spans="1:18">
      <c r="A94" s="77"/>
      <c r="B94" s="77"/>
      <c r="C94" s="74"/>
      <c r="D94" s="74"/>
      <c r="E94" s="75"/>
      <c r="F94" s="75"/>
      <c r="G94" s="76"/>
      <c r="I94" s="77"/>
      <c r="J94" s="82"/>
      <c r="K94" s="82"/>
      <c r="M94" s="77"/>
      <c r="N94" s="79"/>
      <c r="O94" s="76"/>
      <c r="Q94" s="77"/>
      <c r="R94" s="78"/>
    </row>
    <row r="95" spans="1:18">
      <c r="A95" s="77"/>
      <c r="B95" s="77"/>
      <c r="C95" s="74"/>
      <c r="D95" s="74"/>
      <c r="E95" s="75"/>
      <c r="F95" s="75"/>
      <c r="G95" s="76"/>
      <c r="I95" s="77"/>
      <c r="J95" s="82"/>
      <c r="K95" s="82"/>
      <c r="M95" s="77"/>
      <c r="N95" s="79"/>
      <c r="O95" s="76"/>
      <c r="Q95" s="77"/>
      <c r="R95" s="78"/>
    </row>
    <row r="96" spans="1:18">
      <c r="A96" s="77"/>
      <c r="B96" s="77"/>
      <c r="C96" s="74"/>
      <c r="D96" s="74"/>
      <c r="E96" s="75"/>
      <c r="F96" s="75"/>
      <c r="G96" s="76"/>
      <c r="I96" s="77"/>
      <c r="J96" s="82"/>
      <c r="K96" s="82"/>
      <c r="M96" s="77"/>
      <c r="N96" s="79"/>
      <c r="O96" s="76"/>
      <c r="Q96" s="77"/>
      <c r="R96" s="78"/>
    </row>
    <row r="97" spans="1:18">
      <c r="A97" s="77"/>
      <c r="B97" s="77"/>
      <c r="C97" s="74"/>
      <c r="D97" s="74"/>
      <c r="E97" s="75"/>
      <c r="F97" s="75"/>
      <c r="G97" s="76"/>
      <c r="I97" s="77"/>
      <c r="J97" s="82"/>
      <c r="K97" s="82"/>
      <c r="M97" s="77"/>
      <c r="N97" s="79"/>
      <c r="O97" s="76"/>
      <c r="Q97" s="77"/>
      <c r="R97" s="78"/>
    </row>
    <row r="98" spans="1:18">
      <c r="A98" s="77"/>
      <c r="B98" s="77"/>
      <c r="C98" s="74"/>
      <c r="D98" s="74"/>
      <c r="E98" s="75"/>
      <c r="F98" s="75"/>
      <c r="G98" s="76"/>
      <c r="I98" s="77"/>
      <c r="J98" s="82"/>
      <c r="K98" s="82"/>
      <c r="M98" s="77"/>
      <c r="N98" s="79"/>
      <c r="O98" s="76"/>
      <c r="Q98" s="77"/>
      <c r="R98" s="78"/>
    </row>
    <row r="99" spans="1:18">
      <c r="A99" s="77"/>
      <c r="B99" s="77"/>
      <c r="C99" s="74"/>
      <c r="D99" s="74"/>
      <c r="E99" s="75"/>
      <c r="F99" s="75"/>
      <c r="G99" s="76"/>
      <c r="I99" s="77"/>
      <c r="J99" s="82"/>
      <c r="K99" s="82"/>
      <c r="M99" s="77"/>
      <c r="N99" s="79"/>
      <c r="O99" s="76"/>
      <c r="Q99" s="77"/>
      <c r="R99" s="78"/>
    </row>
    <row r="100" spans="1:18">
      <c r="A100" s="77"/>
      <c r="B100" s="77"/>
      <c r="C100" s="74"/>
      <c r="D100" s="74"/>
      <c r="E100" s="75"/>
      <c r="F100" s="75"/>
      <c r="G100" s="76"/>
      <c r="I100" s="77"/>
      <c r="J100" s="82"/>
      <c r="K100" s="82"/>
      <c r="M100" s="77"/>
      <c r="N100" s="79"/>
      <c r="O100" s="76"/>
      <c r="Q100" s="77"/>
      <c r="R100" s="78"/>
    </row>
  </sheetData>
  <sheetProtection password="EA63" sheet="1" objects="1" scenarios="1"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C51"/>
  <sheetViews>
    <sheetView zoomScale="80" zoomScaleNormal="80" workbookViewId="0"/>
  </sheetViews>
  <sheetFormatPr defaultColWidth="11.42578125" defaultRowHeight="15"/>
  <cols>
    <col min="1" max="1" width="11.42578125" style="29"/>
    <col min="2" max="2" width="3" style="29" customWidth="1"/>
    <col min="3" max="3" width="8.140625" style="29" customWidth="1"/>
    <col min="4" max="4" width="6.7109375" style="29" customWidth="1"/>
    <col min="5" max="5" width="6.28515625" style="29" customWidth="1"/>
    <col min="6" max="6" width="10.140625" style="29" customWidth="1"/>
    <col min="7" max="7" width="7.7109375" style="29" customWidth="1"/>
    <col min="8" max="8" width="7.28515625" style="29" customWidth="1"/>
    <col min="9" max="9" width="6.28515625" style="29" customWidth="1"/>
    <col min="10" max="10" width="7" style="29" customWidth="1"/>
    <col min="11" max="11" width="7.28515625" style="29" customWidth="1"/>
    <col min="12" max="14" width="11.42578125" style="77"/>
    <col min="15" max="15" width="3.7109375" style="29" customWidth="1"/>
    <col min="16" max="16" width="7.42578125" style="29" customWidth="1"/>
    <col min="17" max="16384" width="11.42578125" style="29"/>
  </cols>
  <sheetData>
    <row r="1" spans="1:159">
      <c r="F1" s="58" t="s">
        <v>4</v>
      </c>
      <c r="G1" s="58">
        <v>193.86012499999998</v>
      </c>
      <c r="H1" s="58">
        <v>0</v>
      </c>
      <c r="I1" s="58">
        <v>32.116525000000003</v>
      </c>
      <c r="J1" s="58">
        <v>0</v>
      </c>
      <c r="N1" s="74"/>
      <c r="O1" s="58"/>
      <c r="P1" s="58"/>
      <c r="Q1" s="58"/>
    </row>
    <row r="2" spans="1:159">
      <c r="F2" s="58" t="s">
        <v>5</v>
      </c>
      <c r="G2" s="58">
        <v>143.08750000000001</v>
      </c>
      <c r="H2" s="58">
        <v>50.41</v>
      </c>
      <c r="I2" s="58">
        <v>28.700433333333336</v>
      </c>
      <c r="J2" s="58">
        <v>3.49</v>
      </c>
      <c r="N2" s="74"/>
      <c r="O2" s="58"/>
      <c r="P2" s="58"/>
      <c r="Q2" s="58"/>
    </row>
    <row r="3" spans="1:159">
      <c r="F3" s="58" t="s">
        <v>6</v>
      </c>
      <c r="G3" s="58">
        <v>71.158479999999997</v>
      </c>
      <c r="H3" s="58">
        <v>128.37</v>
      </c>
      <c r="I3" s="58">
        <v>24.770700000000001</v>
      </c>
      <c r="J3" s="58">
        <v>7.36</v>
      </c>
      <c r="N3" s="74"/>
      <c r="O3" s="58"/>
      <c r="P3" s="58"/>
      <c r="Q3" s="58"/>
      <c r="CV3" s="58"/>
      <c r="CW3" s="58"/>
      <c r="CX3" s="58"/>
      <c r="CY3" s="58"/>
    </row>
    <row r="4" spans="1:159">
      <c r="N4" s="74"/>
      <c r="O4" s="58"/>
      <c r="P4" s="58"/>
      <c r="Q4" s="58"/>
      <c r="R4" s="58"/>
      <c r="S4" s="58"/>
      <c r="T4" s="58"/>
      <c r="CV4" s="58"/>
      <c r="CW4" s="58"/>
      <c r="CX4" s="58"/>
      <c r="CY4" s="58"/>
      <c r="DA4" s="70"/>
      <c r="DH4" s="80"/>
      <c r="DI4" s="58"/>
      <c r="DJ4" s="58"/>
      <c r="DK4" s="58"/>
      <c r="DM4" s="70"/>
      <c r="DT4" s="80"/>
      <c r="DU4" s="58"/>
      <c r="DV4" s="58"/>
      <c r="DW4" s="58"/>
      <c r="DY4" s="70"/>
      <c r="EF4" s="80"/>
      <c r="EG4" s="58"/>
      <c r="EH4" s="58"/>
      <c r="EI4" s="58"/>
      <c r="EK4" s="70"/>
      <c r="ER4" s="70"/>
    </row>
    <row r="5" spans="1:159" s="77" customFormat="1">
      <c r="A5" s="74"/>
      <c r="B5" s="74"/>
      <c r="C5" s="74" t="s">
        <v>9</v>
      </c>
      <c r="D5" s="74"/>
      <c r="E5" s="74"/>
      <c r="F5" s="74"/>
      <c r="G5" s="74" t="s">
        <v>2</v>
      </c>
      <c r="H5" s="74" t="s">
        <v>11</v>
      </c>
      <c r="I5" s="74" t="s">
        <v>12</v>
      </c>
      <c r="J5" s="74" t="s">
        <v>13</v>
      </c>
      <c r="K5" s="74" t="s">
        <v>14</v>
      </c>
      <c r="L5" s="74" t="s">
        <v>0</v>
      </c>
      <c r="M5" s="74" t="s">
        <v>15</v>
      </c>
      <c r="N5" s="74" t="s">
        <v>1</v>
      </c>
      <c r="O5" s="74"/>
      <c r="P5" s="74"/>
      <c r="Q5" s="74"/>
      <c r="R5" s="74" t="s">
        <v>0</v>
      </c>
      <c r="S5" s="74" t="s">
        <v>1</v>
      </c>
      <c r="T5" s="83" t="s">
        <v>16</v>
      </c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  <c r="CQ5" s="74"/>
      <c r="CR5" s="74"/>
      <c r="CS5" s="74"/>
      <c r="CT5" s="74"/>
      <c r="CU5" s="74"/>
      <c r="CV5" s="74"/>
      <c r="CW5" s="74"/>
      <c r="CX5" s="74"/>
      <c r="CY5" s="74"/>
      <c r="CZ5" s="84"/>
      <c r="DA5" s="85"/>
      <c r="DB5" s="85"/>
      <c r="DC5" s="86"/>
      <c r="DD5" s="85"/>
      <c r="DE5" s="86"/>
      <c r="DF5" s="86"/>
      <c r="DG5" s="83"/>
      <c r="DH5" s="74"/>
      <c r="DI5" s="74"/>
      <c r="DJ5" s="74"/>
      <c r="DK5" s="74"/>
      <c r="DL5" s="84"/>
      <c r="DM5" s="85"/>
      <c r="DN5" s="85"/>
      <c r="DO5" s="85"/>
      <c r="DP5" s="85"/>
      <c r="DQ5" s="86"/>
      <c r="DR5" s="86"/>
      <c r="DS5" s="74"/>
      <c r="DT5" s="74"/>
      <c r="DU5" s="74"/>
      <c r="DV5" s="74"/>
      <c r="DW5" s="74"/>
      <c r="DX5" s="84"/>
      <c r="DY5" s="85"/>
      <c r="DZ5" s="85"/>
      <c r="EA5" s="86"/>
      <c r="EB5" s="85"/>
      <c r="EC5" s="86"/>
      <c r="ED5" s="86"/>
      <c r="EE5" s="74"/>
      <c r="EF5" s="74"/>
      <c r="EG5" s="74"/>
      <c r="EH5" s="74"/>
      <c r="EI5" s="74"/>
      <c r="EJ5" s="84"/>
      <c r="EK5" s="85"/>
      <c r="EL5" s="85"/>
      <c r="EM5" s="86"/>
      <c r="EN5" s="85"/>
      <c r="EO5" s="86"/>
      <c r="EP5" s="86"/>
      <c r="EQ5" s="74"/>
      <c r="ER5" s="74"/>
      <c r="ES5" s="74"/>
      <c r="ET5" s="74"/>
      <c r="EU5" s="74"/>
      <c r="EV5" s="74"/>
      <c r="EW5" s="74"/>
      <c r="EX5" s="74"/>
    </row>
    <row r="6" spans="1:159" s="88" customFormat="1">
      <c r="A6" s="87"/>
      <c r="C6" s="89">
        <f>'1'!R3</f>
        <v>0</v>
      </c>
      <c r="D6" s="90">
        <f>'1'!J3</f>
        <v>0</v>
      </c>
      <c r="E6" s="90">
        <f>'1'!K3</f>
        <v>0</v>
      </c>
      <c r="L6" s="90">
        <f>'2'!R3</f>
        <v>0</v>
      </c>
      <c r="M6" s="88">
        <f>'2'!J3</f>
        <v>0</v>
      </c>
      <c r="N6" s="91">
        <f>'2'!K3</f>
        <v>0</v>
      </c>
      <c r="O6" s="91"/>
      <c r="P6" s="91" t="s">
        <v>10</v>
      </c>
      <c r="Q6" s="91" t="s">
        <v>21</v>
      </c>
      <c r="R6" s="89" t="e">
        <f>AVERAGE(AN6:AN35)</f>
        <v>#DIV/0!</v>
      </c>
      <c r="S6" s="89" t="e">
        <f>AVERAGE(BT6:BT35)</f>
        <v>#DIV/0!</v>
      </c>
      <c r="T6" s="89" t="e">
        <f>AVERAGE(ER6:ER35)</f>
        <v>#DIV/0!</v>
      </c>
      <c r="U6" s="91"/>
      <c r="V6" s="91"/>
      <c r="W6" s="91"/>
      <c r="X6" s="89"/>
      <c r="Y6" s="91"/>
      <c r="Z6" s="91"/>
      <c r="AA6" s="91"/>
      <c r="AB6" s="91"/>
      <c r="AC6" s="91"/>
      <c r="AD6" s="91"/>
      <c r="AE6" s="91"/>
      <c r="AF6" s="91"/>
      <c r="AG6" s="91"/>
      <c r="AH6" s="89"/>
      <c r="AI6" s="91"/>
      <c r="AJ6" s="92" t="str">
        <f>IF(C6=0,"-",IF(B6="x",$G$3-L6+$H$3,$G$2-L6+$H$2))</f>
        <v>-</v>
      </c>
      <c r="AK6" s="92" t="str">
        <f>IF(C6=0,"-",$G$1-L6)</f>
        <v>-</v>
      </c>
      <c r="AL6" s="92" t="str">
        <f t="shared" ref="AL6:AL50" si="0">IF(C6=0,"-",((AJ6-AU6)/AT6))</f>
        <v>-</v>
      </c>
      <c r="AM6" s="92" t="str">
        <f>IF(C6=0,"-",((AK6-AW6)/AV6))</f>
        <v>-</v>
      </c>
      <c r="AN6" s="92" t="str">
        <f>IF(C6=0,"-",ABS(AJ6-C6))</f>
        <v>-</v>
      </c>
      <c r="AO6" s="92" t="str">
        <f>IF(C6=0,"-",ABS(AK6-C6))</f>
        <v>-</v>
      </c>
      <c r="AP6" s="92" t="str">
        <f>IF(C6=0,"-",ABS(AL6-C6))</f>
        <v>-</v>
      </c>
      <c r="AQ6" s="92" t="str">
        <f>IF(C6=0,"-",ABS(AM6-C6))</f>
        <v>-</v>
      </c>
      <c r="AR6" s="92"/>
      <c r="AS6" s="92"/>
      <c r="AT6" s="93" t="e">
        <f>BE9</f>
        <v>#DIV/0!</v>
      </c>
      <c r="AU6" s="93" t="e">
        <f>BE10</f>
        <v>#DIV/0!</v>
      </c>
      <c r="AV6" s="93" t="e">
        <f>BM9</f>
        <v>#DIV/0!</v>
      </c>
      <c r="AW6" s="93" t="e">
        <f>BM10</f>
        <v>#DIV/0!</v>
      </c>
      <c r="AX6" s="91" t="str">
        <f>IF(C6=0,"-",C6)</f>
        <v>-</v>
      </c>
      <c r="AY6" s="91">
        <f>IF(C6=0,0,1)</f>
        <v>0</v>
      </c>
      <c r="AZ6" s="91">
        <f>IF(C6=0,0,C6)</f>
        <v>0</v>
      </c>
      <c r="BA6" s="92">
        <f>IF(C6=0,0,AJ6)</f>
        <v>0</v>
      </c>
      <c r="BB6" s="91">
        <f t="shared" ref="BB6:BB50" si="1">AZ6*BA6</f>
        <v>0</v>
      </c>
      <c r="BC6" s="91">
        <f t="shared" ref="BC6:BC50" si="2">AZ6*AZ6</f>
        <v>0</v>
      </c>
      <c r="BD6" s="91" t="s">
        <v>22</v>
      </c>
      <c r="BE6" s="91">
        <f>AZ51*BA51-AY51*BB51</f>
        <v>0</v>
      </c>
      <c r="BF6" s="91"/>
      <c r="BG6" s="91">
        <f>IF(C6=0,0,1)</f>
        <v>0</v>
      </c>
      <c r="BH6" s="91">
        <f>IF(C6=0,0,C6)</f>
        <v>0</v>
      </c>
      <c r="BI6" s="92">
        <f>IF(C6=0,0,AK6)</f>
        <v>0</v>
      </c>
      <c r="BJ6" s="91">
        <f t="shared" ref="BJ6:BJ50" si="3">BH6*BI6</f>
        <v>0</v>
      </c>
      <c r="BK6" s="91">
        <f t="shared" ref="BK6:BK50" si="4">BH6*BH6</f>
        <v>0</v>
      </c>
      <c r="BL6" s="91" t="s">
        <v>22</v>
      </c>
      <c r="BM6" s="91">
        <f>BH51*BI51-BG51*BJ51</f>
        <v>0</v>
      </c>
      <c r="BN6" s="91">
        <f>IF(EZ6="-",0,EZ6)</f>
        <v>0</v>
      </c>
      <c r="BO6" s="91" t="str">
        <f>FC6</f>
        <v>-</v>
      </c>
      <c r="BP6" s="92" t="str">
        <f>IF(BO6="-","-",IF(G6="x",$I$3-BO6+$J$3,$I$2-BO6+$J$2))</f>
        <v>-</v>
      </c>
      <c r="BQ6" s="92" t="str">
        <f>IF(BO6="-","-",$I$1-BO6)</f>
        <v>-</v>
      </c>
      <c r="BR6" s="92" t="str">
        <f t="shared" ref="BR6:BR50" si="5">IF(BN6=0,"-",((BP6-CA6)/BZ6))</f>
        <v>-</v>
      </c>
      <c r="BS6" s="92" t="str">
        <f t="shared" ref="BS6:BS50" si="6">IF(BN6=0,"-",((BQ6-CC6)/CB6))</f>
        <v>-</v>
      </c>
      <c r="BT6" s="92" t="str">
        <f t="shared" ref="BT6:BT50" si="7">IF(BN6=0,"-",ABS(BP6-BN6))</f>
        <v>-</v>
      </c>
      <c r="BU6" s="92" t="str">
        <f t="shared" ref="BU6:BU50" si="8">IF(BN6=0,"-",ABS(BQ6-BN6))</f>
        <v>-</v>
      </c>
      <c r="BV6" s="92" t="str">
        <f t="shared" ref="BV6:BV50" si="9">IF(BN6=0,"-",ABS(BR6-BN6))</f>
        <v>-</v>
      </c>
      <c r="BW6" s="92" t="str">
        <f t="shared" ref="BW6:BW50" si="10">IF(BN6=0,"-",ABS(BS6-BN6))</f>
        <v>-</v>
      </c>
      <c r="BX6" s="91"/>
      <c r="BY6" s="91"/>
      <c r="BZ6" s="93" t="e">
        <f>CK9</f>
        <v>#DIV/0!</v>
      </c>
      <c r="CA6" s="93" t="e">
        <f>CK10</f>
        <v>#DIV/0!</v>
      </c>
      <c r="CB6" s="93" t="e">
        <f>CS9</f>
        <v>#DIV/0!</v>
      </c>
      <c r="CC6" s="93" t="e">
        <f>CS10</f>
        <v>#DIV/0!</v>
      </c>
      <c r="CD6" s="91" t="str">
        <f t="shared" ref="CD6:CD50" si="11">IF(BN6=0,"-",BN6)</f>
        <v>-</v>
      </c>
      <c r="CE6" s="91">
        <f>IF(BN6=0,0,IF(BN6="-","-",1))</f>
        <v>0</v>
      </c>
      <c r="CF6" s="91">
        <f>IF(BN6=0,0,IF(BN6="-",0,BN6))</f>
        <v>0</v>
      </c>
      <c r="CG6" s="92">
        <f>IF(BN6=0,0,IF(BN6="-",0,BP6))</f>
        <v>0</v>
      </c>
      <c r="CH6" s="91">
        <f t="shared" ref="CH6:CH50" si="12">CF6*CG6</f>
        <v>0</v>
      </c>
      <c r="CI6" s="91">
        <f t="shared" ref="CI6:CI50" si="13">CF6*CF6</f>
        <v>0</v>
      </c>
      <c r="CJ6" s="91" t="s">
        <v>22</v>
      </c>
      <c r="CK6" s="91">
        <f>CF51*CG51-CE51*CH51</f>
        <v>0</v>
      </c>
      <c r="CL6" s="91"/>
      <c r="CM6" s="91">
        <f t="shared" ref="CM6:CM50" si="14">IF(BN6=0,0,1)</f>
        <v>0</v>
      </c>
      <c r="CN6" s="91">
        <f>IF(BN6=0,0,IF(BN6="-",0,BN6))</f>
        <v>0</v>
      </c>
      <c r="CO6" s="92">
        <f>IF(BN6=0,0,IF(BN6="-",0,BQ6))</f>
        <v>0</v>
      </c>
      <c r="CP6" s="91">
        <f t="shared" ref="CP6:CP50" si="15">CN6*CO6</f>
        <v>0</v>
      </c>
      <c r="CQ6" s="91">
        <f t="shared" ref="CQ6:CQ50" si="16">CN6*CN6</f>
        <v>0</v>
      </c>
      <c r="CR6" s="91" t="s">
        <v>22</v>
      </c>
      <c r="CS6" s="91">
        <f>CN51*CO51-CM51*CP51</f>
        <v>0</v>
      </c>
      <c r="CT6" s="91"/>
      <c r="CU6" s="91"/>
      <c r="CV6" s="92" t="str">
        <f t="shared" ref="CV6:CV50" si="17">IF(D6=0,"-",IF(G6="x",$G$3-M6+$H$3,$G$2-M6+$H$2))</f>
        <v>-</v>
      </c>
      <c r="CW6" s="89" t="str">
        <f t="shared" ref="CW6:CW50" si="18">IF(D6=0,"-",IF(G6="x",$I$3-N6+$J$3,$I$2-N6+$J$2))</f>
        <v>-</v>
      </c>
      <c r="CX6" s="91" t="str">
        <f>IF(D6=0,"-",D6)</f>
        <v>-</v>
      </c>
      <c r="CY6" s="91" t="str">
        <f t="shared" ref="CY6:CY50" si="19">IF(E6=0,"-",E6)</f>
        <v>-</v>
      </c>
      <c r="CZ6" s="94" t="str">
        <f t="shared" ref="CZ6:CZ50" si="20">IF(CV6="-","-",SQRT(POWER((CX6-CV6),2)+POWER((CY6-CW6),2)))</f>
        <v>-</v>
      </c>
      <c r="DA6" s="58" t="str">
        <f>IF(CV6="-","-",IF((CV6-CX6)&gt;0,1,-1))</f>
        <v>-</v>
      </c>
      <c r="DB6" s="58" t="str">
        <f>IF(CV6="-","-",IF((CW6-CY6)&gt;0,1,-1))</f>
        <v>-</v>
      </c>
      <c r="DC6" s="58" t="str">
        <f>IF(DA6="-","-",ATAN(ABS(CV6-CX6)/ABS(CW6-CY6)))</f>
        <v>-</v>
      </c>
      <c r="DD6" s="58" t="str">
        <f>IF(CV6="-","-",IF(DA6=-1,IF(DB6=-1,1,2),IF(DB6=1,3,4)))</f>
        <v>-</v>
      </c>
      <c r="DE6" s="58">
        <f>COUNTIF(DD6:DD50,1)</f>
        <v>0</v>
      </c>
      <c r="DF6" s="58" t="e">
        <f>AVERAGE(DC6:DC50)</f>
        <v>#DIV/0!</v>
      </c>
      <c r="DG6" s="91"/>
      <c r="DH6" s="92" t="str">
        <f>IF(D6=0,"-",$G$1-M6)</f>
        <v>-</v>
      </c>
      <c r="DI6" s="92" t="str">
        <f>IF(E6=0,"-",$I$1-N6)</f>
        <v>-</v>
      </c>
      <c r="DJ6" s="91" t="str">
        <f>CX6</f>
        <v>-</v>
      </c>
      <c r="DK6" s="91" t="str">
        <f t="shared" ref="DK6:DK9" si="21">CY6</f>
        <v>-</v>
      </c>
      <c r="DL6" s="94" t="str">
        <f t="shared" ref="DL6:DL50" si="22">IF(DH6="-","-",SQRT(POWER((DJ6-DH6),2)+POWER((DK6-DI6),2)))</f>
        <v>-</v>
      </c>
      <c r="DM6" s="58" t="str">
        <f>IF(DH6="-","-",IF((DH6-DJ6)&gt;0,1,-1))</f>
        <v>-</v>
      </c>
      <c r="DN6" s="58" t="str">
        <f>IF(DH6="-","-",IF((DI6-DK6)&gt;0,1,-1))</f>
        <v>-</v>
      </c>
      <c r="DO6" s="58" t="str">
        <f>IF(DM6="-","-",ATAN(ABS(DH6-DJ6)/ABS(DI6-DK6)))</f>
        <v>-</v>
      </c>
      <c r="DP6" s="58" t="str">
        <f>IF(DH6="-","-",IF(DM6=-1,IF(DN6=-1,1,2),IF(DN6=1,3,4)))</f>
        <v>-</v>
      </c>
      <c r="DQ6" s="58">
        <f>COUNTIF(DP6:DP50,1)</f>
        <v>0</v>
      </c>
      <c r="DR6" s="58" t="e">
        <f>AVERAGE(DO6:DO50)</f>
        <v>#DIV/0!</v>
      </c>
      <c r="DS6" s="91"/>
      <c r="DT6" s="92" t="str">
        <f>IF(D6=0,"-",(CV6-AU6)/AT6)</f>
        <v>-</v>
      </c>
      <c r="DU6" s="92" t="str">
        <f>IF(D6=0,"-",(CY6-CA6)/BZ6)</f>
        <v>-</v>
      </c>
      <c r="DV6" s="91" t="str">
        <f>DJ6</f>
        <v>-</v>
      </c>
      <c r="DW6" s="91" t="str">
        <f t="shared" ref="DW6:DW9" si="23">DK6</f>
        <v>-</v>
      </c>
      <c r="DX6" s="94" t="str">
        <f t="shared" ref="DX6:DX50" si="24">IF(DT6="-","-",SQRT(POWER((DV6-DT6),2)+POWER((DW6-DU6),2)))</f>
        <v>-</v>
      </c>
      <c r="DY6" s="58" t="str">
        <f>IF(DT6="-","-",IF((DT6-DV6)&gt;0,1,-1))</f>
        <v>-</v>
      </c>
      <c r="DZ6" s="58" t="str">
        <f>IF(DT6="-","-",IF((DU6-DW6)&gt;0,1,-1))</f>
        <v>-</v>
      </c>
      <c r="EA6" s="58" t="str">
        <f>IF(DY6="-","-",ATAN(ABS(DT6-DV6)/ABS(DU6-DW6)))</f>
        <v>-</v>
      </c>
      <c r="EB6" s="58" t="str">
        <f>IF(DT6="-","-",IF(DY6=-1,IF(DZ6=-1,1,2),IF(DZ6=1,3,4)))</f>
        <v>-</v>
      </c>
      <c r="EC6" s="58">
        <f>COUNTIF(EB6:EB50,1)</f>
        <v>0</v>
      </c>
      <c r="ED6" s="58" t="e">
        <f>AVERAGE(EA6:EA50)</f>
        <v>#DIV/0!</v>
      </c>
      <c r="EE6" s="91"/>
      <c r="EF6" s="92" t="str">
        <f>IF(D6=0,"-",(DH6-AW6)/AV6)</f>
        <v>-</v>
      </c>
      <c r="EG6" s="92" t="str">
        <f>IF(D6=0,"-",(DI6-CC6)/CB6)</f>
        <v>-</v>
      </c>
      <c r="EH6" s="91" t="str">
        <f>DV6</f>
        <v>-</v>
      </c>
      <c r="EI6" s="91" t="str">
        <f t="shared" ref="EI6:EI9" si="25">DW6</f>
        <v>-</v>
      </c>
      <c r="EJ6" s="94" t="str">
        <f t="shared" ref="EJ6:EJ50" si="26">IF(EF6="-","-",SQRT(POWER((EH6-EF6),2)+POWER((EI6-EG6),2)))</f>
        <v>-</v>
      </c>
      <c r="EK6" s="58" t="str">
        <f>IF(EF6="-","-",IF((EF6-EH6)&gt;0,1,-1))</f>
        <v>-</v>
      </c>
      <c r="EL6" s="58" t="str">
        <f>IF(EF6="-","-",IF((EG6-EI6)&gt;0,1,-1))</f>
        <v>-</v>
      </c>
      <c r="EM6" s="58" t="str">
        <f>IF(EK6="-","-",ATAN(ABS(EF6-EH6)/ABS(EG6-EI6)))</f>
        <v>-</v>
      </c>
      <c r="EN6" s="58" t="str">
        <f>IF(EF6="-","-",IF(EK6=-1,IF(EL6=-1,1,2),IF(EL6=1,3,4)))</f>
        <v>-</v>
      </c>
      <c r="EO6" s="58">
        <f>COUNTIF(EN6:EN50,1)</f>
        <v>0</v>
      </c>
      <c r="EP6" s="58" t="e">
        <f>AVERAGE(EM6:EM50)</f>
        <v>#DIV/0!</v>
      </c>
      <c r="EQ6" s="91"/>
      <c r="ER6" s="92" t="str">
        <f>CZ6</f>
        <v>-</v>
      </c>
      <c r="ES6" s="92" t="str">
        <f>DL6</f>
        <v>-</v>
      </c>
      <c r="ET6" s="92" t="str">
        <f>DX6</f>
        <v>-</v>
      </c>
      <c r="EU6" s="92" t="str">
        <f>EJ6</f>
        <v>-</v>
      </c>
      <c r="EV6" s="91"/>
      <c r="EW6" s="91"/>
      <c r="EX6" s="91"/>
      <c r="EY6" s="91" t="str">
        <f>IF(E6=0,"-",LARGE(E6:E50,1))</f>
        <v>-</v>
      </c>
      <c r="EZ6" s="88" t="str">
        <f>EY6</f>
        <v>-</v>
      </c>
      <c r="FA6" s="88">
        <f>N6</f>
        <v>0</v>
      </c>
      <c r="FB6" s="88" t="str">
        <f>IF(N6=0,"-",N6)</f>
        <v>-</v>
      </c>
      <c r="FC6" s="88" t="str">
        <f>IF(FB6="-","-",SMALL(FB6:FB50,1))</f>
        <v>-</v>
      </c>
    </row>
    <row r="7" spans="1:159" s="77" customFormat="1">
      <c r="A7" s="29"/>
      <c r="C7" s="95">
        <f>'1'!R4</f>
        <v>0</v>
      </c>
      <c r="D7" s="96">
        <f>'1'!J4</f>
        <v>0</v>
      </c>
      <c r="E7" s="96">
        <f>'1'!K4</f>
        <v>0</v>
      </c>
      <c r="F7" s="29"/>
      <c r="H7" s="29"/>
      <c r="I7" s="29"/>
      <c r="J7" s="29"/>
      <c r="K7" s="29"/>
      <c r="L7" s="96">
        <f>'2'!R4</f>
        <v>0</v>
      </c>
      <c r="M7" s="77">
        <f>'2'!J4</f>
        <v>0</v>
      </c>
      <c r="N7" s="74">
        <f>'2'!K4</f>
        <v>0</v>
      </c>
      <c r="O7" s="74"/>
      <c r="P7" s="58"/>
      <c r="Q7" s="58" t="s">
        <v>23</v>
      </c>
      <c r="R7" s="97" t="e">
        <f>STDEV(AN6:AN35)</f>
        <v>#DIV/0!</v>
      </c>
      <c r="S7" s="97" t="e">
        <f>STDEV(BT6:BT35)</f>
        <v>#DIV/0!</v>
      </c>
      <c r="T7" s="97" t="e">
        <f>STDEV(ER6:ER35)</f>
        <v>#DIV/0!</v>
      </c>
      <c r="U7" s="74"/>
      <c r="V7" s="74"/>
      <c r="W7" s="74"/>
      <c r="X7" s="95"/>
      <c r="Y7" s="74"/>
      <c r="Z7" s="74"/>
      <c r="AA7" s="74"/>
      <c r="AB7" s="74"/>
      <c r="AC7" s="74"/>
      <c r="AD7" s="74"/>
      <c r="AE7" s="74"/>
      <c r="AF7" s="74"/>
      <c r="AG7" s="74"/>
      <c r="AH7" s="95"/>
      <c r="AI7" s="74"/>
      <c r="AJ7" s="98" t="str">
        <f t="shared" ref="AJ7:AJ50" si="27">IF(C7=0,"-",IF(B7="x",$G$3-L7+$H$3,$G$2-L7+$H$2))</f>
        <v>-</v>
      </c>
      <c r="AK7" s="98" t="str">
        <f t="shared" ref="AK7:AK50" si="28">IF(C7=0,"-",$G$1-L7)</f>
        <v>-</v>
      </c>
      <c r="AL7" s="98" t="str">
        <f t="shared" si="0"/>
        <v>-</v>
      </c>
      <c r="AM7" s="98" t="str">
        <f t="shared" ref="AM7:AM50" si="29">IF(C7=0,"-",((AK7-AW7)/AV7))</f>
        <v>-</v>
      </c>
      <c r="AN7" s="98" t="str">
        <f t="shared" ref="AN7:AN50" si="30">IF(C7=0,"-",ABS(AJ7-C7))</f>
        <v>-</v>
      </c>
      <c r="AO7" s="98" t="str">
        <f t="shared" ref="AO7:AO50" si="31">IF(C7=0,"-",ABS(AK7-C7))</f>
        <v>-</v>
      </c>
      <c r="AP7" s="98" t="str">
        <f t="shared" ref="AP7:AP50" si="32">IF(C7=0,"-",ABS(AL7-C7))</f>
        <v>-</v>
      </c>
      <c r="AQ7" s="98" t="str">
        <f t="shared" ref="AQ7:AQ50" si="33">IF(C7=0,"-",ABS(AM7-C7))</f>
        <v>-</v>
      </c>
      <c r="AR7" s="98"/>
      <c r="AS7" s="98"/>
      <c r="AT7" s="99" t="e">
        <f>AT6</f>
        <v>#DIV/0!</v>
      </c>
      <c r="AU7" s="99" t="e">
        <f>AU6</f>
        <v>#DIV/0!</v>
      </c>
      <c r="AV7" s="99" t="e">
        <f t="shared" ref="AV7:AW7" si="34">AV6</f>
        <v>#DIV/0!</v>
      </c>
      <c r="AW7" s="99" t="e">
        <f t="shared" si="34"/>
        <v>#DIV/0!</v>
      </c>
      <c r="AX7" s="74" t="str">
        <f t="shared" ref="AX7:AX50" si="35">IF(C7=0,"-",C7)</f>
        <v>-</v>
      </c>
      <c r="AY7" s="74">
        <f t="shared" ref="AY7:AY50" si="36">IF(C7=0,0,1)</f>
        <v>0</v>
      </c>
      <c r="AZ7" s="74">
        <f t="shared" ref="AZ7:AZ50" si="37">IF(C7=0,0,C7)</f>
        <v>0</v>
      </c>
      <c r="BA7" s="98">
        <f t="shared" ref="BA7:BA50" si="38">IF(C7=0,0,AJ7)</f>
        <v>0</v>
      </c>
      <c r="BB7" s="74">
        <f t="shared" si="1"/>
        <v>0</v>
      </c>
      <c r="BC7" s="74">
        <f t="shared" si="2"/>
        <v>0</v>
      </c>
      <c r="BD7" s="74" t="s">
        <v>24</v>
      </c>
      <c r="BE7" s="74">
        <f>AZ51*AZ51-AY51*BC51</f>
        <v>0</v>
      </c>
      <c r="BF7" s="74"/>
      <c r="BG7" s="74">
        <f t="shared" ref="BG7:BG50" si="39">IF(C7=0,0,1)</f>
        <v>0</v>
      </c>
      <c r="BH7" s="74">
        <f t="shared" ref="BH7:BH50" si="40">IF(C7=0,0,C7)</f>
        <v>0</v>
      </c>
      <c r="BI7" s="98">
        <f t="shared" ref="BI7:BI50" si="41">IF(C7=0,0,AK7)</f>
        <v>0</v>
      </c>
      <c r="BJ7" s="74">
        <f t="shared" si="3"/>
        <v>0</v>
      </c>
      <c r="BK7" s="74">
        <f t="shared" si="4"/>
        <v>0</v>
      </c>
      <c r="BL7" s="74" t="s">
        <v>24</v>
      </c>
      <c r="BM7" s="74">
        <f>BH51*BH51-BG51*BK51</f>
        <v>0</v>
      </c>
      <c r="BN7" s="74">
        <f t="shared" ref="BN7:BN50" si="42">IF(EZ7="-",0,EZ7)</f>
        <v>0</v>
      </c>
      <c r="BO7" s="74" t="str">
        <f t="shared" ref="BO7:BO50" si="43">FC7</f>
        <v>-</v>
      </c>
      <c r="BP7" s="98" t="str">
        <f t="shared" ref="BP7:BP50" si="44">IF(BO7="-","-",IF(G7="x",$I$3-BO7+$J$3,$I$2-BO7+$J$2))</f>
        <v>-</v>
      </c>
      <c r="BQ7" s="98" t="str">
        <f t="shared" ref="BQ7:BQ50" si="45">IF(BO7="-","-",$I$1-BO7)</f>
        <v>-</v>
      </c>
      <c r="BR7" s="98" t="str">
        <f t="shared" si="5"/>
        <v>-</v>
      </c>
      <c r="BS7" s="98" t="str">
        <f t="shared" si="6"/>
        <v>-</v>
      </c>
      <c r="BT7" s="98" t="str">
        <f t="shared" si="7"/>
        <v>-</v>
      </c>
      <c r="BU7" s="98" t="str">
        <f t="shared" si="8"/>
        <v>-</v>
      </c>
      <c r="BV7" s="98" t="str">
        <f t="shared" si="9"/>
        <v>-</v>
      </c>
      <c r="BW7" s="98" t="str">
        <f t="shared" si="10"/>
        <v>-</v>
      </c>
      <c r="BX7" s="74"/>
      <c r="BY7" s="74"/>
      <c r="BZ7" s="99" t="e">
        <f>BZ6</f>
        <v>#DIV/0!</v>
      </c>
      <c r="CA7" s="99" t="e">
        <f>CA6</f>
        <v>#DIV/0!</v>
      </c>
      <c r="CB7" s="99" t="e">
        <f t="shared" ref="CB7:CC7" si="46">CB6</f>
        <v>#DIV/0!</v>
      </c>
      <c r="CC7" s="99" t="e">
        <f t="shared" si="46"/>
        <v>#DIV/0!</v>
      </c>
      <c r="CD7" s="74" t="str">
        <f t="shared" si="11"/>
        <v>-</v>
      </c>
      <c r="CE7" s="74">
        <f t="shared" ref="CE7:CE50" si="47">IF(BN7=0,0,IF(BN7="-","-",1))</f>
        <v>0</v>
      </c>
      <c r="CF7" s="74">
        <f t="shared" ref="CF7:CF50" si="48">IF(BN7=0,0,IF(BN7="-",0,BN7))</f>
        <v>0</v>
      </c>
      <c r="CG7" s="98">
        <f t="shared" ref="CG7:CG50" si="49">IF(BN7=0,0,IF(BN7="-",0,BP7))</f>
        <v>0</v>
      </c>
      <c r="CH7" s="74">
        <f t="shared" si="12"/>
        <v>0</v>
      </c>
      <c r="CI7" s="74">
        <f t="shared" si="13"/>
        <v>0</v>
      </c>
      <c r="CJ7" s="74" t="s">
        <v>24</v>
      </c>
      <c r="CK7" s="74">
        <f>CF51*CF51-CE51*CI51</f>
        <v>0</v>
      </c>
      <c r="CL7" s="74"/>
      <c r="CM7" s="74">
        <f t="shared" si="14"/>
        <v>0</v>
      </c>
      <c r="CN7" s="74">
        <f t="shared" ref="CN7:CN50" si="50">IF(BN7=0,0,IF(BN7="-",0,BN7))</f>
        <v>0</v>
      </c>
      <c r="CO7" s="98">
        <f t="shared" ref="CO7:CO50" si="51">IF(BN7=0,0,IF(BN7="-",0,BQ7))</f>
        <v>0</v>
      </c>
      <c r="CP7" s="74">
        <f t="shared" si="15"/>
        <v>0</v>
      </c>
      <c r="CQ7" s="74">
        <f t="shared" si="16"/>
        <v>0</v>
      </c>
      <c r="CR7" s="74" t="s">
        <v>24</v>
      </c>
      <c r="CS7" s="74">
        <f>CN51*CN51-CM51*CQ51</f>
        <v>0</v>
      </c>
      <c r="CT7" s="74"/>
      <c r="CU7" s="74"/>
      <c r="CV7" s="98" t="str">
        <f t="shared" si="17"/>
        <v>-</v>
      </c>
      <c r="CW7" s="95" t="str">
        <f t="shared" si="18"/>
        <v>-</v>
      </c>
      <c r="CX7" s="74" t="str">
        <f t="shared" ref="CX7:CX50" si="52">IF(D7=0,"-",D7)</f>
        <v>-</v>
      </c>
      <c r="CY7" s="74" t="str">
        <f t="shared" si="19"/>
        <v>-</v>
      </c>
      <c r="CZ7" s="100" t="str">
        <f t="shared" si="20"/>
        <v>-</v>
      </c>
      <c r="DA7" s="58" t="str">
        <f t="shared" ref="DA7:DA50" si="53">IF(CV7="-","-",IF((CV7-CX7)&gt;0,1,-1))</f>
        <v>-</v>
      </c>
      <c r="DB7" s="58" t="str">
        <f t="shared" ref="DB7:DB50" si="54">IF(CV7="-","-",IF((CW7-CY7)&gt;0,1,-1))</f>
        <v>-</v>
      </c>
      <c r="DC7" s="58" t="str">
        <f t="shared" ref="DC7:DC50" si="55">IF(DA7="-","-",ATAN(ABS(CV7-CX7)/ABS(CW7-CY7)))</f>
        <v>-</v>
      </c>
      <c r="DD7" s="58" t="str">
        <f t="shared" ref="DD7:DD50" si="56">IF(CV7="-","-",IF(DA7=-1,IF(DB7=-1,1,2),IF(DB7=1,3,4)))</f>
        <v>-</v>
      </c>
      <c r="DE7" s="58">
        <f>COUNTIF(DD6:DD50,2)</f>
        <v>0</v>
      </c>
      <c r="DF7" s="58"/>
      <c r="DG7" s="58"/>
      <c r="DH7" s="98" t="str">
        <f t="shared" ref="DH7:DH50" si="57">IF(D7=0,"-",$G$1-M7)</f>
        <v>-</v>
      </c>
      <c r="DI7" s="98" t="str">
        <f t="shared" ref="DI7:DI50" si="58">IF(E7=0,"-",$I$1-N7)</f>
        <v>-</v>
      </c>
      <c r="DJ7" s="74" t="str">
        <f t="shared" ref="DJ7:DK35" si="59">CX7</f>
        <v>-</v>
      </c>
      <c r="DK7" s="74" t="str">
        <f t="shared" si="21"/>
        <v>-</v>
      </c>
      <c r="DL7" s="100" t="str">
        <f t="shared" si="22"/>
        <v>-</v>
      </c>
      <c r="DM7" s="58" t="str">
        <f t="shared" ref="DM7:DM50" si="60">IF(DH7="-","-",IF((DH7-DJ7)&gt;0,1,-1))</f>
        <v>-</v>
      </c>
      <c r="DN7" s="58" t="str">
        <f t="shared" ref="DN7:DN50" si="61">IF(DH7="-","-",IF((DI7-DK7)&gt;0,1,-1))</f>
        <v>-</v>
      </c>
      <c r="DO7" s="58" t="str">
        <f t="shared" ref="DO7:DO50" si="62">IF(DM7="-","-",ATAN(ABS(DH7-DJ7)/ABS(DI7-DK7)))</f>
        <v>-</v>
      </c>
      <c r="DP7" s="58" t="str">
        <f t="shared" ref="DP7:DP50" si="63">IF(DH7="-","-",IF(DM7=-1,IF(DN7=-1,1,2),IF(DN7=1,3,4)))</f>
        <v>-</v>
      </c>
      <c r="DQ7" s="58">
        <f>COUNTIF(DP6:DP50,2)</f>
        <v>0</v>
      </c>
      <c r="DR7" s="58"/>
      <c r="DS7" s="74"/>
      <c r="DT7" s="98" t="str">
        <f>IF(D7=0,"-",(CV7-AU7)/AT7)</f>
        <v>-</v>
      </c>
      <c r="DU7" s="98" t="str">
        <f t="shared" ref="DU7:DU50" si="64">IF(D7=0,"-",(CY7-CA7)/BZ7)</f>
        <v>-</v>
      </c>
      <c r="DV7" s="74" t="str">
        <f t="shared" ref="DV7:DW35" si="65">DJ7</f>
        <v>-</v>
      </c>
      <c r="DW7" s="74" t="str">
        <f t="shared" si="23"/>
        <v>-</v>
      </c>
      <c r="DX7" s="100" t="str">
        <f t="shared" si="24"/>
        <v>-</v>
      </c>
      <c r="DY7" s="58" t="str">
        <f t="shared" ref="DY7:DY50" si="66">IF(DT7="-","-",IF((DT7-DV7)&gt;0,1,-1))</f>
        <v>-</v>
      </c>
      <c r="DZ7" s="58" t="str">
        <f t="shared" ref="DZ7:DZ50" si="67">IF(DT7="-","-",IF((DU7-DW7)&gt;0,1,-1))</f>
        <v>-</v>
      </c>
      <c r="EA7" s="58" t="str">
        <f t="shared" ref="EA7:EA50" si="68">IF(DY7="-","-",ATAN(ABS(DT7-DV7)/ABS(DU7-DW7)))</f>
        <v>-</v>
      </c>
      <c r="EB7" s="58" t="str">
        <f t="shared" ref="EB7:EB50" si="69">IF(DT7="-","-",IF(DY7=-1,IF(DZ7=-1,1,2),IF(DZ7=1,3,4)))</f>
        <v>-</v>
      </c>
      <c r="EC7" s="58">
        <f>COUNTIF(EB6:EB50,2)</f>
        <v>0</v>
      </c>
      <c r="ED7" s="58"/>
      <c r="EE7" s="74"/>
      <c r="EF7" s="98" t="str">
        <f t="shared" ref="EF7:EF50" si="70">IF(D7=0,"-",(DH7-AW7)/AV7)</f>
        <v>-</v>
      </c>
      <c r="EG7" s="98" t="str">
        <f t="shared" ref="EG7:EG50" si="71">IF(D7=0,"-",(DI7-CC7)/CB7)</f>
        <v>-</v>
      </c>
      <c r="EH7" s="74" t="str">
        <f t="shared" ref="EH7:EI35" si="72">DV7</f>
        <v>-</v>
      </c>
      <c r="EI7" s="74" t="str">
        <f t="shared" si="25"/>
        <v>-</v>
      </c>
      <c r="EJ7" s="100" t="str">
        <f t="shared" si="26"/>
        <v>-</v>
      </c>
      <c r="EK7" s="58" t="str">
        <f t="shared" ref="EK7:EK50" si="73">IF(EF7="-","-",IF((EF7-EH7)&gt;0,1,-1))</f>
        <v>-</v>
      </c>
      <c r="EL7" s="58" t="str">
        <f t="shared" ref="EL7:EL50" si="74">IF(EF7="-","-",IF((EG7-EI7)&gt;0,1,-1))</f>
        <v>-</v>
      </c>
      <c r="EM7" s="58" t="str">
        <f t="shared" ref="EM7:EM50" si="75">IF(EK7="-","-",ATAN(ABS(EF7-EH7)/ABS(EG7-EI7)))</f>
        <v>-</v>
      </c>
      <c r="EN7" s="58" t="str">
        <f t="shared" ref="EN7:EN50" si="76">IF(EF7="-","-",IF(EK7=-1,IF(EL7=-1,1,2),IF(EL7=1,3,4)))</f>
        <v>-</v>
      </c>
      <c r="EO7" s="58">
        <f>COUNTIF(EN6:EN50,2)</f>
        <v>0</v>
      </c>
      <c r="EP7" s="58"/>
      <c r="EQ7" s="74"/>
      <c r="ER7" s="98" t="str">
        <f t="shared" ref="ER7:ER50" si="77">CZ7</f>
        <v>-</v>
      </c>
      <c r="ES7" s="98" t="str">
        <f t="shared" ref="ES7:ES50" si="78">DL7</f>
        <v>-</v>
      </c>
      <c r="ET7" s="98" t="str">
        <f t="shared" ref="ET7:ET50" si="79">DX7</f>
        <v>-</v>
      </c>
      <c r="EU7" s="98" t="str">
        <f t="shared" ref="EU7:EU50" si="80">EJ7</f>
        <v>-</v>
      </c>
      <c r="EV7" s="74"/>
      <c r="EW7" s="74"/>
      <c r="EX7" s="74"/>
      <c r="EY7" s="74" t="str">
        <f>IF(E7=0,"-",LARGE(E6:E50,2))</f>
        <v>-</v>
      </c>
      <c r="EZ7" s="77" t="str">
        <f t="shared" ref="EZ7:EZ50" si="81">EY7</f>
        <v>-</v>
      </c>
      <c r="FA7" s="77">
        <f t="shared" ref="FA7:FA35" si="82">N7</f>
        <v>0</v>
      </c>
      <c r="FB7" s="77" t="str">
        <f t="shared" ref="FB7:FB50" si="83">IF(N7=0,"-",N7)</f>
        <v>-</v>
      </c>
      <c r="FC7" s="77" t="str">
        <f>IF(FB7="-","-",SMALL(FB6:FB50,2))</f>
        <v>-</v>
      </c>
    </row>
    <row r="8" spans="1:159" s="77" customFormat="1">
      <c r="A8" s="29"/>
      <c r="C8" s="95">
        <f>'1'!R5</f>
        <v>0</v>
      </c>
      <c r="D8" s="96">
        <f>'1'!J5</f>
        <v>0</v>
      </c>
      <c r="E8" s="96">
        <f>'1'!K5</f>
        <v>0</v>
      </c>
      <c r="F8" s="29"/>
      <c r="G8" s="29"/>
      <c r="H8" s="29"/>
      <c r="I8" s="29"/>
      <c r="J8" s="29"/>
      <c r="K8" s="29"/>
      <c r="L8" s="96">
        <f>'2'!R5</f>
        <v>0</v>
      </c>
      <c r="M8" s="77">
        <f>'2'!J5</f>
        <v>0</v>
      </c>
      <c r="N8" s="74">
        <f>'2'!K5</f>
        <v>0</v>
      </c>
      <c r="O8" s="74"/>
      <c r="P8" s="58"/>
      <c r="Q8" s="58" t="s">
        <v>25</v>
      </c>
      <c r="R8" s="97">
        <f>MAX(AN6:AN35)</f>
        <v>0</v>
      </c>
      <c r="S8" s="97">
        <f>MAX(BT6:BT35)</f>
        <v>0</v>
      </c>
      <c r="T8" s="97">
        <f>MAX(ER6:ER35)</f>
        <v>0</v>
      </c>
      <c r="U8" s="74"/>
      <c r="V8" s="74"/>
      <c r="W8" s="74"/>
      <c r="X8" s="95"/>
      <c r="Y8" s="74"/>
      <c r="Z8" s="74"/>
      <c r="AA8" s="74"/>
      <c r="AB8" s="74"/>
      <c r="AC8" s="74"/>
      <c r="AD8" s="74"/>
      <c r="AE8" s="74"/>
      <c r="AF8" s="74"/>
      <c r="AG8" s="74"/>
      <c r="AH8" s="95"/>
      <c r="AI8" s="74"/>
      <c r="AJ8" s="98" t="str">
        <f t="shared" si="27"/>
        <v>-</v>
      </c>
      <c r="AK8" s="98" t="str">
        <f t="shared" si="28"/>
        <v>-</v>
      </c>
      <c r="AL8" s="98" t="str">
        <f t="shared" si="0"/>
        <v>-</v>
      </c>
      <c r="AM8" s="98" t="str">
        <f t="shared" si="29"/>
        <v>-</v>
      </c>
      <c r="AN8" s="98" t="str">
        <f t="shared" si="30"/>
        <v>-</v>
      </c>
      <c r="AO8" s="98" t="str">
        <f t="shared" si="31"/>
        <v>-</v>
      </c>
      <c r="AP8" s="98" t="str">
        <f t="shared" si="32"/>
        <v>-</v>
      </c>
      <c r="AQ8" s="98" t="str">
        <f t="shared" si="33"/>
        <v>-</v>
      </c>
      <c r="AR8" s="98"/>
      <c r="AS8" s="98"/>
      <c r="AT8" s="99" t="e">
        <f t="shared" ref="AT8:AW23" si="84">AT7</f>
        <v>#DIV/0!</v>
      </c>
      <c r="AU8" s="99" t="e">
        <f t="shared" si="84"/>
        <v>#DIV/0!</v>
      </c>
      <c r="AV8" s="99" t="e">
        <f t="shared" si="84"/>
        <v>#DIV/0!</v>
      </c>
      <c r="AW8" s="99" t="e">
        <f t="shared" si="84"/>
        <v>#DIV/0!</v>
      </c>
      <c r="AX8" s="74" t="str">
        <f t="shared" si="35"/>
        <v>-</v>
      </c>
      <c r="AY8" s="74">
        <f t="shared" si="36"/>
        <v>0</v>
      </c>
      <c r="AZ8" s="74">
        <f t="shared" si="37"/>
        <v>0</v>
      </c>
      <c r="BA8" s="98">
        <f t="shared" si="38"/>
        <v>0</v>
      </c>
      <c r="BB8" s="74">
        <f t="shared" si="1"/>
        <v>0</v>
      </c>
      <c r="BC8" s="74">
        <f t="shared" si="2"/>
        <v>0</v>
      </c>
      <c r="BD8" s="74" t="s">
        <v>3</v>
      </c>
      <c r="BE8" s="74" t="e">
        <f>BA51-BE9*AZ51</f>
        <v>#DIV/0!</v>
      </c>
      <c r="BF8" s="74"/>
      <c r="BG8" s="74">
        <f t="shared" si="39"/>
        <v>0</v>
      </c>
      <c r="BH8" s="74">
        <f t="shared" si="40"/>
        <v>0</v>
      </c>
      <c r="BI8" s="98">
        <f t="shared" si="41"/>
        <v>0</v>
      </c>
      <c r="BJ8" s="74">
        <f t="shared" si="3"/>
        <v>0</v>
      </c>
      <c r="BK8" s="74">
        <f t="shared" si="4"/>
        <v>0</v>
      </c>
      <c r="BL8" s="74" t="s">
        <v>3</v>
      </c>
      <c r="BM8" s="74" t="e">
        <f>BI51-BM9*BH51</f>
        <v>#DIV/0!</v>
      </c>
      <c r="BN8" s="74">
        <f t="shared" si="42"/>
        <v>0</v>
      </c>
      <c r="BO8" s="74" t="str">
        <f t="shared" si="43"/>
        <v>-</v>
      </c>
      <c r="BP8" s="98" t="str">
        <f t="shared" si="44"/>
        <v>-</v>
      </c>
      <c r="BQ8" s="98" t="str">
        <f t="shared" si="45"/>
        <v>-</v>
      </c>
      <c r="BR8" s="98" t="str">
        <f t="shared" si="5"/>
        <v>-</v>
      </c>
      <c r="BS8" s="98" t="str">
        <f t="shared" si="6"/>
        <v>-</v>
      </c>
      <c r="BT8" s="98" t="str">
        <f t="shared" si="7"/>
        <v>-</v>
      </c>
      <c r="BU8" s="98" t="str">
        <f t="shared" si="8"/>
        <v>-</v>
      </c>
      <c r="BV8" s="98" t="str">
        <f t="shared" si="9"/>
        <v>-</v>
      </c>
      <c r="BW8" s="98" t="str">
        <f t="shared" si="10"/>
        <v>-</v>
      </c>
      <c r="BX8" s="74"/>
      <c r="BY8" s="74"/>
      <c r="BZ8" s="99" t="e">
        <f t="shared" ref="BZ8:CC23" si="85">BZ7</f>
        <v>#DIV/0!</v>
      </c>
      <c r="CA8" s="99" t="e">
        <f t="shared" si="85"/>
        <v>#DIV/0!</v>
      </c>
      <c r="CB8" s="99" t="e">
        <f t="shared" si="85"/>
        <v>#DIV/0!</v>
      </c>
      <c r="CC8" s="99" t="e">
        <f t="shared" si="85"/>
        <v>#DIV/0!</v>
      </c>
      <c r="CD8" s="74" t="str">
        <f t="shared" si="11"/>
        <v>-</v>
      </c>
      <c r="CE8" s="74">
        <f t="shared" si="47"/>
        <v>0</v>
      </c>
      <c r="CF8" s="74">
        <f t="shared" si="48"/>
        <v>0</v>
      </c>
      <c r="CG8" s="98">
        <f t="shared" si="49"/>
        <v>0</v>
      </c>
      <c r="CH8" s="74">
        <f t="shared" si="12"/>
        <v>0</v>
      </c>
      <c r="CI8" s="74">
        <f t="shared" si="13"/>
        <v>0</v>
      </c>
      <c r="CJ8" s="74" t="s">
        <v>3</v>
      </c>
      <c r="CK8" s="74" t="e">
        <f>CG51-CK9*CF51</f>
        <v>#DIV/0!</v>
      </c>
      <c r="CL8" s="74"/>
      <c r="CM8" s="74">
        <f t="shared" si="14"/>
        <v>0</v>
      </c>
      <c r="CN8" s="74">
        <f t="shared" si="50"/>
        <v>0</v>
      </c>
      <c r="CO8" s="98">
        <f t="shared" si="51"/>
        <v>0</v>
      </c>
      <c r="CP8" s="74">
        <f t="shared" si="15"/>
        <v>0</v>
      </c>
      <c r="CQ8" s="74">
        <f t="shared" si="16"/>
        <v>0</v>
      </c>
      <c r="CR8" s="74" t="s">
        <v>3</v>
      </c>
      <c r="CS8" s="74" t="e">
        <f>CO51-CS9*CN51</f>
        <v>#DIV/0!</v>
      </c>
      <c r="CT8" s="74"/>
      <c r="CU8" s="74"/>
      <c r="CV8" s="98" t="str">
        <f t="shared" si="17"/>
        <v>-</v>
      </c>
      <c r="CW8" s="95" t="str">
        <f t="shared" si="18"/>
        <v>-</v>
      </c>
      <c r="CX8" s="74" t="str">
        <f t="shared" si="52"/>
        <v>-</v>
      </c>
      <c r="CY8" s="74" t="str">
        <f t="shared" si="19"/>
        <v>-</v>
      </c>
      <c r="CZ8" s="100" t="str">
        <f t="shared" si="20"/>
        <v>-</v>
      </c>
      <c r="DA8" s="58" t="str">
        <f t="shared" si="53"/>
        <v>-</v>
      </c>
      <c r="DB8" s="58" t="str">
        <f t="shared" si="54"/>
        <v>-</v>
      </c>
      <c r="DC8" s="58" t="str">
        <f t="shared" si="55"/>
        <v>-</v>
      </c>
      <c r="DD8" s="58" t="str">
        <f t="shared" si="56"/>
        <v>-</v>
      </c>
      <c r="DE8" s="58">
        <f>COUNTIF(DD6:DD50,3)</f>
        <v>0</v>
      </c>
      <c r="DF8" s="58"/>
      <c r="DG8" s="58"/>
      <c r="DH8" s="98" t="str">
        <f t="shared" si="57"/>
        <v>-</v>
      </c>
      <c r="DI8" s="98" t="str">
        <f t="shared" si="58"/>
        <v>-</v>
      </c>
      <c r="DJ8" s="74" t="str">
        <f t="shared" si="59"/>
        <v>-</v>
      </c>
      <c r="DK8" s="74" t="str">
        <f t="shared" si="21"/>
        <v>-</v>
      </c>
      <c r="DL8" s="100" t="str">
        <f t="shared" si="22"/>
        <v>-</v>
      </c>
      <c r="DM8" s="58" t="str">
        <f t="shared" si="60"/>
        <v>-</v>
      </c>
      <c r="DN8" s="58" t="str">
        <f t="shared" si="61"/>
        <v>-</v>
      </c>
      <c r="DO8" s="58" t="str">
        <f t="shared" si="62"/>
        <v>-</v>
      </c>
      <c r="DP8" s="58" t="str">
        <f t="shared" si="63"/>
        <v>-</v>
      </c>
      <c r="DQ8" s="58">
        <f>COUNTIF(DP6:DP50,3)</f>
        <v>0</v>
      </c>
      <c r="DR8" s="58"/>
      <c r="DS8" s="74"/>
      <c r="DT8" s="98" t="str">
        <f t="shared" ref="DT8:DT50" si="86">IF(D8=0,"-",(CV8-AU8)/AT8)</f>
        <v>-</v>
      </c>
      <c r="DU8" s="98" t="str">
        <f t="shared" si="64"/>
        <v>-</v>
      </c>
      <c r="DV8" s="74" t="str">
        <f t="shared" si="65"/>
        <v>-</v>
      </c>
      <c r="DW8" s="74" t="str">
        <f t="shared" si="23"/>
        <v>-</v>
      </c>
      <c r="DX8" s="100" t="str">
        <f t="shared" si="24"/>
        <v>-</v>
      </c>
      <c r="DY8" s="58" t="str">
        <f t="shared" si="66"/>
        <v>-</v>
      </c>
      <c r="DZ8" s="58" t="str">
        <f t="shared" si="67"/>
        <v>-</v>
      </c>
      <c r="EA8" s="58" t="str">
        <f t="shared" si="68"/>
        <v>-</v>
      </c>
      <c r="EB8" s="58" t="str">
        <f t="shared" si="69"/>
        <v>-</v>
      </c>
      <c r="EC8" s="58">
        <f>COUNTIF(EB6:EB50,3)</f>
        <v>0</v>
      </c>
      <c r="ED8" s="58"/>
      <c r="EE8" s="74"/>
      <c r="EF8" s="98" t="str">
        <f t="shared" si="70"/>
        <v>-</v>
      </c>
      <c r="EG8" s="98" t="str">
        <f t="shared" si="71"/>
        <v>-</v>
      </c>
      <c r="EH8" s="74" t="str">
        <f t="shared" si="72"/>
        <v>-</v>
      </c>
      <c r="EI8" s="74" t="str">
        <f t="shared" si="25"/>
        <v>-</v>
      </c>
      <c r="EJ8" s="100" t="str">
        <f t="shared" si="26"/>
        <v>-</v>
      </c>
      <c r="EK8" s="58" t="str">
        <f t="shared" si="73"/>
        <v>-</v>
      </c>
      <c r="EL8" s="58" t="str">
        <f t="shared" si="74"/>
        <v>-</v>
      </c>
      <c r="EM8" s="58" t="str">
        <f t="shared" si="75"/>
        <v>-</v>
      </c>
      <c r="EN8" s="58" t="str">
        <f t="shared" si="76"/>
        <v>-</v>
      </c>
      <c r="EO8" s="58">
        <f>COUNTIF(EN6:EN50,3)</f>
        <v>0</v>
      </c>
      <c r="EP8" s="58"/>
      <c r="EQ8" s="74"/>
      <c r="ER8" s="98" t="str">
        <f t="shared" si="77"/>
        <v>-</v>
      </c>
      <c r="ES8" s="98" t="str">
        <f t="shared" si="78"/>
        <v>-</v>
      </c>
      <c r="ET8" s="98" t="str">
        <f t="shared" si="79"/>
        <v>-</v>
      </c>
      <c r="EU8" s="98" t="str">
        <f t="shared" si="80"/>
        <v>-</v>
      </c>
      <c r="EV8" s="74"/>
      <c r="EW8" s="74"/>
      <c r="EX8" s="74"/>
      <c r="EY8" s="74" t="str">
        <f>IF(E8=0,"-",LARGE(E6:E50,3))</f>
        <v>-</v>
      </c>
      <c r="EZ8" s="77" t="str">
        <f t="shared" si="81"/>
        <v>-</v>
      </c>
      <c r="FA8" s="77">
        <f t="shared" si="82"/>
        <v>0</v>
      </c>
      <c r="FB8" s="77" t="str">
        <f t="shared" si="83"/>
        <v>-</v>
      </c>
      <c r="FC8" s="77" t="str">
        <f>IF(FB8="-","-",SMALL(FB6:FB50,3))</f>
        <v>-</v>
      </c>
    </row>
    <row r="9" spans="1:159" s="77" customFormat="1">
      <c r="A9" s="29"/>
      <c r="C9" s="95">
        <f>'1'!R6</f>
        <v>0</v>
      </c>
      <c r="D9" s="96">
        <f>'1'!J6</f>
        <v>0</v>
      </c>
      <c r="E9" s="96">
        <f>'1'!K6</f>
        <v>0</v>
      </c>
      <c r="F9" s="29"/>
      <c r="G9" s="29"/>
      <c r="H9" s="29"/>
      <c r="I9" s="29"/>
      <c r="J9" s="29"/>
      <c r="K9" s="29"/>
      <c r="L9" s="96">
        <f>'2'!R6</f>
        <v>0</v>
      </c>
      <c r="M9" s="77">
        <f>'2'!J6</f>
        <v>0</v>
      </c>
      <c r="N9" s="74">
        <f>'2'!K6</f>
        <v>0</v>
      </c>
      <c r="O9" s="74"/>
      <c r="P9" s="58"/>
      <c r="Q9" s="58" t="s">
        <v>26</v>
      </c>
      <c r="R9" s="65" t="e">
        <f>BE11</f>
        <v>#DIV/0!</v>
      </c>
      <c r="S9" s="65" t="e">
        <f>CK11</f>
        <v>#DIV/0!</v>
      </c>
      <c r="T9" s="97"/>
      <c r="U9" s="74"/>
      <c r="V9" s="74"/>
      <c r="W9" s="74"/>
      <c r="X9" s="95"/>
      <c r="Y9" s="74"/>
      <c r="Z9" s="74"/>
      <c r="AA9" s="74"/>
      <c r="AB9" s="74"/>
      <c r="AC9" s="74"/>
      <c r="AD9" s="74"/>
      <c r="AE9" s="74"/>
      <c r="AF9" s="74"/>
      <c r="AG9" s="74"/>
      <c r="AH9" s="95"/>
      <c r="AI9" s="74"/>
      <c r="AJ9" s="98" t="str">
        <f t="shared" si="27"/>
        <v>-</v>
      </c>
      <c r="AK9" s="98" t="str">
        <f t="shared" si="28"/>
        <v>-</v>
      </c>
      <c r="AL9" s="98" t="str">
        <f t="shared" si="0"/>
        <v>-</v>
      </c>
      <c r="AM9" s="98" t="str">
        <f t="shared" si="29"/>
        <v>-</v>
      </c>
      <c r="AN9" s="98" t="str">
        <f t="shared" si="30"/>
        <v>-</v>
      </c>
      <c r="AO9" s="98" t="str">
        <f t="shared" si="31"/>
        <v>-</v>
      </c>
      <c r="AP9" s="98" t="str">
        <f t="shared" si="32"/>
        <v>-</v>
      </c>
      <c r="AQ9" s="98" t="str">
        <f t="shared" si="33"/>
        <v>-</v>
      </c>
      <c r="AR9" s="98"/>
      <c r="AS9" s="98"/>
      <c r="AT9" s="99" t="e">
        <f t="shared" si="84"/>
        <v>#DIV/0!</v>
      </c>
      <c r="AU9" s="99" t="e">
        <f t="shared" si="84"/>
        <v>#DIV/0!</v>
      </c>
      <c r="AV9" s="99" t="e">
        <f t="shared" si="84"/>
        <v>#DIV/0!</v>
      </c>
      <c r="AW9" s="99" t="e">
        <f t="shared" si="84"/>
        <v>#DIV/0!</v>
      </c>
      <c r="AX9" s="74" t="str">
        <f t="shared" si="35"/>
        <v>-</v>
      </c>
      <c r="AY9" s="74">
        <f t="shared" si="36"/>
        <v>0</v>
      </c>
      <c r="AZ9" s="74">
        <f t="shared" si="37"/>
        <v>0</v>
      </c>
      <c r="BA9" s="98">
        <f t="shared" si="38"/>
        <v>0</v>
      </c>
      <c r="BB9" s="74">
        <f t="shared" si="1"/>
        <v>0</v>
      </c>
      <c r="BC9" s="74">
        <f t="shared" si="2"/>
        <v>0</v>
      </c>
      <c r="BD9" s="74" t="s">
        <v>17</v>
      </c>
      <c r="BE9" s="99" t="e">
        <f>BE6/BE7</f>
        <v>#DIV/0!</v>
      </c>
      <c r="BF9" s="74"/>
      <c r="BG9" s="74">
        <f t="shared" si="39"/>
        <v>0</v>
      </c>
      <c r="BH9" s="74">
        <f t="shared" si="40"/>
        <v>0</v>
      </c>
      <c r="BI9" s="98">
        <f t="shared" si="41"/>
        <v>0</v>
      </c>
      <c r="BJ9" s="74">
        <f t="shared" si="3"/>
        <v>0</v>
      </c>
      <c r="BK9" s="74">
        <f t="shared" si="4"/>
        <v>0</v>
      </c>
      <c r="BL9" s="74" t="s">
        <v>17</v>
      </c>
      <c r="BM9" s="99" t="e">
        <f>BM6/BM7</f>
        <v>#DIV/0!</v>
      </c>
      <c r="BN9" s="74">
        <f t="shared" si="42"/>
        <v>0</v>
      </c>
      <c r="BO9" s="74" t="str">
        <f t="shared" si="43"/>
        <v>-</v>
      </c>
      <c r="BP9" s="98" t="str">
        <f t="shared" si="44"/>
        <v>-</v>
      </c>
      <c r="BQ9" s="98" t="str">
        <f t="shared" si="45"/>
        <v>-</v>
      </c>
      <c r="BR9" s="98" t="str">
        <f t="shared" si="5"/>
        <v>-</v>
      </c>
      <c r="BS9" s="98" t="str">
        <f t="shared" si="6"/>
        <v>-</v>
      </c>
      <c r="BT9" s="98" t="str">
        <f t="shared" si="7"/>
        <v>-</v>
      </c>
      <c r="BU9" s="98" t="str">
        <f t="shared" si="8"/>
        <v>-</v>
      </c>
      <c r="BV9" s="98" t="str">
        <f t="shared" si="9"/>
        <v>-</v>
      </c>
      <c r="BW9" s="98" t="str">
        <f t="shared" si="10"/>
        <v>-</v>
      </c>
      <c r="BX9" s="74"/>
      <c r="BY9" s="74"/>
      <c r="BZ9" s="99" t="e">
        <f t="shared" si="85"/>
        <v>#DIV/0!</v>
      </c>
      <c r="CA9" s="99" t="e">
        <f t="shared" si="85"/>
        <v>#DIV/0!</v>
      </c>
      <c r="CB9" s="99" t="e">
        <f t="shared" si="85"/>
        <v>#DIV/0!</v>
      </c>
      <c r="CC9" s="99" t="e">
        <f t="shared" si="85"/>
        <v>#DIV/0!</v>
      </c>
      <c r="CD9" s="74" t="str">
        <f t="shared" si="11"/>
        <v>-</v>
      </c>
      <c r="CE9" s="74">
        <f t="shared" si="47"/>
        <v>0</v>
      </c>
      <c r="CF9" s="74">
        <f t="shared" si="48"/>
        <v>0</v>
      </c>
      <c r="CG9" s="98">
        <f t="shared" si="49"/>
        <v>0</v>
      </c>
      <c r="CH9" s="74">
        <f t="shared" si="12"/>
        <v>0</v>
      </c>
      <c r="CI9" s="74">
        <f t="shared" si="13"/>
        <v>0</v>
      </c>
      <c r="CJ9" s="74" t="s">
        <v>17</v>
      </c>
      <c r="CK9" s="99" t="e">
        <f>CK6/CK7</f>
        <v>#DIV/0!</v>
      </c>
      <c r="CL9" s="74"/>
      <c r="CM9" s="74">
        <f t="shared" si="14"/>
        <v>0</v>
      </c>
      <c r="CN9" s="74">
        <f t="shared" si="50"/>
        <v>0</v>
      </c>
      <c r="CO9" s="98">
        <f t="shared" si="51"/>
        <v>0</v>
      </c>
      <c r="CP9" s="74">
        <f t="shared" si="15"/>
        <v>0</v>
      </c>
      <c r="CQ9" s="74">
        <f t="shared" si="16"/>
        <v>0</v>
      </c>
      <c r="CR9" s="74" t="s">
        <v>17</v>
      </c>
      <c r="CS9" s="99" t="e">
        <f>CS6/CS7</f>
        <v>#DIV/0!</v>
      </c>
      <c r="CT9" s="74"/>
      <c r="CU9" s="74"/>
      <c r="CV9" s="98" t="str">
        <f t="shared" si="17"/>
        <v>-</v>
      </c>
      <c r="CW9" s="95" t="str">
        <f t="shared" si="18"/>
        <v>-</v>
      </c>
      <c r="CX9" s="74" t="str">
        <f t="shared" si="52"/>
        <v>-</v>
      </c>
      <c r="CY9" s="74" t="str">
        <f t="shared" si="19"/>
        <v>-</v>
      </c>
      <c r="CZ9" s="100" t="str">
        <f t="shared" si="20"/>
        <v>-</v>
      </c>
      <c r="DA9" s="58" t="str">
        <f t="shared" si="53"/>
        <v>-</v>
      </c>
      <c r="DB9" s="58" t="str">
        <f t="shared" si="54"/>
        <v>-</v>
      </c>
      <c r="DC9" s="58" t="str">
        <f t="shared" si="55"/>
        <v>-</v>
      </c>
      <c r="DD9" s="58" t="str">
        <f t="shared" si="56"/>
        <v>-</v>
      </c>
      <c r="DE9" s="58">
        <f>COUNTIF(DD6:DD50,4)</f>
        <v>0</v>
      </c>
      <c r="DF9" s="58"/>
      <c r="DG9" s="58"/>
      <c r="DH9" s="98" t="str">
        <f t="shared" si="57"/>
        <v>-</v>
      </c>
      <c r="DI9" s="98" t="str">
        <f t="shared" si="58"/>
        <v>-</v>
      </c>
      <c r="DJ9" s="74" t="str">
        <f t="shared" si="59"/>
        <v>-</v>
      </c>
      <c r="DK9" s="74" t="str">
        <f t="shared" si="21"/>
        <v>-</v>
      </c>
      <c r="DL9" s="100" t="str">
        <f t="shared" si="22"/>
        <v>-</v>
      </c>
      <c r="DM9" s="58" t="str">
        <f t="shared" si="60"/>
        <v>-</v>
      </c>
      <c r="DN9" s="58" t="str">
        <f t="shared" si="61"/>
        <v>-</v>
      </c>
      <c r="DO9" s="58" t="str">
        <f t="shared" si="62"/>
        <v>-</v>
      </c>
      <c r="DP9" s="58" t="str">
        <f t="shared" si="63"/>
        <v>-</v>
      </c>
      <c r="DQ9" s="58">
        <f>COUNTIF(DP6:DP50,4)</f>
        <v>0</v>
      </c>
      <c r="DR9" s="58"/>
      <c r="DS9" s="74"/>
      <c r="DT9" s="98" t="str">
        <f t="shared" si="86"/>
        <v>-</v>
      </c>
      <c r="DU9" s="98" t="str">
        <f t="shared" si="64"/>
        <v>-</v>
      </c>
      <c r="DV9" s="74" t="str">
        <f t="shared" si="65"/>
        <v>-</v>
      </c>
      <c r="DW9" s="74" t="str">
        <f t="shared" si="23"/>
        <v>-</v>
      </c>
      <c r="DX9" s="100" t="str">
        <f t="shared" si="24"/>
        <v>-</v>
      </c>
      <c r="DY9" s="58" t="str">
        <f t="shared" si="66"/>
        <v>-</v>
      </c>
      <c r="DZ9" s="58" t="str">
        <f t="shared" si="67"/>
        <v>-</v>
      </c>
      <c r="EA9" s="58" t="str">
        <f t="shared" si="68"/>
        <v>-</v>
      </c>
      <c r="EB9" s="58" t="str">
        <f t="shared" si="69"/>
        <v>-</v>
      </c>
      <c r="EC9" s="58">
        <f>COUNTIF(EB6:EB50,4)</f>
        <v>0</v>
      </c>
      <c r="ED9" s="58"/>
      <c r="EE9" s="74"/>
      <c r="EF9" s="98" t="str">
        <f t="shared" si="70"/>
        <v>-</v>
      </c>
      <c r="EG9" s="98" t="str">
        <f t="shared" si="71"/>
        <v>-</v>
      </c>
      <c r="EH9" s="74" t="str">
        <f t="shared" si="72"/>
        <v>-</v>
      </c>
      <c r="EI9" s="74" t="str">
        <f t="shared" si="25"/>
        <v>-</v>
      </c>
      <c r="EJ9" s="100" t="str">
        <f t="shared" si="26"/>
        <v>-</v>
      </c>
      <c r="EK9" s="58" t="str">
        <f t="shared" si="73"/>
        <v>-</v>
      </c>
      <c r="EL9" s="58" t="str">
        <f t="shared" si="74"/>
        <v>-</v>
      </c>
      <c r="EM9" s="58" t="str">
        <f t="shared" si="75"/>
        <v>-</v>
      </c>
      <c r="EN9" s="58" t="str">
        <f t="shared" si="76"/>
        <v>-</v>
      </c>
      <c r="EO9" s="58">
        <f>COUNTIF(EN6:EN50,4)</f>
        <v>0</v>
      </c>
      <c r="EP9" s="58"/>
      <c r="EQ9" s="74"/>
      <c r="ER9" s="98" t="str">
        <f t="shared" si="77"/>
        <v>-</v>
      </c>
      <c r="ES9" s="98" t="str">
        <f t="shared" si="78"/>
        <v>-</v>
      </c>
      <c r="ET9" s="98" t="str">
        <f t="shared" si="79"/>
        <v>-</v>
      </c>
      <c r="EU9" s="98" t="str">
        <f t="shared" si="80"/>
        <v>-</v>
      </c>
      <c r="EV9" s="74"/>
      <c r="EW9" s="74"/>
      <c r="EX9" s="74"/>
      <c r="EY9" s="74" t="str">
        <f>IF(E9=0,"-",LARGE(E6:E50,4))</f>
        <v>-</v>
      </c>
      <c r="EZ9" s="77" t="str">
        <f t="shared" si="81"/>
        <v>-</v>
      </c>
      <c r="FA9" s="77">
        <f t="shared" si="82"/>
        <v>0</v>
      </c>
      <c r="FB9" s="77" t="str">
        <f t="shared" si="83"/>
        <v>-</v>
      </c>
      <c r="FC9" s="77" t="str">
        <f>IF(FB9="-","-",SMALL(FB6:FB50,4))</f>
        <v>-</v>
      </c>
    </row>
    <row r="10" spans="1:159" s="77" customFormat="1">
      <c r="A10" s="29"/>
      <c r="C10" s="95">
        <f>'1'!R7</f>
        <v>0</v>
      </c>
      <c r="D10" s="96">
        <f>'1'!J7</f>
        <v>0</v>
      </c>
      <c r="E10" s="96">
        <f>'1'!K7</f>
        <v>0</v>
      </c>
      <c r="F10" s="29"/>
      <c r="G10" s="29"/>
      <c r="H10" s="29"/>
      <c r="I10" s="29"/>
      <c r="J10" s="29"/>
      <c r="K10" s="29"/>
      <c r="L10" s="96">
        <f>'2'!R7</f>
        <v>0</v>
      </c>
      <c r="M10" s="77">
        <f>'2'!J7</f>
        <v>0</v>
      </c>
      <c r="N10" s="74">
        <f>'2'!K7</f>
        <v>0</v>
      </c>
      <c r="O10" s="74"/>
      <c r="P10" s="58"/>
      <c r="Q10" s="58" t="s">
        <v>17</v>
      </c>
      <c r="R10" s="97" t="e">
        <f>AT10</f>
        <v>#DIV/0!</v>
      </c>
      <c r="S10" s="97" t="e">
        <f>BZ10</f>
        <v>#DIV/0!</v>
      </c>
      <c r="T10" s="97"/>
      <c r="U10" s="74"/>
      <c r="V10" s="74"/>
      <c r="W10" s="74"/>
      <c r="X10" s="95"/>
      <c r="Y10" s="74"/>
      <c r="Z10" s="74"/>
      <c r="AA10" s="74"/>
      <c r="AB10" s="74"/>
      <c r="AC10" s="74"/>
      <c r="AD10" s="74"/>
      <c r="AE10" s="74"/>
      <c r="AF10" s="74"/>
      <c r="AG10" s="74"/>
      <c r="AH10" s="95"/>
      <c r="AI10" s="74"/>
      <c r="AJ10" s="98" t="str">
        <f t="shared" si="27"/>
        <v>-</v>
      </c>
      <c r="AK10" s="98" t="str">
        <f t="shared" si="28"/>
        <v>-</v>
      </c>
      <c r="AL10" s="98" t="str">
        <f t="shared" si="0"/>
        <v>-</v>
      </c>
      <c r="AM10" s="98" t="str">
        <f t="shared" si="29"/>
        <v>-</v>
      </c>
      <c r="AN10" s="98" t="str">
        <f t="shared" si="30"/>
        <v>-</v>
      </c>
      <c r="AO10" s="98" t="str">
        <f t="shared" si="31"/>
        <v>-</v>
      </c>
      <c r="AP10" s="98" t="str">
        <f t="shared" si="32"/>
        <v>-</v>
      </c>
      <c r="AQ10" s="98" t="str">
        <f t="shared" si="33"/>
        <v>-</v>
      </c>
      <c r="AR10" s="98"/>
      <c r="AS10" s="98"/>
      <c r="AT10" s="99" t="e">
        <f t="shared" si="84"/>
        <v>#DIV/0!</v>
      </c>
      <c r="AU10" s="99" t="e">
        <f t="shared" si="84"/>
        <v>#DIV/0!</v>
      </c>
      <c r="AV10" s="99" t="e">
        <f t="shared" si="84"/>
        <v>#DIV/0!</v>
      </c>
      <c r="AW10" s="99" t="e">
        <f t="shared" si="84"/>
        <v>#DIV/0!</v>
      </c>
      <c r="AX10" s="74" t="str">
        <f t="shared" si="35"/>
        <v>-</v>
      </c>
      <c r="AY10" s="74">
        <f t="shared" si="36"/>
        <v>0</v>
      </c>
      <c r="AZ10" s="74">
        <f t="shared" si="37"/>
        <v>0</v>
      </c>
      <c r="BA10" s="98">
        <f t="shared" si="38"/>
        <v>0</v>
      </c>
      <c r="BB10" s="74">
        <f t="shared" si="1"/>
        <v>0</v>
      </c>
      <c r="BC10" s="74">
        <f t="shared" si="2"/>
        <v>0</v>
      </c>
      <c r="BD10" s="74" t="s">
        <v>18</v>
      </c>
      <c r="BE10" s="99" t="e">
        <f>BE8/AY51</f>
        <v>#DIV/0!</v>
      </c>
      <c r="BF10" s="74"/>
      <c r="BG10" s="74">
        <f t="shared" si="39"/>
        <v>0</v>
      </c>
      <c r="BH10" s="74">
        <f t="shared" si="40"/>
        <v>0</v>
      </c>
      <c r="BI10" s="98">
        <f t="shared" si="41"/>
        <v>0</v>
      </c>
      <c r="BJ10" s="74">
        <f t="shared" si="3"/>
        <v>0</v>
      </c>
      <c r="BK10" s="74">
        <f t="shared" si="4"/>
        <v>0</v>
      </c>
      <c r="BL10" s="74" t="s">
        <v>18</v>
      </c>
      <c r="BM10" s="99" t="e">
        <f>BM8/BG51</f>
        <v>#DIV/0!</v>
      </c>
      <c r="BN10" s="74">
        <f t="shared" si="42"/>
        <v>0</v>
      </c>
      <c r="BO10" s="74" t="str">
        <f t="shared" si="43"/>
        <v>-</v>
      </c>
      <c r="BP10" s="98" t="str">
        <f t="shared" si="44"/>
        <v>-</v>
      </c>
      <c r="BQ10" s="98" t="str">
        <f t="shared" si="45"/>
        <v>-</v>
      </c>
      <c r="BR10" s="98" t="str">
        <f t="shared" si="5"/>
        <v>-</v>
      </c>
      <c r="BS10" s="98" t="str">
        <f t="shared" si="6"/>
        <v>-</v>
      </c>
      <c r="BT10" s="98" t="str">
        <f t="shared" si="7"/>
        <v>-</v>
      </c>
      <c r="BU10" s="98" t="str">
        <f t="shared" si="8"/>
        <v>-</v>
      </c>
      <c r="BV10" s="98" t="str">
        <f t="shared" si="9"/>
        <v>-</v>
      </c>
      <c r="BW10" s="98" t="str">
        <f t="shared" si="10"/>
        <v>-</v>
      </c>
      <c r="BX10" s="74"/>
      <c r="BY10" s="74"/>
      <c r="BZ10" s="99" t="e">
        <f t="shared" si="85"/>
        <v>#DIV/0!</v>
      </c>
      <c r="CA10" s="99" t="e">
        <f t="shared" si="85"/>
        <v>#DIV/0!</v>
      </c>
      <c r="CB10" s="99" t="e">
        <f t="shared" si="85"/>
        <v>#DIV/0!</v>
      </c>
      <c r="CC10" s="99" t="e">
        <f t="shared" si="85"/>
        <v>#DIV/0!</v>
      </c>
      <c r="CD10" s="74" t="str">
        <f t="shared" si="11"/>
        <v>-</v>
      </c>
      <c r="CE10" s="74">
        <f t="shared" si="47"/>
        <v>0</v>
      </c>
      <c r="CF10" s="74">
        <f t="shared" si="48"/>
        <v>0</v>
      </c>
      <c r="CG10" s="98">
        <f t="shared" si="49"/>
        <v>0</v>
      </c>
      <c r="CH10" s="74">
        <f t="shared" si="12"/>
        <v>0</v>
      </c>
      <c r="CI10" s="74">
        <f t="shared" si="13"/>
        <v>0</v>
      </c>
      <c r="CJ10" s="74" t="s">
        <v>18</v>
      </c>
      <c r="CK10" s="99" t="e">
        <f>CK8/CE51</f>
        <v>#DIV/0!</v>
      </c>
      <c r="CL10" s="74"/>
      <c r="CM10" s="74">
        <f t="shared" si="14"/>
        <v>0</v>
      </c>
      <c r="CN10" s="74">
        <f t="shared" si="50"/>
        <v>0</v>
      </c>
      <c r="CO10" s="98">
        <f t="shared" si="51"/>
        <v>0</v>
      </c>
      <c r="CP10" s="74">
        <f t="shared" si="15"/>
        <v>0</v>
      </c>
      <c r="CQ10" s="74">
        <f t="shared" si="16"/>
        <v>0</v>
      </c>
      <c r="CR10" s="74" t="s">
        <v>18</v>
      </c>
      <c r="CS10" s="99" t="e">
        <f>CS8/CM51</f>
        <v>#DIV/0!</v>
      </c>
      <c r="CT10" s="74"/>
      <c r="CU10" s="74"/>
      <c r="CV10" s="98" t="str">
        <f t="shared" si="17"/>
        <v>-</v>
      </c>
      <c r="CW10" s="95" t="str">
        <f t="shared" si="18"/>
        <v>-</v>
      </c>
      <c r="CX10" s="74" t="str">
        <f t="shared" si="52"/>
        <v>-</v>
      </c>
      <c r="CY10" s="74" t="str">
        <f t="shared" si="19"/>
        <v>-</v>
      </c>
      <c r="CZ10" s="100" t="str">
        <f t="shared" si="20"/>
        <v>-</v>
      </c>
      <c r="DA10" s="58" t="str">
        <f t="shared" si="53"/>
        <v>-</v>
      </c>
      <c r="DB10" s="58" t="str">
        <f t="shared" si="54"/>
        <v>-</v>
      </c>
      <c r="DC10" s="58" t="str">
        <f t="shared" si="55"/>
        <v>-</v>
      </c>
      <c r="DD10" s="58" t="str">
        <f t="shared" si="56"/>
        <v>-</v>
      </c>
      <c r="DE10" s="58"/>
      <c r="DF10" s="58"/>
      <c r="DG10" s="58"/>
      <c r="DH10" s="98" t="str">
        <f t="shared" si="57"/>
        <v>-</v>
      </c>
      <c r="DI10" s="98" t="str">
        <f t="shared" si="58"/>
        <v>-</v>
      </c>
      <c r="DJ10" s="74" t="str">
        <f t="shared" si="59"/>
        <v>-</v>
      </c>
      <c r="DK10" s="74" t="str">
        <f t="shared" si="59"/>
        <v>-</v>
      </c>
      <c r="DL10" s="100" t="str">
        <f t="shared" si="22"/>
        <v>-</v>
      </c>
      <c r="DM10" s="58" t="str">
        <f t="shared" si="60"/>
        <v>-</v>
      </c>
      <c r="DN10" s="58" t="str">
        <f t="shared" si="61"/>
        <v>-</v>
      </c>
      <c r="DO10" s="58" t="str">
        <f t="shared" si="62"/>
        <v>-</v>
      </c>
      <c r="DP10" s="58" t="str">
        <f t="shared" si="63"/>
        <v>-</v>
      </c>
      <c r="DQ10" s="58"/>
      <c r="DR10" s="58"/>
      <c r="DS10" s="74"/>
      <c r="DT10" s="98" t="str">
        <f t="shared" si="86"/>
        <v>-</v>
      </c>
      <c r="DU10" s="98" t="str">
        <f t="shared" si="64"/>
        <v>-</v>
      </c>
      <c r="DV10" s="74" t="str">
        <f t="shared" si="65"/>
        <v>-</v>
      </c>
      <c r="DW10" s="74" t="str">
        <f t="shared" si="65"/>
        <v>-</v>
      </c>
      <c r="DX10" s="100" t="str">
        <f t="shared" si="24"/>
        <v>-</v>
      </c>
      <c r="DY10" s="58" t="str">
        <f t="shared" si="66"/>
        <v>-</v>
      </c>
      <c r="DZ10" s="58" t="str">
        <f t="shared" si="67"/>
        <v>-</v>
      </c>
      <c r="EA10" s="58" t="str">
        <f t="shared" si="68"/>
        <v>-</v>
      </c>
      <c r="EB10" s="58" t="str">
        <f t="shared" si="69"/>
        <v>-</v>
      </c>
      <c r="EC10" s="58"/>
      <c r="ED10" s="58"/>
      <c r="EE10" s="74"/>
      <c r="EF10" s="98" t="str">
        <f t="shared" si="70"/>
        <v>-</v>
      </c>
      <c r="EG10" s="98" t="str">
        <f t="shared" si="71"/>
        <v>-</v>
      </c>
      <c r="EH10" s="74" t="str">
        <f t="shared" si="72"/>
        <v>-</v>
      </c>
      <c r="EI10" s="74" t="str">
        <f t="shared" si="72"/>
        <v>-</v>
      </c>
      <c r="EJ10" s="100" t="str">
        <f t="shared" si="26"/>
        <v>-</v>
      </c>
      <c r="EK10" s="58" t="str">
        <f t="shared" si="73"/>
        <v>-</v>
      </c>
      <c r="EL10" s="58" t="str">
        <f t="shared" si="74"/>
        <v>-</v>
      </c>
      <c r="EM10" s="58" t="str">
        <f t="shared" si="75"/>
        <v>-</v>
      </c>
      <c r="EN10" s="58" t="str">
        <f t="shared" si="76"/>
        <v>-</v>
      </c>
      <c r="EO10" s="58"/>
      <c r="EP10" s="58"/>
      <c r="EQ10" s="74"/>
      <c r="ER10" s="98" t="str">
        <f t="shared" si="77"/>
        <v>-</v>
      </c>
      <c r="ES10" s="98" t="str">
        <f t="shared" si="78"/>
        <v>-</v>
      </c>
      <c r="ET10" s="98" t="str">
        <f t="shared" si="79"/>
        <v>-</v>
      </c>
      <c r="EU10" s="98" t="str">
        <f t="shared" si="80"/>
        <v>-</v>
      </c>
      <c r="EV10" s="74"/>
      <c r="EW10" s="74"/>
      <c r="EX10" s="74"/>
      <c r="EY10" s="74" t="str">
        <f>IF(E10=0,"-",LARGE(E6:E50,5))</f>
        <v>-</v>
      </c>
      <c r="EZ10" s="77" t="str">
        <f t="shared" si="81"/>
        <v>-</v>
      </c>
      <c r="FA10" s="77">
        <f t="shared" si="82"/>
        <v>0</v>
      </c>
      <c r="FB10" s="77" t="str">
        <f t="shared" si="83"/>
        <v>-</v>
      </c>
      <c r="FC10" s="77" t="str">
        <f>IF(FB10="-","-",SMALL(FB6:FB50,5))</f>
        <v>-</v>
      </c>
    </row>
    <row r="11" spans="1:159" s="77" customFormat="1">
      <c r="A11" s="29"/>
      <c r="C11" s="95">
        <f>'1'!R8</f>
        <v>0</v>
      </c>
      <c r="D11" s="96">
        <f>'1'!J8</f>
        <v>0</v>
      </c>
      <c r="E11" s="96">
        <f>'1'!K8</f>
        <v>0</v>
      </c>
      <c r="F11" s="29"/>
      <c r="G11" s="29"/>
      <c r="H11" s="29"/>
      <c r="I11" s="29"/>
      <c r="J11" s="29"/>
      <c r="K11" s="29"/>
      <c r="L11" s="96">
        <f>'2'!R8</f>
        <v>0</v>
      </c>
      <c r="M11" s="77">
        <f>'2'!J8</f>
        <v>0</v>
      </c>
      <c r="N11" s="74">
        <f>'2'!K8</f>
        <v>0</v>
      </c>
      <c r="O11" s="74"/>
      <c r="P11" s="58"/>
      <c r="Q11" s="58" t="s">
        <v>18</v>
      </c>
      <c r="R11" s="97" t="e">
        <f>AU11</f>
        <v>#DIV/0!</v>
      </c>
      <c r="S11" s="97" t="e">
        <f>CA11</f>
        <v>#DIV/0!</v>
      </c>
      <c r="T11" s="97"/>
      <c r="U11" s="74"/>
      <c r="V11" s="74"/>
      <c r="W11" s="74"/>
      <c r="X11" s="95"/>
      <c r="Y11" s="74"/>
      <c r="Z11" s="74"/>
      <c r="AA11" s="74"/>
      <c r="AB11" s="74"/>
      <c r="AC11" s="74"/>
      <c r="AD11" s="74"/>
      <c r="AE11" s="74"/>
      <c r="AF11" s="74"/>
      <c r="AG11" s="74"/>
      <c r="AH11" s="95"/>
      <c r="AI11" s="74"/>
      <c r="AJ11" s="98" t="str">
        <f t="shared" si="27"/>
        <v>-</v>
      </c>
      <c r="AK11" s="98" t="str">
        <f t="shared" si="28"/>
        <v>-</v>
      </c>
      <c r="AL11" s="98" t="str">
        <f t="shared" si="0"/>
        <v>-</v>
      </c>
      <c r="AM11" s="98" t="str">
        <f t="shared" si="29"/>
        <v>-</v>
      </c>
      <c r="AN11" s="98" t="str">
        <f t="shared" si="30"/>
        <v>-</v>
      </c>
      <c r="AO11" s="98" t="str">
        <f t="shared" si="31"/>
        <v>-</v>
      </c>
      <c r="AP11" s="98" t="str">
        <f t="shared" si="32"/>
        <v>-</v>
      </c>
      <c r="AQ11" s="98" t="str">
        <f t="shared" si="33"/>
        <v>-</v>
      </c>
      <c r="AR11" s="98"/>
      <c r="AS11" s="98"/>
      <c r="AT11" s="99" t="e">
        <f t="shared" si="84"/>
        <v>#DIV/0!</v>
      </c>
      <c r="AU11" s="99" t="e">
        <f t="shared" si="84"/>
        <v>#DIV/0!</v>
      </c>
      <c r="AV11" s="99" t="e">
        <f t="shared" si="84"/>
        <v>#DIV/0!</v>
      </c>
      <c r="AW11" s="99" t="e">
        <f t="shared" si="84"/>
        <v>#DIV/0!</v>
      </c>
      <c r="AX11" s="74" t="str">
        <f t="shared" si="35"/>
        <v>-</v>
      </c>
      <c r="AY11" s="74">
        <f t="shared" si="36"/>
        <v>0</v>
      </c>
      <c r="AZ11" s="74">
        <f t="shared" si="37"/>
        <v>0</v>
      </c>
      <c r="BA11" s="98">
        <f t="shared" si="38"/>
        <v>0</v>
      </c>
      <c r="BB11" s="74">
        <f t="shared" si="1"/>
        <v>0</v>
      </c>
      <c r="BC11" s="74">
        <f t="shared" si="2"/>
        <v>0</v>
      </c>
      <c r="BD11" s="74" t="s">
        <v>26</v>
      </c>
      <c r="BE11" s="74" t="e">
        <f>POWER(PEARSON(AX6:AX50,AJ6:AJ50),2)</f>
        <v>#DIV/0!</v>
      </c>
      <c r="BF11" s="74"/>
      <c r="BG11" s="74">
        <f t="shared" si="39"/>
        <v>0</v>
      </c>
      <c r="BH11" s="74">
        <f t="shared" si="40"/>
        <v>0</v>
      </c>
      <c r="BI11" s="98">
        <f t="shared" si="41"/>
        <v>0</v>
      </c>
      <c r="BJ11" s="74">
        <f t="shared" si="3"/>
        <v>0</v>
      </c>
      <c r="BK11" s="74">
        <f t="shared" si="4"/>
        <v>0</v>
      </c>
      <c r="BL11" s="74" t="s">
        <v>26</v>
      </c>
      <c r="BM11" s="74" t="e">
        <f>POWER(PEARSON(AX6:AX50,AK6:AK50),2)</f>
        <v>#DIV/0!</v>
      </c>
      <c r="BN11" s="74">
        <f t="shared" si="42"/>
        <v>0</v>
      </c>
      <c r="BO11" s="74" t="str">
        <f t="shared" si="43"/>
        <v>-</v>
      </c>
      <c r="BP11" s="98" t="str">
        <f t="shared" si="44"/>
        <v>-</v>
      </c>
      <c r="BQ11" s="98" t="str">
        <f t="shared" si="45"/>
        <v>-</v>
      </c>
      <c r="BR11" s="98" t="str">
        <f t="shared" si="5"/>
        <v>-</v>
      </c>
      <c r="BS11" s="98" t="str">
        <f t="shared" si="6"/>
        <v>-</v>
      </c>
      <c r="BT11" s="98" t="str">
        <f t="shared" si="7"/>
        <v>-</v>
      </c>
      <c r="BU11" s="98" t="str">
        <f t="shared" si="8"/>
        <v>-</v>
      </c>
      <c r="BV11" s="98" t="str">
        <f t="shared" si="9"/>
        <v>-</v>
      </c>
      <c r="BW11" s="98" t="str">
        <f t="shared" si="10"/>
        <v>-</v>
      </c>
      <c r="BX11" s="74"/>
      <c r="BY11" s="74"/>
      <c r="BZ11" s="99" t="e">
        <f t="shared" si="85"/>
        <v>#DIV/0!</v>
      </c>
      <c r="CA11" s="99" t="e">
        <f t="shared" si="85"/>
        <v>#DIV/0!</v>
      </c>
      <c r="CB11" s="99" t="e">
        <f t="shared" si="85"/>
        <v>#DIV/0!</v>
      </c>
      <c r="CC11" s="99" t="e">
        <f t="shared" si="85"/>
        <v>#DIV/0!</v>
      </c>
      <c r="CD11" s="74" t="str">
        <f t="shared" si="11"/>
        <v>-</v>
      </c>
      <c r="CE11" s="74">
        <f t="shared" si="47"/>
        <v>0</v>
      </c>
      <c r="CF11" s="74">
        <f t="shared" si="48"/>
        <v>0</v>
      </c>
      <c r="CG11" s="98">
        <f t="shared" si="49"/>
        <v>0</v>
      </c>
      <c r="CH11" s="74">
        <f t="shared" si="12"/>
        <v>0</v>
      </c>
      <c r="CI11" s="74">
        <f t="shared" si="13"/>
        <v>0</v>
      </c>
      <c r="CJ11" s="74" t="s">
        <v>26</v>
      </c>
      <c r="CK11" s="74" t="e">
        <f>POWER(PEARSON(CD6:CD50,BP6:BP50),2)</f>
        <v>#DIV/0!</v>
      </c>
      <c r="CL11" s="74"/>
      <c r="CM11" s="74">
        <f t="shared" si="14"/>
        <v>0</v>
      </c>
      <c r="CN11" s="74">
        <f t="shared" si="50"/>
        <v>0</v>
      </c>
      <c r="CO11" s="98">
        <f t="shared" si="51"/>
        <v>0</v>
      </c>
      <c r="CP11" s="74">
        <f t="shared" si="15"/>
        <v>0</v>
      </c>
      <c r="CQ11" s="74">
        <f t="shared" si="16"/>
        <v>0</v>
      </c>
      <c r="CR11" s="74" t="s">
        <v>26</v>
      </c>
      <c r="CS11" s="74" t="e">
        <f>POWER(PEARSON(CD6:CD50,BQ6:BQ50),2)</f>
        <v>#DIV/0!</v>
      </c>
      <c r="CT11" s="74"/>
      <c r="CU11" s="74"/>
      <c r="CV11" s="98" t="str">
        <f t="shared" si="17"/>
        <v>-</v>
      </c>
      <c r="CW11" s="95" t="str">
        <f t="shared" si="18"/>
        <v>-</v>
      </c>
      <c r="CX11" s="74" t="str">
        <f t="shared" si="52"/>
        <v>-</v>
      </c>
      <c r="CY11" s="74" t="str">
        <f t="shared" si="19"/>
        <v>-</v>
      </c>
      <c r="CZ11" s="100" t="str">
        <f t="shared" si="20"/>
        <v>-</v>
      </c>
      <c r="DA11" s="58" t="str">
        <f t="shared" si="53"/>
        <v>-</v>
      </c>
      <c r="DB11" s="58" t="str">
        <f t="shared" si="54"/>
        <v>-</v>
      </c>
      <c r="DC11" s="58" t="str">
        <f t="shared" si="55"/>
        <v>-</v>
      </c>
      <c r="DD11" s="58" t="str">
        <f t="shared" si="56"/>
        <v>-</v>
      </c>
      <c r="DE11" s="58">
        <f>IF(DE6=MAX(DE6:DE9),1,IF(DE7=MAX(DE6:DE9),2,IF(DE8=MAX(DE6:DE9),3,4)))</f>
        <v>1</v>
      </c>
      <c r="DF11" s="58"/>
      <c r="DG11" s="58"/>
      <c r="DH11" s="98" t="str">
        <f t="shared" si="57"/>
        <v>-</v>
      </c>
      <c r="DI11" s="98" t="str">
        <f t="shared" si="58"/>
        <v>-</v>
      </c>
      <c r="DJ11" s="74" t="str">
        <f t="shared" si="59"/>
        <v>-</v>
      </c>
      <c r="DK11" s="74" t="str">
        <f t="shared" si="59"/>
        <v>-</v>
      </c>
      <c r="DL11" s="100" t="str">
        <f t="shared" si="22"/>
        <v>-</v>
      </c>
      <c r="DM11" s="58" t="str">
        <f t="shared" si="60"/>
        <v>-</v>
      </c>
      <c r="DN11" s="58" t="str">
        <f t="shared" si="61"/>
        <v>-</v>
      </c>
      <c r="DO11" s="58" t="str">
        <f t="shared" si="62"/>
        <v>-</v>
      </c>
      <c r="DP11" s="58" t="str">
        <f t="shared" si="63"/>
        <v>-</v>
      </c>
      <c r="DQ11" s="58">
        <f>IF(DQ6=MAX(DQ6:DQ9),1,IF(DQ7=MAX(DQ6:DQ9),2,IF(DQ8=MAX(DQ6:DQ9),3,4)))</f>
        <v>1</v>
      </c>
      <c r="DR11" s="58"/>
      <c r="DS11" s="74"/>
      <c r="DT11" s="98" t="str">
        <f t="shared" si="86"/>
        <v>-</v>
      </c>
      <c r="DU11" s="98" t="str">
        <f t="shared" si="64"/>
        <v>-</v>
      </c>
      <c r="DV11" s="74" t="str">
        <f t="shared" si="65"/>
        <v>-</v>
      </c>
      <c r="DW11" s="74" t="str">
        <f t="shared" si="65"/>
        <v>-</v>
      </c>
      <c r="DX11" s="100" t="str">
        <f t="shared" si="24"/>
        <v>-</v>
      </c>
      <c r="DY11" s="58" t="str">
        <f t="shared" si="66"/>
        <v>-</v>
      </c>
      <c r="DZ11" s="58" t="str">
        <f t="shared" si="67"/>
        <v>-</v>
      </c>
      <c r="EA11" s="58" t="str">
        <f t="shared" si="68"/>
        <v>-</v>
      </c>
      <c r="EB11" s="58" t="str">
        <f t="shared" si="69"/>
        <v>-</v>
      </c>
      <c r="EC11" s="58">
        <f>IF(EC6=MAX(EC6:EC9),1,IF(EC7=MAX(EC6:EC9),2,IF(EC8=MAX(EC6:EC9),3,4)))</f>
        <v>1</v>
      </c>
      <c r="ED11" s="58"/>
      <c r="EE11" s="74"/>
      <c r="EF11" s="98" t="str">
        <f t="shared" si="70"/>
        <v>-</v>
      </c>
      <c r="EG11" s="98" t="str">
        <f t="shared" si="71"/>
        <v>-</v>
      </c>
      <c r="EH11" s="74" t="str">
        <f t="shared" si="72"/>
        <v>-</v>
      </c>
      <c r="EI11" s="74" t="str">
        <f t="shared" si="72"/>
        <v>-</v>
      </c>
      <c r="EJ11" s="100" t="str">
        <f t="shared" si="26"/>
        <v>-</v>
      </c>
      <c r="EK11" s="58" t="str">
        <f t="shared" si="73"/>
        <v>-</v>
      </c>
      <c r="EL11" s="58" t="str">
        <f t="shared" si="74"/>
        <v>-</v>
      </c>
      <c r="EM11" s="58" t="str">
        <f t="shared" si="75"/>
        <v>-</v>
      </c>
      <c r="EN11" s="58" t="str">
        <f t="shared" si="76"/>
        <v>-</v>
      </c>
      <c r="EO11" s="58">
        <f>IF(EO6=MAX(EO6:EO9),1,IF(EO7=MAX(EO6:EO9),2,IF(EO8=MAX(EO6:EO9),3,4)))</f>
        <v>1</v>
      </c>
      <c r="EP11" s="58"/>
      <c r="EQ11" s="74"/>
      <c r="ER11" s="98" t="str">
        <f t="shared" si="77"/>
        <v>-</v>
      </c>
      <c r="ES11" s="98" t="str">
        <f t="shared" si="78"/>
        <v>-</v>
      </c>
      <c r="ET11" s="98" t="str">
        <f t="shared" si="79"/>
        <v>-</v>
      </c>
      <c r="EU11" s="98" t="str">
        <f t="shared" si="80"/>
        <v>-</v>
      </c>
      <c r="EV11" s="74"/>
      <c r="EW11" s="74"/>
      <c r="EX11" s="74"/>
      <c r="EY11" s="74" t="str">
        <f>IF(E11=0,"-",LARGE(E6:E50,6))</f>
        <v>-</v>
      </c>
      <c r="EZ11" s="77" t="str">
        <f t="shared" si="81"/>
        <v>-</v>
      </c>
      <c r="FA11" s="77">
        <f t="shared" si="82"/>
        <v>0</v>
      </c>
      <c r="FB11" s="77" t="str">
        <f t="shared" si="83"/>
        <v>-</v>
      </c>
      <c r="FC11" s="77" t="str">
        <f>IF(FB11="-","-",SMALL(FB6:FB50,6))</f>
        <v>-</v>
      </c>
    </row>
    <row r="12" spans="1:159" s="77" customFormat="1">
      <c r="A12" s="29"/>
      <c r="C12" s="95">
        <f>'1'!R9</f>
        <v>0</v>
      </c>
      <c r="D12" s="96">
        <f>'1'!J9</f>
        <v>0</v>
      </c>
      <c r="E12" s="96">
        <f>'1'!K9</f>
        <v>0</v>
      </c>
      <c r="F12" s="29"/>
      <c r="G12" s="29"/>
      <c r="H12" s="71"/>
      <c r="I12" s="71"/>
      <c r="J12" s="29"/>
      <c r="K12" s="29"/>
      <c r="L12" s="96">
        <f>'2'!R9</f>
        <v>0</v>
      </c>
      <c r="M12" s="77">
        <f>'2'!J9</f>
        <v>0</v>
      </c>
      <c r="N12" s="74">
        <f>'2'!K9</f>
        <v>0</v>
      </c>
      <c r="O12" s="74"/>
      <c r="P12" s="58"/>
      <c r="Q12" s="58" t="s">
        <v>27</v>
      </c>
      <c r="R12" s="97" t="e">
        <f>AVERAGE(AP6:AP35)</f>
        <v>#DIV/0!</v>
      </c>
      <c r="S12" s="97" t="e">
        <f>AVERAGE(BV6:BV35)</f>
        <v>#DIV/0!</v>
      </c>
      <c r="T12" s="97" t="e">
        <f>AVERAGE(ET6:ET35)</f>
        <v>#DIV/0!</v>
      </c>
      <c r="U12" s="74"/>
      <c r="V12" s="74"/>
      <c r="W12" s="74"/>
      <c r="X12" s="95"/>
      <c r="Y12" s="74"/>
      <c r="Z12" s="74"/>
      <c r="AA12" s="74"/>
      <c r="AB12" s="74"/>
      <c r="AC12" s="74"/>
      <c r="AD12" s="74"/>
      <c r="AE12" s="74"/>
      <c r="AF12" s="74"/>
      <c r="AG12" s="74"/>
      <c r="AH12" s="95"/>
      <c r="AI12" s="74"/>
      <c r="AJ12" s="98" t="str">
        <f t="shared" si="27"/>
        <v>-</v>
      </c>
      <c r="AK12" s="98" t="str">
        <f t="shared" si="28"/>
        <v>-</v>
      </c>
      <c r="AL12" s="98" t="str">
        <f t="shared" si="0"/>
        <v>-</v>
      </c>
      <c r="AM12" s="98" t="str">
        <f t="shared" si="29"/>
        <v>-</v>
      </c>
      <c r="AN12" s="98" t="str">
        <f t="shared" si="30"/>
        <v>-</v>
      </c>
      <c r="AO12" s="98" t="str">
        <f t="shared" si="31"/>
        <v>-</v>
      </c>
      <c r="AP12" s="98" t="str">
        <f t="shared" si="32"/>
        <v>-</v>
      </c>
      <c r="AQ12" s="98" t="str">
        <f t="shared" si="33"/>
        <v>-</v>
      </c>
      <c r="AR12" s="98"/>
      <c r="AS12" s="98"/>
      <c r="AT12" s="99" t="e">
        <f t="shared" si="84"/>
        <v>#DIV/0!</v>
      </c>
      <c r="AU12" s="99" t="e">
        <f t="shared" si="84"/>
        <v>#DIV/0!</v>
      </c>
      <c r="AV12" s="99" t="e">
        <f t="shared" si="84"/>
        <v>#DIV/0!</v>
      </c>
      <c r="AW12" s="99" t="e">
        <f t="shared" si="84"/>
        <v>#DIV/0!</v>
      </c>
      <c r="AX12" s="74" t="str">
        <f t="shared" si="35"/>
        <v>-</v>
      </c>
      <c r="AY12" s="74">
        <f t="shared" si="36"/>
        <v>0</v>
      </c>
      <c r="AZ12" s="74">
        <f t="shared" si="37"/>
        <v>0</v>
      </c>
      <c r="BA12" s="98">
        <f t="shared" si="38"/>
        <v>0</v>
      </c>
      <c r="BB12" s="74">
        <f t="shared" si="1"/>
        <v>0</v>
      </c>
      <c r="BC12" s="74">
        <f t="shared" si="2"/>
        <v>0</v>
      </c>
      <c r="BD12" s="74"/>
      <c r="BE12" s="74"/>
      <c r="BF12" s="74"/>
      <c r="BG12" s="74">
        <f t="shared" si="39"/>
        <v>0</v>
      </c>
      <c r="BH12" s="74">
        <f t="shared" si="40"/>
        <v>0</v>
      </c>
      <c r="BI12" s="98">
        <f t="shared" si="41"/>
        <v>0</v>
      </c>
      <c r="BJ12" s="74">
        <f t="shared" si="3"/>
        <v>0</v>
      </c>
      <c r="BK12" s="74">
        <f t="shared" si="4"/>
        <v>0</v>
      </c>
      <c r="BL12" s="74"/>
      <c r="BM12" s="74"/>
      <c r="BN12" s="74">
        <f t="shared" si="42"/>
        <v>0</v>
      </c>
      <c r="BO12" s="74" t="str">
        <f t="shared" si="43"/>
        <v>-</v>
      </c>
      <c r="BP12" s="98" t="str">
        <f t="shared" si="44"/>
        <v>-</v>
      </c>
      <c r="BQ12" s="98" t="str">
        <f t="shared" si="45"/>
        <v>-</v>
      </c>
      <c r="BR12" s="98" t="str">
        <f t="shared" si="5"/>
        <v>-</v>
      </c>
      <c r="BS12" s="98" t="str">
        <f t="shared" si="6"/>
        <v>-</v>
      </c>
      <c r="BT12" s="98" t="str">
        <f t="shared" si="7"/>
        <v>-</v>
      </c>
      <c r="BU12" s="98" t="str">
        <f t="shared" si="8"/>
        <v>-</v>
      </c>
      <c r="BV12" s="98" t="str">
        <f t="shared" si="9"/>
        <v>-</v>
      </c>
      <c r="BW12" s="98" t="str">
        <f t="shared" si="10"/>
        <v>-</v>
      </c>
      <c r="BX12" s="74"/>
      <c r="BY12" s="74"/>
      <c r="BZ12" s="99" t="e">
        <f t="shared" si="85"/>
        <v>#DIV/0!</v>
      </c>
      <c r="CA12" s="99" t="e">
        <f t="shared" si="85"/>
        <v>#DIV/0!</v>
      </c>
      <c r="CB12" s="99" t="e">
        <f t="shared" si="85"/>
        <v>#DIV/0!</v>
      </c>
      <c r="CC12" s="99" t="e">
        <f t="shared" si="85"/>
        <v>#DIV/0!</v>
      </c>
      <c r="CD12" s="74" t="str">
        <f t="shared" si="11"/>
        <v>-</v>
      </c>
      <c r="CE12" s="74">
        <f t="shared" si="47"/>
        <v>0</v>
      </c>
      <c r="CF12" s="74">
        <f t="shared" si="48"/>
        <v>0</v>
      </c>
      <c r="CG12" s="98">
        <f t="shared" si="49"/>
        <v>0</v>
      </c>
      <c r="CH12" s="74">
        <f t="shared" si="12"/>
        <v>0</v>
      </c>
      <c r="CI12" s="74">
        <f t="shared" si="13"/>
        <v>0</v>
      </c>
      <c r="CJ12" s="74"/>
      <c r="CK12" s="74"/>
      <c r="CL12" s="74"/>
      <c r="CM12" s="74">
        <f t="shared" si="14"/>
        <v>0</v>
      </c>
      <c r="CN12" s="74">
        <f t="shared" si="50"/>
        <v>0</v>
      </c>
      <c r="CO12" s="98">
        <f t="shared" si="51"/>
        <v>0</v>
      </c>
      <c r="CP12" s="74">
        <f t="shared" si="15"/>
        <v>0</v>
      </c>
      <c r="CQ12" s="74">
        <f t="shared" si="16"/>
        <v>0</v>
      </c>
      <c r="CR12" s="74"/>
      <c r="CS12" s="74"/>
      <c r="CT12" s="74"/>
      <c r="CU12" s="74"/>
      <c r="CV12" s="98" t="str">
        <f t="shared" si="17"/>
        <v>-</v>
      </c>
      <c r="CW12" s="95" t="str">
        <f t="shared" si="18"/>
        <v>-</v>
      </c>
      <c r="CX12" s="74" t="str">
        <f t="shared" si="52"/>
        <v>-</v>
      </c>
      <c r="CY12" s="74" t="str">
        <f t="shared" si="19"/>
        <v>-</v>
      </c>
      <c r="CZ12" s="100" t="str">
        <f t="shared" si="20"/>
        <v>-</v>
      </c>
      <c r="DA12" s="58" t="str">
        <f t="shared" si="53"/>
        <v>-</v>
      </c>
      <c r="DB12" s="58" t="str">
        <f t="shared" si="54"/>
        <v>-</v>
      </c>
      <c r="DC12" s="58" t="str">
        <f t="shared" si="55"/>
        <v>-</v>
      </c>
      <c r="DD12" s="58" t="str">
        <f t="shared" si="56"/>
        <v>-</v>
      </c>
      <c r="DE12" s="58"/>
      <c r="DF12" s="58"/>
      <c r="DG12" s="58"/>
      <c r="DH12" s="98" t="str">
        <f t="shared" si="57"/>
        <v>-</v>
      </c>
      <c r="DI12" s="98" t="str">
        <f t="shared" si="58"/>
        <v>-</v>
      </c>
      <c r="DJ12" s="74" t="str">
        <f t="shared" si="59"/>
        <v>-</v>
      </c>
      <c r="DK12" s="74" t="str">
        <f t="shared" si="59"/>
        <v>-</v>
      </c>
      <c r="DL12" s="100" t="str">
        <f t="shared" si="22"/>
        <v>-</v>
      </c>
      <c r="DM12" s="58" t="str">
        <f t="shared" si="60"/>
        <v>-</v>
      </c>
      <c r="DN12" s="58" t="str">
        <f t="shared" si="61"/>
        <v>-</v>
      </c>
      <c r="DO12" s="58" t="str">
        <f t="shared" si="62"/>
        <v>-</v>
      </c>
      <c r="DP12" s="58" t="str">
        <f t="shared" si="63"/>
        <v>-</v>
      </c>
      <c r="DQ12" s="58"/>
      <c r="DR12" s="58"/>
      <c r="DS12" s="74"/>
      <c r="DT12" s="98" t="str">
        <f t="shared" si="86"/>
        <v>-</v>
      </c>
      <c r="DU12" s="98" t="str">
        <f t="shared" si="64"/>
        <v>-</v>
      </c>
      <c r="DV12" s="74" t="str">
        <f t="shared" si="65"/>
        <v>-</v>
      </c>
      <c r="DW12" s="74" t="str">
        <f t="shared" si="65"/>
        <v>-</v>
      </c>
      <c r="DX12" s="100" t="str">
        <f t="shared" si="24"/>
        <v>-</v>
      </c>
      <c r="DY12" s="58" t="str">
        <f t="shared" si="66"/>
        <v>-</v>
      </c>
      <c r="DZ12" s="58" t="str">
        <f t="shared" si="67"/>
        <v>-</v>
      </c>
      <c r="EA12" s="58" t="str">
        <f t="shared" si="68"/>
        <v>-</v>
      </c>
      <c r="EB12" s="58" t="str">
        <f t="shared" si="69"/>
        <v>-</v>
      </c>
      <c r="EC12" s="58"/>
      <c r="ED12" s="58"/>
      <c r="EE12" s="74"/>
      <c r="EF12" s="98" t="str">
        <f t="shared" si="70"/>
        <v>-</v>
      </c>
      <c r="EG12" s="98" t="str">
        <f t="shared" si="71"/>
        <v>-</v>
      </c>
      <c r="EH12" s="74" t="str">
        <f t="shared" si="72"/>
        <v>-</v>
      </c>
      <c r="EI12" s="74" t="str">
        <f t="shared" si="72"/>
        <v>-</v>
      </c>
      <c r="EJ12" s="100" t="str">
        <f t="shared" si="26"/>
        <v>-</v>
      </c>
      <c r="EK12" s="58" t="str">
        <f t="shared" si="73"/>
        <v>-</v>
      </c>
      <c r="EL12" s="58" t="str">
        <f t="shared" si="74"/>
        <v>-</v>
      </c>
      <c r="EM12" s="58" t="str">
        <f t="shared" si="75"/>
        <v>-</v>
      </c>
      <c r="EN12" s="58" t="str">
        <f t="shared" si="76"/>
        <v>-</v>
      </c>
      <c r="EO12" s="58"/>
      <c r="EP12" s="58"/>
      <c r="EQ12" s="74"/>
      <c r="ER12" s="98" t="str">
        <f t="shared" si="77"/>
        <v>-</v>
      </c>
      <c r="ES12" s="98" t="str">
        <f t="shared" si="78"/>
        <v>-</v>
      </c>
      <c r="ET12" s="98" t="str">
        <f t="shared" si="79"/>
        <v>-</v>
      </c>
      <c r="EU12" s="98" t="str">
        <f t="shared" si="80"/>
        <v>-</v>
      </c>
      <c r="EV12" s="74"/>
      <c r="EW12" s="74"/>
      <c r="EX12" s="74"/>
      <c r="EY12" s="74" t="str">
        <f>IF(E12=0,"-",LARGE(E6:E50,7))</f>
        <v>-</v>
      </c>
      <c r="EZ12" s="77" t="str">
        <f t="shared" si="81"/>
        <v>-</v>
      </c>
      <c r="FA12" s="77">
        <f t="shared" si="82"/>
        <v>0</v>
      </c>
      <c r="FB12" s="77" t="str">
        <f t="shared" si="83"/>
        <v>-</v>
      </c>
      <c r="FC12" s="77" t="str">
        <f>IF(FB12="-","-",SMALL(FB6:FB50,7))</f>
        <v>-</v>
      </c>
    </row>
    <row r="13" spans="1:159" s="77" customFormat="1">
      <c r="A13" s="29"/>
      <c r="C13" s="95">
        <f>'1'!R10</f>
        <v>0</v>
      </c>
      <c r="D13" s="96">
        <f>'1'!J10</f>
        <v>0</v>
      </c>
      <c r="E13" s="96">
        <f>'1'!K10</f>
        <v>0</v>
      </c>
      <c r="F13" s="29"/>
      <c r="G13" s="29"/>
      <c r="H13" s="71"/>
      <c r="I13" s="71"/>
      <c r="J13" s="29"/>
      <c r="K13" s="29"/>
      <c r="L13" s="96">
        <f>'2'!R10</f>
        <v>0</v>
      </c>
      <c r="M13" s="77">
        <f>'2'!J10</f>
        <v>0</v>
      </c>
      <c r="N13" s="74">
        <f>'2'!K10</f>
        <v>0</v>
      </c>
      <c r="O13" s="74"/>
      <c r="P13" s="58"/>
      <c r="Q13" s="58" t="s">
        <v>28</v>
      </c>
      <c r="R13" s="97" t="e">
        <f>STDEV(AP6:AP35)</f>
        <v>#DIV/0!</v>
      </c>
      <c r="S13" s="97" t="e">
        <f>STDEV(BV6:BV35)</f>
        <v>#DIV/0!</v>
      </c>
      <c r="T13" s="97" t="e">
        <f>STDEV(ET6:ET35)</f>
        <v>#DIV/0!</v>
      </c>
      <c r="U13" s="74"/>
      <c r="V13" s="74"/>
      <c r="W13" s="74"/>
      <c r="X13" s="95"/>
      <c r="Y13" s="74"/>
      <c r="Z13" s="74"/>
      <c r="AA13" s="74"/>
      <c r="AB13" s="74"/>
      <c r="AC13" s="74"/>
      <c r="AD13" s="74"/>
      <c r="AE13" s="74"/>
      <c r="AF13" s="74"/>
      <c r="AG13" s="74"/>
      <c r="AH13" s="95"/>
      <c r="AI13" s="74"/>
      <c r="AJ13" s="98" t="str">
        <f t="shared" si="27"/>
        <v>-</v>
      </c>
      <c r="AK13" s="98" t="str">
        <f t="shared" si="28"/>
        <v>-</v>
      </c>
      <c r="AL13" s="98" t="str">
        <f t="shared" si="0"/>
        <v>-</v>
      </c>
      <c r="AM13" s="98" t="str">
        <f t="shared" si="29"/>
        <v>-</v>
      </c>
      <c r="AN13" s="98" t="str">
        <f t="shared" si="30"/>
        <v>-</v>
      </c>
      <c r="AO13" s="98" t="str">
        <f t="shared" si="31"/>
        <v>-</v>
      </c>
      <c r="AP13" s="98" t="str">
        <f t="shared" si="32"/>
        <v>-</v>
      </c>
      <c r="AQ13" s="98" t="str">
        <f t="shared" si="33"/>
        <v>-</v>
      </c>
      <c r="AR13" s="74"/>
      <c r="AS13" s="98"/>
      <c r="AT13" s="99" t="e">
        <f t="shared" si="84"/>
        <v>#DIV/0!</v>
      </c>
      <c r="AU13" s="99" t="e">
        <f t="shared" si="84"/>
        <v>#DIV/0!</v>
      </c>
      <c r="AV13" s="99" t="e">
        <f t="shared" si="84"/>
        <v>#DIV/0!</v>
      </c>
      <c r="AW13" s="99" t="e">
        <f t="shared" si="84"/>
        <v>#DIV/0!</v>
      </c>
      <c r="AX13" s="74" t="str">
        <f t="shared" si="35"/>
        <v>-</v>
      </c>
      <c r="AY13" s="74">
        <f t="shared" si="36"/>
        <v>0</v>
      </c>
      <c r="AZ13" s="74">
        <f t="shared" si="37"/>
        <v>0</v>
      </c>
      <c r="BA13" s="98">
        <f t="shared" si="38"/>
        <v>0</v>
      </c>
      <c r="BB13" s="74">
        <f t="shared" si="1"/>
        <v>0</v>
      </c>
      <c r="BC13" s="74">
        <f t="shared" si="2"/>
        <v>0</v>
      </c>
      <c r="BD13" s="74"/>
      <c r="BE13" s="74"/>
      <c r="BF13" s="74"/>
      <c r="BG13" s="74">
        <f t="shared" si="39"/>
        <v>0</v>
      </c>
      <c r="BH13" s="74">
        <f t="shared" si="40"/>
        <v>0</v>
      </c>
      <c r="BI13" s="98">
        <f t="shared" si="41"/>
        <v>0</v>
      </c>
      <c r="BJ13" s="74">
        <f t="shared" si="3"/>
        <v>0</v>
      </c>
      <c r="BK13" s="74">
        <f t="shared" si="4"/>
        <v>0</v>
      </c>
      <c r="BL13" s="74"/>
      <c r="BM13" s="74"/>
      <c r="BN13" s="74">
        <f t="shared" si="42"/>
        <v>0</v>
      </c>
      <c r="BO13" s="74" t="str">
        <f t="shared" si="43"/>
        <v>-</v>
      </c>
      <c r="BP13" s="98" t="str">
        <f t="shared" si="44"/>
        <v>-</v>
      </c>
      <c r="BQ13" s="98" t="str">
        <f t="shared" si="45"/>
        <v>-</v>
      </c>
      <c r="BR13" s="98" t="str">
        <f t="shared" si="5"/>
        <v>-</v>
      </c>
      <c r="BS13" s="98" t="str">
        <f t="shared" si="6"/>
        <v>-</v>
      </c>
      <c r="BT13" s="98" t="str">
        <f t="shared" si="7"/>
        <v>-</v>
      </c>
      <c r="BU13" s="98" t="str">
        <f t="shared" si="8"/>
        <v>-</v>
      </c>
      <c r="BV13" s="98" t="str">
        <f t="shared" si="9"/>
        <v>-</v>
      </c>
      <c r="BW13" s="98" t="str">
        <f t="shared" si="10"/>
        <v>-</v>
      </c>
      <c r="BX13" s="74"/>
      <c r="BY13" s="74"/>
      <c r="BZ13" s="99" t="e">
        <f t="shared" si="85"/>
        <v>#DIV/0!</v>
      </c>
      <c r="CA13" s="99" t="e">
        <f t="shared" si="85"/>
        <v>#DIV/0!</v>
      </c>
      <c r="CB13" s="99" t="e">
        <f t="shared" si="85"/>
        <v>#DIV/0!</v>
      </c>
      <c r="CC13" s="99" t="e">
        <f t="shared" si="85"/>
        <v>#DIV/0!</v>
      </c>
      <c r="CD13" s="74" t="str">
        <f t="shared" si="11"/>
        <v>-</v>
      </c>
      <c r="CE13" s="74">
        <f t="shared" si="47"/>
        <v>0</v>
      </c>
      <c r="CF13" s="74">
        <f t="shared" si="48"/>
        <v>0</v>
      </c>
      <c r="CG13" s="98">
        <f t="shared" si="49"/>
        <v>0</v>
      </c>
      <c r="CH13" s="74">
        <f t="shared" si="12"/>
        <v>0</v>
      </c>
      <c r="CI13" s="74">
        <f t="shared" si="13"/>
        <v>0</v>
      </c>
      <c r="CJ13" s="74"/>
      <c r="CK13" s="74"/>
      <c r="CL13" s="74"/>
      <c r="CM13" s="74">
        <f t="shared" si="14"/>
        <v>0</v>
      </c>
      <c r="CN13" s="74">
        <f t="shared" si="50"/>
        <v>0</v>
      </c>
      <c r="CO13" s="98">
        <f t="shared" si="51"/>
        <v>0</v>
      </c>
      <c r="CP13" s="74">
        <f t="shared" si="15"/>
        <v>0</v>
      </c>
      <c r="CQ13" s="74">
        <f t="shared" si="16"/>
        <v>0</v>
      </c>
      <c r="CR13" s="74"/>
      <c r="CS13" s="74"/>
      <c r="CT13" s="74"/>
      <c r="CU13" s="74"/>
      <c r="CV13" s="98" t="str">
        <f t="shared" si="17"/>
        <v>-</v>
      </c>
      <c r="CW13" s="95" t="str">
        <f t="shared" si="18"/>
        <v>-</v>
      </c>
      <c r="CX13" s="74" t="str">
        <f t="shared" si="52"/>
        <v>-</v>
      </c>
      <c r="CY13" s="74" t="str">
        <f t="shared" si="19"/>
        <v>-</v>
      </c>
      <c r="CZ13" s="100" t="str">
        <f t="shared" si="20"/>
        <v>-</v>
      </c>
      <c r="DA13" s="58" t="str">
        <f t="shared" si="53"/>
        <v>-</v>
      </c>
      <c r="DB13" s="58" t="str">
        <f t="shared" si="54"/>
        <v>-</v>
      </c>
      <c r="DC13" s="58" t="str">
        <f t="shared" si="55"/>
        <v>-</v>
      </c>
      <c r="DD13" s="58" t="str">
        <f t="shared" si="56"/>
        <v>-</v>
      </c>
      <c r="DE13" s="74">
        <f>SUM(DE6:DE9)</f>
        <v>0</v>
      </c>
      <c r="DF13" s="74"/>
      <c r="DG13" s="74"/>
      <c r="DH13" s="98" t="str">
        <f t="shared" si="57"/>
        <v>-</v>
      </c>
      <c r="DI13" s="98" t="str">
        <f t="shared" si="58"/>
        <v>-</v>
      </c>
      <c r="DJ13" s="74" t="str">
        <f t="shared" si="59"/>
        <v>-</v>
      </c>
      <c r="DK13" s="74" t="str">
        <f t="shared" si="59"/>
        <v>-</v>
      </c>
      <c r="DL13" s="100" t="str">
        <f t="shared" si="22"/>
        <v>-</v>
      </c>
      <c r="DM13" s="58" t="str">
        <f t="shared" si="60"/>
        <v>-</v>
      </c>
      <c r="DN13" s="58" t="str">
        <f t="shared" si="61"/>
        <v>-</v>
      </c>
      <c r="DO13" s="58" t="str">
        <f t="shared" si="62"/>
        <v>-</v>
      </c>
      <c r="DP13" s="58" t="str">
        <f t="shared" si="63"/>
        <v>-</v>
      </c>
      <c r="DQ13" s="74">
        <f>SUM(DQ6:DQ9)</f>
        <v>0</v>
      </c>
      <c r="DR13" s="58"/>
      <c r="DS13" s="74"/>
      <c r="DT13" s="98" t="str">
        <f t="shared" si="86"/>
        <v>-</v>
      </c>
      <c r="DU13" s="98" t="str">
        <f t="shared" si="64"/>
        <v>-</v>
      </c>
      <c r="DV13" s="74" t="str">
        <f t="shared" si="65"/>
        <v>-</v>
      </c>
      <c r="DW13" s="74" t="str">
        <f t="shared" si="65"/>
        <v>-</v>
      </c>
      <c r="DX13" s="100" t="str">
        <f t="shared" si="24"/>
        <v>-</v>
      </c>
      <c r="DY13" s="58" t="str">
        <f t="shared" si="66"/>
        <v>-</v>
      </c>
      <c r="DZ13" s="58" t="str">
        <f t="shared" si="67"/>
        <v>-</v>
      </c>
      <c r="EA13" s="58" t="str">
        <f t="shared" si="68"/>
        <v>-</v>
      </c>
      <c r="EB13" s="58" t="str">
        <f t="shared" si="69"/>
        <v>-</v>
      </c>
      <c r="EC13" s="74">
        <f>SUM(EC6:EC9)</f>
        <v>0</v>
      </c>
      <c r="ED13" s="58"/>
      <c r="EE13" s="74"/>
      <c r="EF13" s="98" t="str">
        <f t="shared" si="70"/>
        <v>-</v>
      </c>
      <c r="EG13" s="98" t="str">
        <f t="shared" si="71"/>
        <v>-</v>
      </c>
      <c r="EH13" s="74" t="str">
        <f t="shared" si="72"/>
        <v>-</v>
      </c>
      <c r="EI13" s="74" t="str">
        <f t="shared" si="72"/>
        <v>-</v>
      </c>
      <c r="EJ13" s="100" t="str">
        <f t="shared" si="26"/>
        <v>-</v>
      </c>
      <c r="EK13" s="58" t="str">
        <f t="shared" si="73"/>
        <v>-</v>
      </c>
      <c r="EL13" s="58" t="str">
        <f t="shared" si="74"/>
        <v>-</v>
      </c>
      <c r="EM13" s="58" t="str">
        <f t="shared" si="75"/>
        <v>-</v>
      </c>
      <c r="EN13" s="58" t="str">
        <f t="shared" si="76"/>
        <v>-</v>
      </c>
      <c r="EO13" s="74">
        <f>SUM(EO6:EO9)</f>
        <v>0</v>
      </c>
      <c r="EP13" s="58"/>
      <c r="EQ13" s="74"/>
      <c r="ER13" s="98" t="str">
        <f t="shared" si="77"/>
        <v>-</v>
      </c>
      <c r="ES13" s="98" t="str">
        <f t="shared" si="78"/>
        <v>-</v>
      </c>
      <c r="ET13" s="98" t="str">
        <f t="shared" si="79"/>
        <v>-</v>
      </c>
      <c r="EU13" s="98" t="str">
        <f t="shared" si="80"/>
        <v>-</v>
      </c>
      <c r="EV13" s="74"/>
      <c r="EW13" s="74"/>
      <c r="EX13" s="74"/>
      <c r="EY13" s="74" t="str">
        <f>IF(E13=0,"-",LARGE(E6:E50,8))</f>
        <v>-</v>
      </c>
      <c r="EZ13" s="77" t="str">
        <f t="shared" si="81"/>
        <v>-</v>
      </c>
      <c r="FA13" s="77">
        <f t="shared" si="82"/>
        <v>0</v>
      </c>
      <c r="FB13" s="77" t="str">
        <f t="shared" si="83"/>
        <v>-</v>
      </c>
      <c r="FC13" s="77" t="str">
        <f>IF(FB13="-","-",SMALL(FB6:FB50,8))</f>
        <v>-</v>
      </c>
    </row>
    <row r="14" spans="1:159" s="77" customFormat="1">
      <c r="C14" s="95">
        <f>'1'!R11</f>
        <v>0</v>
      </c>
      <c r="D14" s="96">
        <f>'1'!J11</f>
        <v>0</v>
      </c>
      <c r="E14" s="96">
        <f>'1'!K11</f>
        <v>0</v>
      </c>
      <c r="F14" s="74"/>
      <c r="G14" s="74"/>
      <c r="H14" s="74"/>
      <c r="I14" s="74"/>
      <c r="J14" s="74"/>
      <c r="K14" s="74"/>
      <c r="L14" s="96">
        <f>'2'!R11</f>
        <v>0</v>
      </c>
      <c r="M14" s="77">
        <f>'2'!J11</f>
        <v>0</v>
      </c>
      <c r="N14" s="74">
        <f>'2'!K11</f>
        <v>0</v>
      </c>
      <c r="O14" s="74"/>
      <c r="P14" s="58"/>
      <c r="Q14" s="58" t="s">
        <v>29</v>
      </c>
      <c r="R14" s="97">
        <f>MAX(AP6:AP35)</f>
        <v>0</v>
      </c>
      <c r="S14" s="97">
        <f>MAX(BV6:BV35)</f>
        <v>0</v>
      </c>
      <c r="T14" s="97">
        <f>MAX(ET6:ET35)</f>
        <v>0</v>
      </c>
      <c r="U14" s="74"/>
      <c r="V14" s="74"/>
      <c r="W14" s="74"/>
      <c r="X14" s="95"/>
      <c r="Y14" s="74"/>
      <c r="Z14" s="74"/>
      <c r="AA14" s="74"/>
      <c r="AB14" s="74"/>
      <c r="AC14" s="74"/>
      <c r="AD14" s="74"/>
      <c r="AE14" s="74"/>
      <c r="AF14" s="74"/>
      <c r="AG14" s="74"/>
      <c r="AH14" s="95"/>
      <c r="AI14" s="74"/>
      <c r="AJ14" s="98" t="str">
        <f t="shared" si="27"/>
        <v>-</v>
      </c>
      <c r="AK14" s="98" t="str">
        <f t="shared" si="28"/>
        <v>-</v>
      </c>
      <c r="AL14" s="98" t="str">
        <f t="shared" si="0"/>
        <v>-</v>
      </c>
      <c r="AM14" s="98" t="str">
        <f t="shared" si="29"/>
        <v>-</v>
      </c>
      <c r="AN14" s="98" t="str">
        <f t="shared" si="30"/>
        <v>-</v>
      </c>
      <c r="AO14" s="98" t="str">
        <f t="shared" si="31"/>
        <v>-</v>
      </c>
      <c r="AP14" s="98" t="str">
        <f t="shared" si="32"/>
        <v>-</v>
      </c>
      <c r="AQ14" s="98" t="str">
        <f t="shared" si="33"/>
        <v>-</v>
      </c>
      <c r="AR14" s="74"/>
      <c r="AS14" s="98"/>
      <c r="AT14" s="99" t="e">
        <f t="shared" si="84"/>
        <v>#DIV/0!</v>
      </c>
      <c r="AU14" s="99" t="e">
        <f t="shared" si="84"/>
        <v>#DIV/0!</v>
      </c>
      <c r="AV14" s="99" t="e">
        <f t="shared" si="84"/>
        <v>#DIV/0!</v>
      </c>
      <c r="AW14" s="99" t="e">
        <f t="shared" si="84"/>
        <v>#DIV/0!</v>
      </c>
      <c r="AX14" s="74" t="str">
        <f t="shared" si="35"/>
        <v>-</v>
      </c>
      <c r="AY14" s="74">
        <f t="shared" si="36"/>
        <v>0</v>
      </c>
      <c r="AZ14" s="74">
        <f t="shared" si="37"/>
        <v>0</v>
      </c>
      <c r="BA14" s="98">
        <f t="shared" si="38"/>
        <v>0</v>
      </c>
      <c r="BB14" s="74">
        <f t="shared" si="1"/>
        <v>0</v>
      </c>
      <c r="BC14" s="74">
        <f t="shared" si="2"/>
        <v>0</v>
      </c>
      <c r="BD14" s="74"/>
      <c r="BE14" s="74"/>
      <c r="BF14" s="74"/>
      <c r="BG14" s="74">
        <f t="shared" si="39"/>
        <v>0</v>
      </c>
      <c r="BH14" s="74">
        <f t="shared" si="40"/>
        <v>0</v>
      </c>
      <c r="BI14" s="98">
        <f t="shared" si="41"/>
        <v>0</v>
      </c>
      <c r="BJ14" s="74">
        <f t="shared" si="3"/>
        <v>0</v>
      </c>
      <c r="BK14" s="74">
        <f t="shared" si="4"/>
        <v>0</v>
      </c>
      <c r="BL14" s="74"/>
      <c r="BM14" s="74"/>
      <c r="BN14" s="74">
        <f t="shared" si="42"/>
        <v>0</v>
      </c>
      <c r="BO14" s="74" t="str">
        <f t="shared" si="43"/>
        <v>-</v>
      </c>
      <c r="BP14" s="98" t="str">
        <f t="shared" si="44"/>
        <v>-</v>
      </c>
      <c r="BQ14" s="98" t="str">
        <f t="shared" si="45"/>
        <v>-</v>
      </c>
      <c r="BR14" s="98" t="str">
        <f t="shared" si="5"/>
        <v>-</v>
      </c>
      <c r="BS14" s="98" t="str">
        <f t="shared" si="6"/>
        <v>-</v>
      </c>
      <c r="BT14" s="98" t="str">
        <f t="shared" si="7"/>
        <v>-</v>
      </c>
      <c r="BU14" s="98" t="str">
        <f t="shared" si="8"/>
        <v>-</v>
      </c>
      <c r="BV14" s="98" t="str">
        <f t="shared" si="9"/>
        <v>-</v>
      </c>
      <c r="BW14" s="98" t="str">
        <f t="shared" si="10"/>
        <v>-</v>
      </c>
      <c r="BX14" s="74"/>
      <c r="BY14" s="74"/>
      <c r="BZ14" s="99" t="e">
        <f t="shared" si="85"/>
        <v>#DIV/0!</v>
      </c>
      <c r="CA14" s="99" t="e">
        <f t="shared" si="85"/>
        <v>#DIV/0!</v>
      </c>
      <c r="CB14" s="99" t="e">
        <f t="shared" si="85"/>
        <v>#DIV/0!</v>
      </c>
      <c r="CC14" s="99" t="e">
        <f t="shared" si="85"/>
        <v>#DIV/0!</v>
      </c>
      <c r="CD14" s="74" t="str">
        <f t="shared" si="11"/>
        <v>-</v>
      </c>
      <c r="CE14" s="74">
        <f t="shared" si="47"/>
        <v>0</v>
      </c>
      <c r="CF14" s="74">
        <f t="shared" si="48"/>
        <v>0</v>
      </c>
      <c r="CG14" s="98">
        <f t="shared" si="49"/>
        <v>0</v>
      </c>
      <c r="CH14" s="74">
        <f t="shared" si="12"/>
        <v>0</v>
      </c>
      <c r="CI14" s="74">
        <f t="shared" si="13"/>
        <v>0</v>
      </c>
      <c r="CJ14" s="74"/>
      <c r="CK14" s="74"/>
      <c r="CL14" s="74"/>
      <c r="CM14" s="74">
        <f t="shared" si="14"/>
        <v>0</v>
      </c>
      <c r="CN14" s="74">
        <f t="shared" si="50"/>
        <v>0</v>
      </c>
      <c r="CO14" s="98">
        <f t="shared" si="51"/>
        <v>0</v>
      </c>
      <c r="CP14" s="74">
        <f t="shared" si="15"/>
        <v>0</v>
      </c>
      <c r="CQ14" s="74">
        <f t="shared" si="16"/>
        <v>0</v>
      </c>
      <c r="CR14" s="74"/>
      <c r="CS14" s="74"/>
      <c r="CT14" s="74"/>
      <c r="CU14" s="74"/>
      <c r="CV14" s="98" t="str">
        <f t="shared" si="17"/>
        <v>-</v>
      </c>
      <c r="CW14" s="95" t="str">
        <f t="shared" si="18"/>
        <v>-</v>
      </c>
      <c r="CX14" s="74" t="str">
        <f t="shared" si="52"/>
        <v>-</v>
      </c>
      <c r="CY14" s="74" t="str">
        <f t="shared" si="19"/>
        <v>-</v>
      </c>
      <c r="CZ14" s="100" t="str">
        <f t="shared" si="20"/>
        <v>-</v>
      </c>
      <c r="DA14" s="58" t="str">
        <f t="shared" si="53"/>
        <v>-</v>
      </c>
      <c r="DB14" s="58" t="str">
        <f t="shared" si="54"/>
        <v>-</v>
      </c>
      <c r="DC14" s="58" t="str">
        <f t="shared" si="55"/>
        <v>-</v>
      </c>
      <c r="DD14" s="58" t="str">
        <f t="shared" si="56"/>
        <v>-</v>
      </c>
      <c r="DE14" s="74"/>
      <c r="DF14" s="74"/>
      <c r="DG14" s="74"/>
      <c r="DH14" s="98" t="str">
        <f t="shared" si="57"/>
        <v>-</v>
      </c>
      <c r="DI14" s="98" t="str">
        <f t="shared" si="58"/>
        <v>-</v>
      </c>
      <c r="DJ14" s="74" t="str">
        <f t="shared" si="59"/>
        <v>-</v>
      </c>
      <c r="DK14" s="74" t="str">
        <f t="shared" si="59"/>
        <v>-</v>
      </c>
      <c r="DL14" s="100" t="str">
        <f t="shared" si="22"/>
        <v>-</v>
      </c>
      <c r="DM14" s="58" t="str">
        <f t="shared" si="60"/>
        <v>-</v>
      </c>
      <c r="DN14" s="58" t="str">
        <f t="shared" si="61"/>
        <v>-</v>
      </c>
      <c r="DO14" s="58" t="str">
        <f t="shared" si="62"/>
        <v>-</v>
      </c>
      <c r="DP14" s="58" t="str">
        <f t="shared" si="63"/>
        <v>-</v>
      </c>
      <c r="DQ14" s="74"/>
      <c r="DR14" s="58"/>
      <c r="DS14" s="74"/>
      <c r="DT14" s="98" t="str">
        <f t="shared" si="86"/>
        <v>-</v>
      </c>
      <c r="DU14" s="98" t="str">
        <f t="shared" si="64"/>
        <v>-</v>
      </c>
      <c r="DV14" s="74" t="str">
        <f t="shared" si="65"/>
        <v>-</v>
      </c>
      <c r="DW14" s="74" t="str">
        <f t="shared" si="65"/>
        <v>-</v>
      </c>
      <c r="DX14" s="100" t="str">
        <f t="shared" si="24"/>
        <v>-</v>
      </c>
      <c r="DY14" s="58" t="str">
        <f t="shared" si="66"/>
        <v>-</v>
      </c>
      <c r="DZ14" s="58" t="str">
        <f t="shared" si="67"/>
        <v>-</v>
      </c>
      <c r="EA14" s="58" t="str">
        <f t="shared" si="68"/>
        <v>-</v>
      </c>
      <c r="EB14" s="58" t="str">
        <f t="shared" si="69"/>
        <v>-</v>
      </c>
      <c r="EC14" s="74"/>
      <c r="ED14" s="58"/>
      <c r="EE14" s="74"/>
      <c r="EF14" s="98" t="str">
        <f t="shared" si="70"/>
        <v>-</v>
      </c>
      <c r="EG14" s="98" t="str">
        <f t="shared" si="71"/>
        <v>-</v>
      </c>
      <c r="EH14" s="74" t="str">
        <f t="shared" si="72"/>
        <v>-</v>
      </c>
      <c r="EI14" s="74" t="str">
        <f t="shared" si="72"/>
        <v>-</v>
      </c>
      <c r="EJ14" s="100" t="str">
        <f t="shared" si="26"/>
        <v>-</v>
      </c>
      <c r="EK14" s="58" t="str">
        <f t="shared" si="73"/>
        <v>-</v>
      </c>
      <c r="EL14" s="58" t="str">
        <f t="shared" si="74"/>
        <v>-</v>
      </c>
      <c r="EM14" s="58" t="str">
        <f t="shared" si="75"/>
        <v>-</v>
      </c>
      <c r="EN14" s="58" t="str">
        <f t="shared" si="76"/>
        <v>-</v>
      </c>
      <c r="EO14" s="74"/>
      <c r="EP14" s="58"/>
      <c r="EQ14" s="74"/>
      <c r="ER14" s="98" t="str">
        <f t="shared" si="77"/>
        <v>-</v>
      </c>
      <c r="ES14" s="98" t="str">
        <f t="shared" si="78"/>
        <v>-</v>
      </c>
      <c r="ET14" s="98" t="str">
        <f t="shared" si="79"/>
        <v>-</v>
      </c>
      <c r="EU14" s="98" t="str">
        <f t="shared" si="80"/>
        <v>-</v>
      </c>
      <c r="EV14" s="74"/>
      <c r="EW14" s="74"/>
      <c r="EX14" s="74"/>
      <c r="EY14" s="74" t="str">
        <f>IF(E14=0,"-",LARGE(E6:E50,9))</f>
        <v>-</v>
      </c>
      <c r="EZ14" s="77" t="str">
        <f t="shared" si="81"/>
        <v>-</v>
      </c>
      <c r="FA14" s="77">
        <f t="shared" si="82"/>
        <v>0</v>
      </c>
      <c r="FB14" s="77" t="str">
        <f t="shared" si="83"/>
        <v>-</v>
      </c>
      <c r="FC14" s="77" t="str">
        <f>IF(FB14="-","-",SMALL(FB6:FB50,9))</f>
        <v>-</v>
      </c>
    </row>
    <row r="15" spans="1:159" s="77" customFormat="1">
      <c r="C15" s="95">
        <f>'1'!R12</f>
        <v>0</v>
      </c>
      <c r="D15" s="96">
        <f>'1'!J12</f>
        <v>0</v>
      </c>
      <c r="E15" s="96">
        <f>'1'!K12</f>
        <v>0</v>
      </c>
      <c r="F15" s="74"/>
      <c r="G15" s="74"/>
      <c r="H15" s="74"/>
      <c r="I15" s="74"/>
      <c r="J15" s="74"/>
      <c r="K15" s="74"/>
      <c r="L15" s="96">
        <f>'2'!R12</f>
        <v>0</v>
      </c>
      <c r="M15" s="77">
        <f>'2'!J12</f>
        <v>0</v>
      </c>
      <c r="N15" s="74">
        <f>'2'!K12</f>
        <v>0</v>
      </c>
      <c r="O15" s="74"/>
      <c r="P15" s="58"/>
      <c r="Q15" s="80" t="s">
        <v>20</v>
      </c>
      <c r="R15" s="29"/>
      <c r="S15" s="29"/>
      <c r="T15" s="58">
        <f>DE11</f>
        <v>1</v>
      </c>
      <c r="U15" s="74"/>
      <c r="V15" s="74"/>
      <c r="W15" s="74"/>
      <c r="X15" s="95"/>
      <c r="Y15" s="74"/>
      <c r="Z15" s="74"/>
      <c r="AA15" s="74"/>
      <c r="AB15" s="74"/>
      <c r="AC15" s="74"/>
      <c r="AD15" s="74"/>
      <c r="AE15" s="74"/>
      <c r="AF15" s="74"/>
      <c r="AG15" s="74"/>
      <c r="AH15" s="95"/>
      <c r="AI15" s="74"/>
      <c r="AJ15" s="98" t="str">
        <f t="shared" si="27"/>
        <v>-</v>
      </c>
      <c r="AK15" s="98" t="str">
        <f t="shared" si="28"/>
        <v>-</v>
      </c>
      <c r="AL15" s="98" t="str">
        <f t="shared" si="0"/>
        <v>-</v>
      </c>
      <c r="AM15" s="98" t="str">
        <f t="shared" si="29"/>
        <v>-</v>
      </c>
      <c r="AN15" s="98" t="str">
        <f t="shared" si="30"/>
        <v>-</v>
      </c>
      <c r="AO15" s="98" t="str">
        <f t="shared" si="31"/>
        <v>-</v>
      </c>
      <c r="AP15" s="98" t="str">
        <f t="shared" si="32"/>
        <v>-</v>
      </c>
      <c r="AQ15" s="98" t="str">
        <f t="shared" si="33"/>
        <v>-</v>
      </c>
      <c r="AR15" s="74"/>
      <c r="AS15" s="98"/>
      <c r="AT15" s="99" t="e">
        <f t="shared" si="84"/>
        <v>#DIV/0!</v>
      </c>
      <c r="AU15" s="99" t="e">
        <f t="shared" si="84"/>
        <v>#DIV/0!</v>
      </c>
      <c r="AV15" s="99" t="e">
        <f t="shared" si="84"/>
        <v>#DIV/0!</v>
      </c>
      <c r="AW15" s="99" t="e">
        <f t="shared" si="84"/>
        <v>#DIV/0!</v>
      </c>
      <c r="AX15" s="74" t="str">
        <f t="shared" si="35"/>
        <v>-</v>
      </c>
      <c r="AY15" s="74">
        <f t="shared" si="36"/>
        <v>0</v>
      </c>
      <c r="AZ15" s="74">
        <f t="shared" si="37"/>
        <v>0</v>
      </c>
      <c r="BA15" s="98">
        <f t="shared" si="38"/>
        <v>0</v>
      </c>
      <c r="BB15" s="74">
        <f t="shared" si="1"/>
        <v>0</v>
      </c>
      <c r="BC15" s="74">
        <f t="shared" si="2"/>
        <v>0</v>
      </c>
      <c r="BD15" s="74"/>
      <c r="BE15" s="74"/>
      <c r="BF15" s="74"/>
      <c r="BG15" s="74">
        <f t="shared" si="39"/>
        <v>0</v>
      </c>
      <c r="BH15" s="74">
        <f t="shared" si="40"/>
        <v>0</v>
      </c>
      <c r="BI15" s="98">
        <f t="shared" si="41"/>
        <v>0</v>
      </c>
      <c r="BJ15" s="74">
        <f t="shared" si="3"/>
        <v>0</v>
      </c>
      <c r="BK15" s="74">
        <f t="shared" si="4"/>
        <v>0</v>
      </c>
      <c r="BL15" s="74"/>
      <c r="BM15" s="74"/>
      <c r="BN15" s="74">
        <f t="shared" si="42"/>
        <v>0</v>
      </c>
      <c r="BO15" s="74" t="str">
        <f t="shared" si="43"/>
        <v>-</v>
      </c>
      <c r="BP15" s="98" t="str">
        <f t="shared" si="44"/>
        <v>-</v>
      </c>
      <c r="BQ15" s="98" t="str">
        <f t="shared" si="45"/>
        <v>-</v>
      </c>
      <c r="BR15" s="98" t="str">
        <f t="shared" si="5"/>
        <v>-</v>
      </c>
      <c r="BS15" s="98" t="str">
        <f t="shared" si="6"/>
        <v>-</v>
      </c>
      <c r="BT15" s="98" t="str">
        <f t="shared" si="7"/>
        <v>-</v>
      </c>
      <c r="BU15" s="98" t="str">
        <f t="shared" si="8"/>
        <v>-</v>
      </c>
      <c r="BV15" s="98" t="str">
        <f t="shared" si="9"/>
        <v>-</v>
      </c>
      <c r="BW15" s="98" t="str">
        <f t="shared" si="10"/>
        <v>-</v>
      </c>
      <c r="BX15" s="74"/>
      <c r="BY15" s="98"/>
      <c r="BZ15" s="99" t="e">
        <f t="shared" si="85"/>
        <v>#DIV/0!</v>
      </c>
      <c r="CA15" s="99" t="e">
        <f t="shared" si="85"/>
        <v>#DIV/0!</v>
      </c>
      <c r="CB15" s="99" t="e">
        <f t="shared" si="85"/>
        <v>#DIV/0!</v>
      </c>
      <c r="CC15" s="99" t="e">
        <f t="shared" si="85"/>
        <v>#DIV/0!</v>
      </c>
      <c r="CD15" s="74" t="str">
        <f t="shared" si="11"/>
        <v>-</v>
      </c>
      <c r="CE15" s="74">
        <f t="shared" si="47"/>
        <v>0</v>
      </c>
      <c r="CF15" s="74">
        <f t="shared" si="48"/>
        <v>0</v>
      </c>
      <c r="CG15" s="98">
        <f t="shared" si="49"/>
        <v>0</v>
      </c>
      <c r="CH15" s="74">
        <f t="shared" si="12"/>
        <v>0</v>
      </c>
      <c r="CI15" s="74">
        <f t="shared" si="13"/>
        <v>0</v>
      </c>
      <c r="CJ15" s="74"/>
      <c r="CK15" s="74"/>
      <c r="CL15" s="74"/>
      <c r="CM15" s="74">
        <f t="shared" si="14"/>
        <v>0</v>
      </c>
      <c r="CN15" s="74">
        <f t="shared" si="50"/>
        <v>0</v>
      </c>
      <c r="CO15" s="98">
        <f t="shared" si="51"/>
        <v>0</v>
      </c>
      <c r="CP15" s="74">
        <f t="shared" si="15"/>
        <v>0</v>
      </c>
      <c r="CQ15" s="74">
        <f t="shared" si="16"/>
        <v>0</v>
      </c>
      <c r="CR15" s="74"/>
      <c r="CS15" s="74"/>
      <c r="CT15" s="74"/>
      <c r="CU15" s="74"/>
      <c r="CV15" s="98" t="str">
        <f t="shared" si="17"/>
        <v>-</v>
      </c>
      <c r="CW15" s="95" t="str">
        <f t="shared" si="18"/>
        <v>-</v>
      </c>
      <c r="CX15" s="74" t="str">
        <f t="shared" si="52"/>
        <v>-</v>
      </c>
      <c r="CY15" s="74" t="str">
        <f t="shared" si="19"/>
        <v>-</v>
      </c>
      <c r="CZ15" s="100" t="str">
        <f t="shared" si="20"/>
        <v>-</v>
      </c>
      <c r="DA15" s="58" t="str">
        <f t="shared" si="53"/>
        <v>-</v>
      </c>
      <c r="DB15" s="58" t="str">
        <f t="shared" si="54"/>
        <v>-</v>
      </c>
      <c r="DC15" s="58" t="str">
        <f t="shared" si="55"/>
        <v>-</v>
      </c>
      <c r="DD15" s="58" t="str">
        <f t="shared" si="56"/>
        <v>-</v>
      </c>
      <c r="DE15" s="74" t="e">
        <f>DE6/DE13</f>
        <v>#DIV/0!</v>
      </c>
      <c r="DF15" s="74"/>
      <c r="DG15" s="74"/>
      <c r="DH15" s="98" t="str">
        <f t="shared" si="57"/>
        <v>-</v>
      </c>
      <c r="DI15" s="98" t="str">
        <f t="shared" si="58"/>
        <v>-</v>
      </c>
      <c r="DJ15" s="74" t="str">
        <f t="shared" si="59"/>
        <v>-</v>
      </c>
      <c r="DK15" s="74" t="str">
        <f t="shared" si="59"/>
        <v>-</v>
      </c>
      <c r="DL15" s="100" t="str">
        <f t="shared" si="22"/>
        <v>-</v>
      </c>
      <c r="DM15" s="58" t="str">
        <f t="shared" si="60"/>
        <v>-</v>
      </c>
      <c r="DN15" s="58" t="str">
        <f t="shared" si="61"/>
        <v>-</v>
      </c>
      <c r="DO15" s="58" t="str">
        <f t="shared" si="62"/>
        <v>-</v>
      </c>
      <c r="DP15" s="58" t="str">
        <f t="shared" si="63"/>
        <v>-</v>
      </c>
      <c r="DQ15" s="74" t="e">
        <f>DQ6/DQ13</f>
        <v>#DIV/0!</v>
      </c>
      <c r="DR15" s="58"/>
      <c r="DS15" s="74"/>
      <c r="DT15" s="98" t="str">
        <f t="shared" si="86"/>
        <v>-</v>
      </c>
      <c r="DU15" s="98" t="str">
        <f t="shared" si="64"/>
        <v>-</v>
      </c>
      <c r="DV15" s="74" t="str">
        <f t="shared" si="65"/>
        <v>-</v>
      </c>
      <c r="DW15" s="74" t="str">
        <f t="shared" si="65"/>
        <v>-</v>
      </c>
      <c r="DX15" s="100" t="str">
        <f t="shared" si="24"/>
        <v>-</v>
      </c>
      <c r="DY15" s="58" t="str">
        <f t="shared" si="66"/>
        <v>-</v>
      </c>
      <c r="DZ15" s="58" t="str">
        <f t="shared" si="67"/>
        <v>-</v>
      </c>
      <c r="EA15" s="58" t="str">
        <f t="shared" si="68"/>
        <v>-</v>
      </c>
      <c r="EB15" s="58" t="str">
        <f t="shared" si="69"/>
        <v>-</v>
      </c>
      <c r="EC15" s="74" t="e">
        <f>EC6/EC13</f>
        <v>#DIV/0!</v>
      </c>
      <c r="ED15" s="58"/>
      <c r="EE15" s="74"/>
      <c r="EF15" s="98" t="str">
        <f t="shared" si="70"/>
        <v>-</v>
      </c>
      <c r="EG15" s="98" t="str">
        <f t="shared" si="71"/>
        <v>-</v>
      </c>
      <c r="EH15" s="74" t="str">
        <f t="shared" si="72"/>
        <v>-</v>
      </c>
      <c r="EI15" s="74" t="str">
        <f t="shared" si="72"/>
        <v>-</v>
      </c>
      <c r="EJ15" s="100" t="str">
        <f t="shared" si="26"/>
        <v>-</v>
      </c>
      <c r="EK15" s="58" t="str">
        <f t="shared" si="73"/>
        <v>-</v>
      </c>
      <c r="EL15" s="58" t="str">
        <f t="shared" si="74"/>
        <v>-</v>
      </c>
      <c r="EM15" s="58" t="str">
        <f t="shared" si="75"/>
        <v>-</v>
      </c>
      <c r="EN15" s="58" t="str">
        <f t="shared" si="76"/>
        <v>-</v>
      </c>
      <c r="EO15" s="74" t="e">
        <f>EO6/EO13</f>
        <v>#DIV/0!</v>
      </c>
      <c r="EP15" s="58"/>
      <c r="EQ15" s="74"/>
      <c r="ER15" s="98" t="str">
        <f t="shared" si="77"/>
        <v>-</v>
      </c>
      <c r="ES15" s="98" t="str">
        <f t="shared" si="78"/>
        <v>-</v>
      </c>
      <c r="ET15" s="98" t="str">
        <f t="shared" si="79"/>
        <v>-</v>
      </c>
      <c r="EU15" s="98" t="str">
        <f t="shared" si="80"/>
        <v>-</v>
      </c>
      <c r="EV15" s="74"/>
      <c r="EW15" s="74"/>
      <c r="EX15" s="74"/>
      <c r="EY15" s="74" t="str">
        <f>IF(E15=0,"-",LARGE(E6:E50,10))</f>
        <v>-</v>
      </c>
      <c r="EZ15" s="77" t="str">
        <f t="shared" si="81"/>
        <v>-</v>
      </c>
      <c r="FA15" s="77">
        <f t="shared" si="82"/>
        <v>0</v>
      </c>
      <c r="FB15" s="77" t="str">
        <f t="shared" si="83"/>
        <v>-</v>
      </c>
      <c r="FC15" s="77" t="str">
        <f>IF(FB15="-","-",SMALL(FB6:FB50,10))</f>
        <v>-</v>
      </c>
    </row>
    <row r="16" spans="1:159" s="77" customFormat="1">
      <c r="C16" s="95">
        <f>'1'!R13</f>
        <v>0</v>
      </c>
      <c r="D16" s="96">
        <f>'1'!J13</f>
        <v>0</v>
      </c>
      <c r="E16" s="96">
        <f>'1'!K13</f>
        <v>0</v>
      </c>
      <c r="F16" s="74"/>
      <c r="G16" s="74"/>
      <c r="H16" s="74"/>
      <c r="I16" s="74"/>
      <c r="J16" s="74"/>
      <c r="K16" s="74"/>
      <c r="L16" s="96">
        <f>'2'!R13</f>
        <v>0</v>
      </c>
      <c r="M16" s="77">
        <f>'2'!J13</f>
        <v>0</v>
      </c>
      <c r="N16" s="74">
        <f>'2'!K13</f>
        <v>0</v>
      </c>
      <c r="O16" s="74"/>
      <c r="P16" s="58"/>
      <c r="Q16" s="80" t="s">
        <v>19</v>
      </c>
      <c r="R16" s="29"/>
      <c r="S16" s="29"/>
      <c r="T16" s="101" t="e">
        <f>DF6</f>
        <v>#DIV/0!</v>
      </c>
      <c r="U16" s="74"/>
      <c r="V16" s="74"/>
      <c r="W16" s="74"/>
      <c r="X16" s="95"/>
      <c r="Y16" s="74"/>
      <c r="Z16" s="74"/>
      <c r="AA16" s="74"/>
      <c r="AB16" s="74"/>
      <c r="AC16" s="74"/>
      <c r="AD16" s="74"/>
      <c r="AE16" s="74"/>
      <c r="AF16" s="74"/>
      <c r="AG16" s="74"/>
      <c r="AH16" s="95"/>
      <c r="AI16" s="74"/>
      <c r="AJ16" s="98" t="str">
        <f t="shared" si="27"/>
        <v>-</v>
      </c>
      <c r="AK16" s="98" t="str">
        <f t="shared" si="28"/>
        <v>-</v>
      </c>
      <c r="AL16" s="98" t="str">
        <f t="shared" si="0"/>
        <v>-</v>
      </c>
      <c r="AM16" s="98" t="str">
        <f t="shared" si="29"/>
        <v>-</v>
      </c>
      <c r="AN16" s="98" t="str">
        <f t="shared" si="30"/>
        <v>-</v>
      </c>
      <c r="AO16" s="98" t="str">
        <f t="shared" si="31"/>
        <v>-</v>
      </c>
      <c r="AP16" s="98" t="str">
        <f t="shared" si="32"/>
        <v>-</v>
      </c>
      <c r="AQ16" s="98" t="str">
        <f t="shared" si="33"/>
        <v>-</v>
      </c>
      <c r="AR16" s="74"/>
      <c r="AS16" s="98"/>
      <c r="AT16" s="99" t="e">
        <f t="shared" si="84"/>
        <v>#DIV/0!</v>
      </c>
      <c r="AU16" s="99" t="e">
        <f t="shared" si="84"/>
        <v>#DIV/0!</v>
      </c>
      <c r="AV16" s="99" t="e">
        <f t="shared" si="84"/>
        <v>#DIV/0!</v>
      </c>
      <c r="AW16" s="99" t="e">
        <f t="shared" si="84"/>
        <v>#DIV/0!</v>
      </c>
      <c r="AX16" s="74" t="str">
        <f t="shared" si="35"/>
        <v>-</v>
      </c>
      <c r="AY16" s="74">
        <f t="shared" si="36"/>
        <v>0</v>
      </c>
      <c r="AZ16" s="74">
        <f t="shared" si="37"/>
        <v>0</v>
      </c>
      <c r="BA16" s="98">
        <f t="shared" si="38"/>
        <v>0</v>
      </c>
      <c r="BB16" s="74">
        <f t="shared" si="1"/>
        <v>0</v>
      </c>
      <c r="BC16" s="74">
        <f t="shared" si="2"/>
        <v>0</v>
      </c>
      <c r="BD16" s="74"/>
      <c r="BE16" s="74"/>
      <c r="BF16" s="74"/>
      <c r="BG16" s="74">
        <f t="shared" si="39"/>
        <v>0</v>
      </c>
      <c r="BH16" s="74">
        <f t="shared" si="40"/>
        <v>0</v>
      </c>
      <c r="BI16" s="98">
        <f t="shared" si="41"/>
        <v>0</v>
      </c>
      <c r="BJ16" s="74">
        <f t="shared" si="3"/>
        <v>0</v>
      </c>
      <c r="BK16" s="74">
        <f t="shared" si="4"/>
        <v>0</v>
      </c>
      <c r="BL16" s="74"/>
      <c r="BM16" s="74"/>
      <c r="BN16" s="74">
        <f t="shared" si="42"/>
        <v>0</v>
      </c>
      <c r="BO16" s="74" t="str">
        <f t="shared" si="43"/>
        <v>-</v>
      </c>
      <c r="BP16" s="98" t="str">
        <f t="shared" si="44"/>
        <v>-</v>
      </c>
      <c r="BQ16" s="98" t="str">
        <f t="shared" si="45"/>
        <v>-</v>
      </c>
      <c r="BR16" s="98" t="str">
        <f t="shared" si="5"/>
        <v>-</v>
      </c>
      <c r="BS16" s="98" t="str">
        <f t="shared" si="6"/>
        <v>-</v>
      </c>
      <c r="BT16" s="98" t="str">
        <f t="shared" si="7"/>
        <v>-</v>
      </c>
      <c r="BU16" s="98" t="str">
        <f t="shared" si="8"/>
        <v>-</v>
      </c>
      <c r="BV16" s="98" t="str">
        <f t="shared" si="9"/>
        <v>-</v>
      </c>
      <c r="BW16" s="98" t="str">
        <f t="shared" si="10"/>
        <v>-</v>
      </c>
      <c r="BX16" s="74"/>
      <c r="BY16" s="98"/>
      <c r="BZ16" s="99" t="e">
        <f t="shared" si="85"/>
        <v>#DIV/0!</v>
      </c>
      <c r="CA16" s="99" t="e">
        <f t="shared" si="85"/>
        <v>#DIV/0!</v>
      </c>
      <c r="CB16" s="99" t="e">
        <f t="shared" si="85"/>
        <v>#DIV/0!</v>
      </c>
      <c r="CC16" s="99" t="e">
        <f t="shared" si="85"/>
        <v>#DIV/0!</v>
      </c>
      <c r="CD16" s="74" t="str">
        <f t="shared" si="11"/>
        <v>-</v>
      </c>
      <c r="CE16" s="74">
        <f t="shared" si="47"/>
        <v>0</v>
      </c>
      <c r="CF16" s="74">
        <f t="shared" si="48"/>
        <v>0</v>
      </c>
      <c r="CG16" s="98">
        <f t="shared" si="49"/>
        <v>0</v>
      </c>
      <c r="CH16" s="74">
        <f t="shared" si="12"/>
        <v>0</v>
      </c>
      <c r="CI16" s="74">
        <f t="shared" si="13"/>
        <v>0</v>
      </c>
      <c r="CJ16" s="74"/>
      <c r="CK16" s="74"/>
      <c r="CL16" s="74"/>
      <c r="CM16" s="74">
        <f t="shared" si="14"/>
        <v>0</v>
      </c>
      <c r="CN16" s="74">
        <f t="shared" si="50"/>
        <v>0</v>
      </c>
      <c r="CO16" s="98">
        <f t="shared" si="51"/>
        <v>0</v>
      </c>
      <c r="CP16" s="74">
        <f t="shared" si="15"/>
        <v>0</v>
      </c>
      <c r="CQ16" s="74">
        <f t="shared" si="16"/>
        <v>0</v>
      </c>
      <c r="CR16" s="74"/>
      <c r="CS16" s="74"/>
      <c r="CT16" s="74"/>
      <c r="CU16" s="74"/>
      <c r="CV16" s="98" t="str">
        <f t="shared" si="17"/>
        <v>-</v>
      </c>
      <c r="CW16" s="95" t="str">
        <f t="shared" si="18"/>
        <v>-</v>
      </c>
      <c r="CX16" s="74" t="str">
        <f t="shared" si="52"/>
        <v>-</v>
      </c>
      <c r="CY16" s="74" t="str">
        <f t="shared" si="19"/>
        <v>-</v>
      </c>
      <c r="CZ16" s="100" t="str">
        <f t="shared" si="20"/>
        <v>-</v>
      </c>
      <c r="DA16" s="58" t="str">
        <f t="shared" si="53"/>
        <v>-</v>
      </c>
      <c r="DB16" s="58" t="str">
        <f t="shared" si="54"/>
        <v>-</v>
      </c>
      <c r="DC16" s="58" t="str">
        <f t="shared" si="55"/>
        <v>-</v>
      </c>
      <c r="DD16" s="58" t="str">
        <f t="shared" si="56"/>
        <v>-</v>
      </c>
      <c r="DE16" s="74" t="e">
        <f>DE7/DE13</f>
        <v>#DIV/0!</v>
      </c>
      <c r="DF16" s="74"/>
      <c r="DG16" s="74"/>
      <c r="DH16" s="98" t="str">
        <f t="shared" si="57"/>
        <v>-</v>
      </c>
      <c r="DI16" s="98" t="str">
        <f t="shared" si="58"/>
        <v>-</v>
      </c>
      <c r="DJ16" s="74" t="str">
        <f t="shared" si="59"/>
        <v>-</v>
      </c>
      <c r="DK16" s="74" t="str">
        <f t="shared" si="59"/>
        <v>-</v>
      </c>
      <c r="DL16" s="100" t="str">
        <f t="shared" si="22"/>
        <v>-</v>
      </c>
      <c r="DM16" s="58" t="str">
        <f t="shared" si="60"/>
        <v>-</v>
      </c>
      <c r="DN16" s="58" t="str">
        <f t="shared" si="61"/>
        <v>-</v>
      </c>
      <c r="DO16" s="58" t="str">
        <f t="shared" si="62"/>
        <v>-</v>
      </c>
      <c r="DP16" s="58" t="str">
        <f t="shared" si="63"/>
        <v>-</v>
      </c>
      <c r="DQ16" s="74" t="e">
        <f>DQ7/DQ13</f>
        <v>#DIV/0!</v>
      </c>
      <c r="DR16" s="100"/>
      <c r="DS16" s="74"/>
      <c r="DT16" s="98" t="str">
        <f t="shared" si="86"/>
        <v>-</v>
      </c>
      <c r="DU16" s="98" t="str">
        <f t="shared" si="64"/>
        <v>-</v>
      </c>
      <c r="DV16" s="74" t="str">
        <f t="shared" si="65"/>
        <v>-</v>
      </c>
      <c r="DW16" s="74" t="str">
        <f t="shared" si="65"/>
        <v>-</v>
      </c>
      <c r="DX16" s="100" t="str">
        <f t="shared" si="24"/>
        <v>-</v>
      </c>
      <c r="DY16" s="58" t="str">
        <f t="shared" si="66"/>
        <v>-</v>
      </c>
      <c r="DZ16" s="58" t="str">
        <f t="shared" si="67"/>
        <v>-</v>
      </c>
      <c r="EA16" s="58" t="str">
        <f t="shared" si="68"/>
        <v>-</v>
      </c>
      <c r="EB16" s="58" t="str">
        <f t="shared" si="69"/>
        <v>-</v>
      </c>
      <c r="EC16" s="74" t="e">
        <f>EC7/EC13</f>
        <v>#DIV/0!</v>
      </c>
      <c r="ED16" s="100"/>
      <c r="EE16" s="74"/>
      <c r="EF16" s="98" t="str">
        <f t="shared" si="70"/>
        <v>-</v>
      </c>
      <c r="EG16" s="98" t="str">
        <f t="shared" si="71"/>
        <v>-</v>
      </c>
      <c r="EH16" s="74" t="str">
        <f t="shared" si="72"/>
        <v>-</v>
      </c>
      <c r="EI16" s="74" t="str">
        <f t="shared" si="72"/>
        <v>-</v>
      </c>
      <c r="EJ16" s="100" t="str">
        <f t="shared" si="26"/>
        <v>-</v>
      </c>
      <c r="EK16" s="58" t="str">
        <f t="shared" si="73"/>
        <v>-</v>
      </c>
      <c r="EL16" s="58" t="str">
        <f t="shared" si="74"/>
        <v>-</v>
      </c>
      <c r="EM16" s="58" t="str">
        <f t="shared" si="75"/>
        <v>-</v>
      </c>
      <c r="EN16" s="58" t="str">
        <f t="shared" si="76"/>
        <v>-</v>
      </c>
      <c r="EO16" s="74" t="e">
        <f>EO7/EO13</f>
        <v>#DIV/0!</v>
      </c>
      <c r="EP16" s="100"/>
      <c r="EQ16" s="74"/>
      <c r="ER16" s="98" t="str">
        <f t="shared" si="77"/>
        <v>-</v>
      </c>
      <c r="ES16" s="98" t="str">
        <f t="shared" si="78"/>
        <v>-</v>
      </c>
      <c r="ET16" s="98" t="str">
        <f t="shared" si="79"/>
        <v>-</v>
      </c>
      <c r="EU16" s="98" t="str">
        <f t="shared" si="80"/>
        <v>-</v>
      </c>
      <c r="EV16" s="74"/>
      <c r="EW16" s="74"/>
      <c r="EX16" s="74"/>
      <c r="EY16" s="74" t="str">
        <f>IF(E16=0,"-",LARGE(E6:E50,11))</f>
        <v>-</v>
      </c>
      <c r="EZ16" s="77" t="str">
        <f t="shared" si="81"/>
        <v>-</v>
      </c>
      <c r="FA16" s="77">
        <f t="shared" si="82"/>
        <v>0</v>
      </c>
      <c r="FB16" s="77" t="str">
        <f t="shared" si="83"/>
        <v>-</v>
      </c>
      <c r="FC16" s="77" t="str">
        <f>IF(FB16="-","-",SMALL(FB6:FB50,11))</f>
        <v>-</v>
      </c>
    </row>
    <row r="17" spans="1:159" s="77" customFormat="1">
      <c r="C17" s="95">
        <f>'1'!R14</f>
        <v>0</v>
      </c>
      <c r="D17" s="96">
        <f>'1'!J14</f>
        <v>0</v>
      </c>
      <c r="E17" s="96">
        <f>'1'!K14</f>
        <v>0</v>
      </c>
      <c r="F17" s="74"/>
      <c r="G17" s="74"/>
      <c r="H17" s="74"/>
      <c r="I17" s="74"/>
      <c r="J17" s="74"/>
      <c r="K17" s="74"/>
      <c r="L17" s="96">
        <f>'2'!R14</f>
        <v>0</v>
      </c>
      <c r="M17" s="77">
        <f>'2'!J14</f>
        <v>0</v>
      </c>
      <c r="N17" s="74">
        <f>'2'!K14</f>
        <v>0</v>
      </c>
      <c r="O17" s="74"/>
      <c r="P17" s="58"/>
      <c r="Q17" s="80" t="s">
        <v>30</v>
      </c>
      <c r="R17" s="29"/>
      <c r="S17" s="29"/>
      <c r="T17" s="58">
        <f>EC11</f>
        <v>1</v>
      </c>
      <c r="U17" s="74"/>
      <c r="V17" s="74"/>
      <c r="W17" s="74"/>
      <c r="X17" s="95"/>
      <c r="Y17" s="74"/>
      <c r="Z17" s="74"/>
      <c r="AA17" s="74"/>
      <c r="AB17" s="74"/>
      <c r="AC17" s="74"/>
      <c r="AD17" s="74"/>
      <c r="AE17" s="74"/>
      <c r="AF17" s="74"/>
      <c r="AG17" s="74"/>
      <c r="AH17" s="95"/>
      <c r="AI17" s="74"/>
      <c r="AJ17" s="98" t="str">
        <f t="shared" si="27"/>
        <v>-</v>
      </c>
      <c r="AK17" s="98" t="str">
        <f t="shared" si="28"/>
        <v>-</v>
      </c>
      <c r="AL17" s="98" t="str">
        <f t="shared" si="0"/>
        <v>-</v>
      </c>
      <c r="AM17" s="98" t="str">
        <f t="shared" si="29"/>
        <v>-</v>
      </c>
      <c r="AN17" s="98" t="str">
        <f t="shared" si="30"/>
        <v>-</v>
      </c>
      <c r="AO17" s="98" t="str">
        <f t="shared" si="31"/>
        <v>-</v>
      </c>
      <c r="AP17" s="98" t="str">
        <f t="shared" si="32"/>
        <v>-</v>
      </c>
      <c r="AQ17" s="98" t="str">
        <f t="shared" si="33"/>
        <v>-</v>
      </c>
      <c r="AR17" s="74"/>
      <c r="AS17" s="98"/>
      <c r="AT17" s="99" t="e">
        <f t="shared" si="84"/>
        <v>#DIV/0!</v>
      </c>
      <c r="AU17" s="99" t="e">
        <f t="shared" si="84"/>
        <v>#DIV/0!</v>
      </c>
      <c r="AV17" s="99" t="e">
        <f t="shared" si="84"/>
        <v>#DIV/0!</v>
      </c>
      <c r="AW17" s="99" t="e">
        <f t="shared" si="84"/>
        <v>#DIV/0!</v>
      </c>
      <c r="AX17" s="74" t="str">
        <f t="shared" si="35"/>
        <v>-</v>
      </c>
      <c r="AY17" s="74">
        <f t="shared" si="36"/>
        <v>0</v>
      </c>
      <c r="AZ17" s="74">
        <f t="shared" si="37"/>
        <v>0</v>
      </c>
      <c r="BA17" s="98">
        <f t="shared" si="38"/>
        <v>0</v>
      </c>
      <c r="BB17" s="74">
        <f t="shared" si="1"/>
        <v>0</v>
      </c>
      <c r="BC17" s="74">
        <f t="shared" si="2"/>
        <v>0</v>
      </c>
      <c r="BD17" s="74"/>
      <c r="BE17" s="74"/>
      <c r="BF17" s="74"/>
      <c r="BG17" s="74">
        <f t="shared" si="39"/>
        <v>0</v>
      </c>
      <c r="BH17" s="74">
        <f t="shared" si="40"/>
        <v>0</v>
      </c>
      <c r="BI17" s="98">
        <f t="shared" si="41"/>
        <v>0</v>
      </c>
      <c r="BJ17" s="74">
        <f t="shared" si="3"/>
        <v>0</v>
      </c>
      <c r="BK17" s="74">
        <f t="shared" si="4"/>
        <v>0</v>
      </c>
      <c r="BL17" s="74"/>
      <c r="BM17" s="74"/>
      <c r="BN17" s="74">
        <f t="shared" si="42"/>
        <v>0</v>
      </c>
      <c r="BO17" s="74" t="str">
        <f t="shared" si="43"/>
        <v>-</v>
      </c>
      <c r="BP17" s="98" t="str">
        <f t="shared" si="44"/>
        <v>-</v>
      </c>
      <c r="BQ17" s="98" t="str">
        <f t="shared" si="45"/>
        <v>-</v>
      </c>
      <c r="BR17" s="98" t="str">
        <f t="shared" si="5"/>
        <v>-</v>
      </c>
      <c r="BS17" s="98" t="str">
        <f t="shared" si="6"/>
        <v>-</v>
      </c>
      <c r="BT17" s="98" t="str">
        <f t="shared" si="7"/>
        <v>-</v>
      </c>
      <c r="BU17" s="98" t="str">
        <f t="shared" si="8"/>
        <v>-</v>
      </c>
      <c r="BV17" s="98" t="str">
        <f t="shared" si="9"/>
        <v>-</v>
      </c>
      <c r="BW17" s="98" t="str">
        <f t="shared" si="10"/>
        <v>-</v>
      </c>
      <c r="BX17" s="74"/>
      <c r="BY17" s="98"/>
      <c r="BZ17" s="99" t="e">
        <f t="shared" si="85"/>
        <v>#DIV/0!</v>
      </c>
      <c r="CA17" s="99" t="e">
        <f t="shared" si="85"/>
        <v>#DIV/0!</v>
      </c>
      <c r="CB17" s="99" t="e">
        <f t="shared" si="85"/>
        <v>#DIV/0!</v>
      </c>
      <c r="CC17" s="99" t="e">
        <f t="shared" si="85"/>
        <v>#DIV/0!</v>
      </c>
      <c r="CD17" s="74" t="str">
        <f t="shared" si="11"/>
        <v>-</v>
      </c>
      <c r="CE17" s="74">
        <f t="shared" si="47"/>
        <v>0</v>
      </c>
      <c r="CF17" s="74">
        <f t="shared" si="48"/>
        <v>0</v>
      </c>
      <c r="CG17" s="98">
        <f t="shared" si="49"/>
        <v>0</v>
      </c>
      <c r="CH17" s="74">
        <f t="shared" si="12"/>
        <v>0</v>
      </c>
      <c r="CI17" s="74">
        <f t="shared" si="13"/>
        <v>0</v>
      </c>
      <c r="CJ17" s="74"/>
      <c r="CK17" s="74"/>
      <c r="CL17" s="74"/>
      <c r="CM17" s="74">
        <f t="shared" si="14"/>
        <v>0</v>
      </c>
      <c r="CN17" s="74">
        <f t="shared" si="50"/>
        <v>0</v>
      </c>
      <c r="CO17" s="98">
        <f t="shared" si="51"/>
        <v>0</v>
      </c>
      <c r="CP17" s="74">
        <f t="shared" si="15"/>
        <v>0</v>
      </c>
      <c r="CQ17" s="74">
        <f t="shared" si="16"/>
        <v>0</v>
      </c>
      <c r="CR17" s="74"/>
      <c r="CS17" s="74"/>
      <c r="CT17" s="74"/>
      <c r="CU17" s="74"/>
      <c r="CV17" s="98" t="str">
        <f t="shared" si="17"/>
        <v>-</v>
      </c>
      <c r="CW17" s="95" t="str">
        <f t="shared" si="18"/>
        <v>-</v>
      </c>
      <c r="CX17" s="74" t="str">
        <f t="shared" si="52"/>
        <v>-</v>
      </c>
      <c r="CY17" s="74" t="str">
        <f t="shared" si="19"/>
        <v>-</v>
      </c>
      <c r="CZ17" s="100" t="str">
        <f t="shared" si="20"/>
        <v>-</v>
      </c>
      <c r="DA17" s="58" t="str">
        <f t="shared" si="53"/>
        <v>-</v>
      </c>
      <c r="DB17" s="58" t="str">
        <f t="shared" si="54"/>
        <v>-</v>
      </c>
      <c r="DC17" s="58" t="str">
        <f t="shared" si="55"/>
        <v>-</v>
      </c>
      <c r="DD17" s="58" t="str">
        <f t="shared" si="56"/>
        <v>-</v>
      </c>
      <c r="DE17" s="74" t="e">
        <f>DE8/DE13</f>
        <v>#DIV/0!</v>
      </c>
      <c r="DF17" s="74"/>
      <c r="DG17" s="74"/>
      <c r="DH17" s="98" t="str">
        <f t="shared" si="57"/>
        <v>-</v>
      </c>
      <c r="DI17" s="98" t="str">
        <f t="shared" si="58"/>
        <v>-</v>
      </c>
      <c r="DJ17" s="74" t="str">
        <f t="shared" si="59"/>
        <v>-</v>
      </c>
      <c r="DK17" s="74" t="str">
        <f t="shared" si="59"/>
        <v>-</v>
      </c>
      <c r="DL17" s="100" t="str">
        <f t="shared" si="22"/>
        <v>-</v>
      </c>
      <c r="DM17" s="58" t="str">
        <f t="shared" si="60"/>
        <v>-</v>
      </c>
      <c r="DN17" s="58" t="str">
        <f t="shared" si="61"/>
        <v>-</v>
      </c>
      <c r="DO17" s="58" t="str">
        <f t="shared" si="62"/>
        <v>-</v>
      </c>
      <c r="DP17" s="58" t="str">
        <f t="shared" si="63"/>
        <v>-</v>
      </c>
      <c r="DQ17" s="74" t="e">
        <f>DQ8/DQ13</f>
        <v>#DIV/0!</v>
      </c>
      <c r="DR17" s="100"/>
      <c r="DS17" s="74"/>
      <c r="DT17" s="98" t="str">
        <f t="shared" si="86"/>
        <v>-</v>
      </c>
      <c r="DU17" s="98" t="str">
        <f t="shared" si="64"/>
        <v>-</v>
      </c>
      <c r="DV17" s="74" t="str">
        <f t="shared" si="65"/>
        <v>-</v>
      </c>
      <c r="DW17" s="74" t="str">
        <f t="shared" si="65"/>
        <v>-</v>
      </c>
      <c r="DX17" s="100" t="str">
        <f t="shared" si="24"/>
        <v>-</v>
      </c>
      <c r="DY17" s="58" t="str">
        <f t="shared" si="66"/>
        <v>-</v>
      </c>
      <c r="DZ17" s="58" t="str">
        <f t="shared" si="67"/>
        <v>-</v>
      </c>
      <c r="EA17" s="58" t="str">
        <f t="shared" si="68"/>
        <v>-</v>
      </c>
      <c r="EB17" s="58" t="str">
        <f t="shared" si="69"/>
        <v>-</v>
      </c>
      <c r="EC17" s="74" t="e">
        <f>EC8/EC13</f>
        <v>#DIV/0!</v>
      </c>
      <c r="ED17" s="100"/>
      <c r="EE17" s="74"/>
      <c r="EF17" s="98" t="str">
        <f t="shared" si="70"/>
        <v>-</v>
      </c>
      <c r="EG17" s="98" t="str">
        <f t="shared" si="71"/>
        <v>-</v>
      </c>
      <c r="EH17" s="74" t="str">
        <f t="shared" si="72"/>
        <v>-</v>
      </c>
      <c r="EI17" s="74" t="str">
        <f t="shared" si="72"/>
        <v>-</v>
      </c>
      <c r="EJ17" s="100" t="str">
        <f t="shared" si="26"/>
        <v>-</v>
      </c>
      <c r="EK17" s="58" t="str">
        <f t="shared" si="73"/>
        <v>-</v>
      </c>
      <c r="EL17" s="58" t="str">
        <f t="shared" si="74"/>
        <v>-</v>
      </c>
      <c r="EM17" s="58" t="str">
        <f t="shared" si="75"/>
        <v>-</v>
      </c>
      <c r="EN17" s="58" t="str">
        <f t="shared" si="76"/>
        <v>-</v>
      </c>
      <c r="EO17" s="74" t="e">
        <f>EO8/EO13</f>
        <v>#DIV/0!</v>
      </c>
      <c r="EP17" s="100"/>
      <c r="EQ17" s="74"/>
      <c r="ER17" s="98" t="str">
        <f t="shared" si="77"/>
        <v>-</v>
      </c>
      <c r="ES17" s="98" t="str">
        <f t="shared" si="78"/>
        <v>-</v>
      </c>
      <c r="ET17" s="98" t="str">
        <f t="shared" si="79"/>
        <v>-</v>
      </c>
      <c r="EU17" s="98" t="str">
        <f t="shared" si="80"/>
        <v>-</v>
      </c>
      <c r="EV17" s="74"/>
      <c r="EW17" s="74"/>
      <c r="EX17" s="74"/>
      <c r="EY17" s="74" t="str">
        <f>IF(E17=0,"-",LARGE(E6:E50,12))</f>
        <v>-</v>
      </c>
      <c r="EZ17" s="77" t="str">
        <f t="shared" si="81"/>
        <v>-</v>
      </c>
      <c r="FA17" s="77">
        <f t="shared" si="82"/>
        <v>0</v>
      </c>
      <c r="FB17" s="77" t="str">
        <f t="shared" si="83"/>
        <v>-</v>
      </c>
      <c r="FC17" s="77" t="str">
        <f>IF(FB17="-","-",SMALL(FB6:FB50,12))</f>
        <v>-</v>
      </c>
    </row>
    <row r="18" spans="1:159" s="77" customFormat="1">
      <c r="C18" s="95">
        <f>'1'!R15</f>
        <v>0</v>
      </c>
      <c r="D18" s="96">
        <f>'1'!J15</f>
        <v>0</v>
      </c>
      <c r="E18" s="96">
        <f>'1'!K15</f>
        <v>0</v>
      </c>
      <c r="F18" s="74"/>
      <c r="G18" s="74"/>
      <c r="H18" s="74"/>
      <c r="I18" s="74"/>
      <c r="J18" s="74"/>
      <c r="K18" s="74"/>
      <c r="L18" s="96">
        <f>'2'!R15</f>
        <v>0</v>
      </c>
      <c r="M18" s="77">
        <f>'2'!J15</f>
        <v>0</v>
      </c>
      <c r="N18" s="74">
        <f>'2'!K15</f>
        <v>0</v>
      </c>
      <c r="O18" s="74"/>
      <c r="P18" s="58"/>
      <c r="Q18" s="80" t="s">
        <v>31</v>
      </c>
      <c r="R18" s="29"/>
      <c r="S18" s="29"/>
      <c r="T18" s="101" t="e">
        <f>ED6</f>
        <v>#DIV/0!</v>
      </c>
      <c r="U18" s="74"/>
      <c r="V18" s="74"/>
      <c r="W18" s="74"/>
      <c r="X18" s="95"/>
      <c r="Y18" s="74"/>
      <c r="Z18" s="74"/>
      <c r="AA18" s="74"/>
      <c r="AB18" s="74"/>
      <c r="AC18" s="74"/>
      <c r="AD18" s="74"/>
      <c r="AE18" s="74"/>
      <c r="AF18" s="74"/>
      <c r="AG18" s="74"/>
      <c r="AH18" s="95"/>
      <c r="AI18" s="74"/>
      <c r="AJ18" s="98" t="str">
        <f t="shared" si="27"/>
        <v>-</v>
      </c>
      <c r="AK18" s="98" t="str">
        <f t="shared" si="28"/>
        <v>-</v>
      </c>
      <c r="AL18" s="98" t="str">
        <f t="shared" si="0"/>
        <v>-</v>
      </c>
      <c r="AM18" s="98" t="str">
        <f t="shared" si="29"/>
        <v>-</v>
      </c>
      <c r="AN18" s="98" t="str">
        <f t="shared" si="30"/>
        <v>-</v>
      </c>
      <c r="AO18" s="98" t="str">
        <f t="shared" si="31"/>
        <v>-</v>
      </c>
      <c r="AP18" s="98" t="str">
        <f t="shared" si="32"/>
        <v>-</v>
      </c>
      <c r="AQ18" s="98" t="str">
        <f t="shared" si="33"/>
        <v>-</v>
      </c>
      <c r="AR18" s="74"/>
      <c r="AS18" s="98"/>
      <c r="AT18" s="99" t="e">
        <f t="shared" si="84"/>
        <v>#DIV/0!</v>
      </c>
      <c r="AU18" s="99" t="e">
        <f t="shared" si="84"/>
        <v>#DIV/0!</v>
      </c>
      <c r="AV18" s="99" t="e">
        <f t="shared" si="84"/>
        <v>#DIV/0!</v>
      </c>
      <c r="AW18" s="99" t="e">
        <f t="shared" si="84"/>
        <v>#DIV/0!</v>
      </c>
      <c r="AX18" s="74" t="str">
        <f t="shared" si="35"/>
        <v>-</v>
      </c>
      <c r="AY18" s="74">
        <f t="shared" si="36"/>
        <v>0</v>
      </c>
      <c r="AZ18" s="74">
        <f t="shared" si="37"/>
        <v>0</v>
      </c>
      <c r="BA18" s="98">
        <f t="shared" si="38"/>
        <v>0</v>
      </c>
      <c r="BB18" s="74">
        <f t="shared" si="1"/>
        <v>0</v>
      </c>
      <c r="BC18" s="74">
        <f t="shared" si="2"/>
        <v>0</v>
      </c>
      <c r="BD18" s="74"/>
      <c r="BE18" s="74"/>
      <c r="BF18" s="74"/>
      <c r="BG18" s="74">
        <f t="shared" si="39"/>
        <v>0</v>
      </c>
      <c r="BH18" s="74">
        <f t="shared" si="40"/>
        <v>0</v>
      </c>
      <c r="BI18" s="98">
        <f t="shared" si="41"/>
        <v>0</v>
      </c>
      <c r="BJ18" s="74">
        <f t="shared" si="3"/>
        <v>0</v>
      </c>
      <c r="BK18" s="74">
        <f t="shared" si="4"/>
        <v>0</v>
      </c>
      <c r="BL18" s="74"/>
      <c r="BM18" s="74"/>
      <c r="BN18" s="74">
        <f t="shared" si="42"/>
        <v>0</v>
      </c>
      <c r="BO18" s="74" t="str">
        <f t="shared" si="43"/>
        <v>-</v>
      </c>
      <c r="BP18" s="98" t="str">
        <f t="shared" si="44"/>
        <v>-</v>
      </c>
      <c r="BQ18" s="98" t="str">
        <f t="shared" si="45"/>
        <v>-</v>
      </c>
      <c r="BR18" s="98" t="str">
        <f t="shared" si="5"/>
        <v>-</v>
      </c>
      <c r="BS18" s="98" t="str">
        <f t="shared" si="6"/>
        <v>-</v>
      </c>
      <c r="BT18" s="98" t="str">
        <f t="shared" si="7"/>
        <v>-</v>
      </c>
      <c r="BU18" s="98" t="str">
        <f t="shared" si="8"/>
        <v>-</v>
      </c>
      <c r="BV18" s="98" t="str">
        <f t="shared" si="9"/>
        <v>-</v>
      </c>
      <c r="BW18" s="98" t="str">
        <f t="shared" si="10"/>
        <v>-</v>
      </c>
      <c r="BX18" s="74"/>
      <c r="BY18" s="98"/>
      <c r="BZ18" s="99" t="e">
        <f t="shared" si="85"/>
        <v>#DIV/0!</v>
      </c>
      <c r="CA18" s="99" t="e">
        <f t="shared" si="85"/>
        <v>#DIV/0!</v>
      </c>
      <c r="CB18" s="99" t="e">
        <f t="shared" si="85"/>
        <v>#DIV/0!</v>
      </c>
      <c r="CC18" s="99" t="e">
        <f t="shared" si="85"/>
        <v>#DIV/0!</v>
      </c>
      <c r="CD18" s="74" t="str">
        <f t="shared" si="11"/>
        <v>-</v>
      </c>
      <c r="CE18" s="74">
        <f t="shared" si="47"/>
        <v>0</v>
      </c>
      <c r="CF18" s="74">
        <f t="shared" si="48"/>
        <v>0</v>
      </c>
      <c r="CG18" s="98">
        <f t="shared" si="49"/>
        <v>0</v>
      </c>
      <c r="CH18" s="74">
        <f t="shared" si="12"/>
        <v>0</v>
      </c>
      <c r="CI18" s="74">
        <f t="shared" si="13"/>
        <v>0</v>
      </c>
      <c r="CJ18" s="74"/>
      <c r="CK18" s="74"/>
      <c r="CL18" s="74"/>
      <c r="CM18" s="74">
        <f t="shared" si="14"/>
        <v>0</v>
      </c>
      <c r="CN18" s="74">
        <f t="shared" si="50"/>
        <v>0</v>
      </c>
      <c r="CO18" s="98">
        <f t="shared" si="51"/>
        <v>0</v>
      </c>
      <c r="CP18" s="74">
        <f t="shared" si="15"/>
        <v>0</v>
      </c>
      <c r="CQ18" s="74">
        <f t="shared" si="16"/>
        <v>0</v>
      </c>
      <c r="CR18" s="74"/>
      <c r="CS18" s="74"/>
      <c r="CT18" s="74"/>
      <c r="CU18" s="74"/>
      <c r="CV18" s="98" t="str">
        <f t="shared" si="17"/>
        <v>-</v>
      </c>
      <c r="CW18" s="95" t="str">
        <f t="shared" si="18"/>
        <v>-</v>
      </c>
      <c r="CX18" s="74" t="str">
        <f t="shared" si="52"/>
        <v>-</v>
      </c>
      <c r="CY18" s="74" t="str">
        <f t="shared" si="19"/>
        <v>-</v>
      </c>
      <c r="CZ18" s="100" t="str">
        <f t="shared" si="20"/>
        <v>-</v>
      </c>
      <c r="DA18" s="58" t="str">
        <f t="shared" si="53"/>
        <v>-</v>
      </c>
      <c r="DB18" s="58" t="str">
        <f t="shared" si="54"/>
        <v>-</v>
      </c>
      <c r="DC18" s="58" t="str">
        <f t="shared" si="55"/>
        <v>-</v>
      </c>
      <c r="DD18" s="58" t="str">
        <f t="shared" si="56"/>
        <v>-</v>
      </c>
      <c r="DE18" s="74" t="e">
        <f>DE9/DE13</f>
        <v>#DIV/0!</v>
      </c>
      <c r="DF18" s="74"/>
      <c r="DG18" s="74"/>
      <c r="DH18" s="98" t="str">
        <f t="shared" si="57"/>
        <v>-</v>
      </c>
      <c r="DI18" s="98" t="str">
        <f t="shared" si="58"/>
        <v>-</v>
      </c>
      <c r="DJ18" s="74" t="str">
        <f t="shared" si="59"/>
        <v>-</v>
      </c>
      <c r="DK18" s="74" t="str">
        <f t="shared" si="59"/>
        <v>-</v>
      </c>
      <c r="DL18" s="100" t="str">
        <f t="shared" si="22"/>
        <v>-</v>
      </c>
      <c r="DM18" s="58" t="str">
        <f t="shared" si="60"/>
        <v>-</v>
      </c>
      <c r="DN18" s="58" t="str">
        <f t="shared" si="61"/>
        <v>-</v>
      </c>
      <c r="DO18" s="58" t="str">
        <f t="shared" si="62"/>
        <v>-</v>
      </c>
      <c r="DP18" s="58" t="str">
        <f t="shared" si="63"/>
        <v>-</v>
      </c>
      <c r="DQ18" s="74" t="e">
        <f>DQ9/DQ13</f>
        <v>#DIV/0!</v>
      </c>
      <c r="DR18" s="100"/>
      <c r="DS18" s="74"/>
      <c r="DT18" s="98" t="str">
        <f t="shared" si="86"/>
        <v>-</v>
      </c>
      <c r="DU18" s="98" t="str">
        <f t="shared" si="64"/>
        <v>-</v>
      </c>
      <c r="DV18" s="74" t="str">
        <f t="shared" si="65"/>
        <v>-</v>
      </c>
      <c r="DW18" s="74" t="str">
        <f t="shared" si="65"/>
        <v>-</v>
      </c>
      <c r="DX18" s="100" t="str">
        <f t="shared" si="24"/>
        <v>-</v>
      </c>
      <c r="DY18" s="58" t="str">
        <f t="shared" si="66"/>
        <v>-</v>
      </c>
      <c r="DZ18" s="58" t="str">
        <f t="shared" si="67"/>
        <v>-</v>
      </c>
      <c r="EA18" s="58" t="str">
        <f t="shared" si="68"/>
        <v>-</v>
      </c>
      <c r="EB18" s="58" t="str">
        <f t="shared" si="69"/>
        <v>-</v>
      </c>
      <c r="EC18" s="74" t="e">
        <f>EC9/EC13</f>
        <v>#DIV/0!</v>
      </c>
      <c r="ED18" s="100"/>
      <c r="EE18" s="74"/>
      <c r="EF18" s="98" t="str">
        <f t="shared" si="70"/>
        <v>-</v>
      </c>
      <c r="EG18" s="98" t="str">
        <f t="shared" si="71"/>
        <v>-</v>
      </c>
      <c r="EH18" s="74" t="str">
        <f t="shared" si="72"/>
        <v>-</v>
      </c>
      <c r="EI18" s="74" t="str">
        <f t="shared" si="72"/>
        <v>-</v>
      </c>
      <c r="EJ18" s="100" t="str">
        <f t="shared" si="26"/>
        <v>-</v>
      </c>
      <c r="EK18" s="58" t="str">
        <f t="shared" si="73"/>
        <v>-</v>
      </c>
      <c r="EL18" s="58" t="str">
        <f t="shared" si="74"/>
        <v>-</v>
      </c>
      <c r="EM18" s="58" t="str">
        <f t="shared" si="75"/>
        <v>-</v>
      </c>
      <c r="EN18" s="58" t="str">
        <f t="shared" si="76"/>
        <v>-</v>
      </c>
      <c r="EO18" s="74" t="e">
        <f>EO9/EO13</f>
        <v>#DIV/0!</v>
      </c>
      <c r="EP18" s="100"/>
      <c r="EQ18" s="74"/>
      <c r="ER18" s="98" t="str">
        <f t="shared" si="77"/>
        <v>-</v>
      </c>
      <c r="ES18" s="98" t="str">
        <f t="shared" si="78"/>
        <v>-</v>
      </c>
      <c r="ET18" s="98" t="str">
        <f t="shared" si="79"/>
        <v>-</v>
      </c>
      <c r="EU18" s="98" t="str">
        <f t="shared" si="80"/>
        <v>-</v>
      </c>
      <c r="EV18" s="74"/>
      <c r="EW18" s="74"/>
      <c r="EX18" s="74"/>
      <c r="EY18" s="74" t="str">
        <f>IF(E18=0,"-",LARGE(E6:E50,13))</f>
        <v>-</v>
      </c>
      <c r="EZ18" s="77" t="str">
        <f t="shared" si="81"/>
        <v>-</v>
      </c>
      <c r="FA18" s="77">
        <f t="shared" si="82"/>
        <v>0</v>
      </c>
      <c r="FB18" s="77" t="str">
        <f t="shared" si="83"/>
        <v>-</v>
      </c>
      <c r="FC18" s="77" t="str">
        <f>IF(FB18="-","-",SMALL(FB6:FB50,13))</f>
        <v>-</v>
      </c>
    </row>
    <row r="19" spans="1:159" s="77" customFormat="1">
      <c r="C19" s="95">
        <f>'1'!R16</f>
        <v>0</v>
      </c>
      <c r="D19" s="96">
        <f>'1'!J16</f>
        <v>0</v>
      </c>
      <c r="E19" s="96">
        <f>'1'!K16</f>
        <v>0</v>
      </c>
      <c r="F19" s="74"/>
      <c r="G19" s="74"/>
      <c r="H19" s="74"/>
      <c r="I19" s="74"/>
      <c r="J19" s="74"/>
      <c r="K19" s="74"/>
      <c r="L19" s="96">
        <f>'2'!R16</f>
        <v>0</v>
      </c>
      <c r="M19" s="77">
        <f>'2'!J16</f>
        <v>0</v>
      </c>
      <c r="N19" s="74">
        <f>'2'!K16</f>
        <v>0</v>
      </c>
      <c r="O19" s="74"/>
      <c r="P19" s="58" t="s">
        <v>4</v>
      </c>
      <c r="Q19" s="58" t="s">
        <v>21</v>
      </c>
      <c r="R19" s="102" t="e">
        <f>AVERAGE(AO6:AO35)</f>
        <v>#DIV/0!</v>
      </c>
      <c r="S19" s="97" t="e">
        <f>AVERAGE(BU6:BU35)</f>
        <v>#DIV/0!</v>
      </c>
      <c r="T19" s="97" t="e">
        <f>AVERAGE(ES6:ES35)</f>
        <v>#DIV/0!</v>
      </c>
      <c r="U19" s="74"/>
      <c r="V19" s="74"/>
      <c r="W19" s="74"/>
      <c r="X19" s="95"/>
      <c r="Y19" s="74"/>
      <c r="Z19" s="74"/>
      <c r="AA19" s="74"/>
      <c r="AB19" s="74"/>
      <c r="AC19" s="74"/>
      <c r="AD19" s="74"/>
      <c r="AE19" s="74"/>
      <c r="AF19" s="74"/>
      <c r="AG19" s="74"/>
      <c r="AH19" s="95"/>
      <c r="AI19" s="74"/>
      <c r="AJ19" s="98" t="str">
        <f t="shared" si="27"/>
        <v>-</v>
      </c>
      <c r="AK19" s="98" t="str">
        <f t="shared" si="28"/>
        <v>-</v>
      </c>
      <c r="AL19" s="98" t="str">
        <f t="shared" si="0"/>
        <v>-</v>
      </c>
      <c r="AM19" s="98" t="str">
        <f t="shared" si="29"/>
        <v>-</v>
      </c>
      <c r="AN19" s="98" t="str">
        <f t="shared" si="30"/>
        <v>-</v>
      </c>
      <c r="AO19" s="98" t="str">
        <f t="shared" si="31"/>
        <v>-</v>
      </c>
      <c r="AP19" s="98" t="str">
        <f t="shared" si="32"/>
        <v>-</v>
      </c>
      <c r="AQ19" s="98" t="str">
        <f t="shared" si="33"/>
        <v>-</v>
      </c>
      <c r="AR19" s="74"/>
      <c r="AS19" s="98"/>
      <c r="AT19" s="99" t="e">
        <f t="shared" si="84"/>
        <v>#DIV/0!</v>
      </c>
      <c r="AU19" s="99" t="e">
        <f t="shared" si="84"/>
        <v>#DIV/0!</v>
      </c>
      <c r="AV19" s="99" t="e">
        <f t="shared" si="84"/>
        <v>#DIV/0!</v>
      </c>
      <c r="AW19" s="99" t="e">
        <f t="shared" si="84"/>
        <v>#DIV/0!</v>
      </c>
      <c r="AX19" s="74" t="str">
        <f t="shared" si="35"/>
        <v>-</v>
      </c>
      <c r="AY19" s="74">
        <f t="shared" si="36"/>
        <v>0</v>
      </c>
      <c r="AZ19" s="74">
        <f t="shared" si="37"/>
        <v>0</v>
      </c>
      <c r="BA19" s="98">
        <f t="shared" si="38"/>
        <v>0</v>
      </c>
      <c r="BB19" s="74">
        <f t="shared" si="1"/>
        <v>0</v>
      </c>
      <c r="BC19" s="74">
        <f t="shared" si="2"/>
        <v>0</v>
      </c>
      <c r="BD19" s="74"/>
      <c r="BE19" s="74"/>
      <c r="BF19" s="74"/>
      <c r="BG19" s="74">
        <f t="shared" si="39"/>
        <v>0</v>
      </c>
      <c r="BH19" s="74">
        <f t="shared" si="40"/>
        <v>0</v>
      </c>
      <c r="BI19" s="98">
        <f t="shared" si="41"/>
        <v>0</v>
      </c>
      <c r="BJ19" s="74">
        <f t="shared" si="3"/>
        <v>0</v>
      </c>
      <c r="BK19" s="74">
        <f t="shared" si="4"/>
        <v>0</v>
      </c>
      <c r="BL19" s="74"/>
      <c r="BM19" s="74"/>
      <c r="BN19" s="74">
        <f t="shared" si="42"/>
        <v>0</v>
      </c>
      <c r="BO19" s="74" t="str">
        <f t="shared" si="43"/>
        <v>-</v>
      </c>
      <c r="BP19" s="98" t="str">
        <f t="shared" si="44"/>
        <v>-</v>
      </c>
      <c r="BQ19" s="98" t="str">
        <f t="shared" si="45"/>
        <v>-</v>
      </c>
      <c r="BR19" s="98" t="str">
        <f t="shared" si="5"/>
        <v>-</v>
      </c>
      <c r="BS19" s="98" t="str">
        <f t="shared" si="6"/>
        <v>-</v>
      </c>
      <c r="BT19" s="98" t="str">
        <f t="shared" si="7"/>
        <v>-</v>
      </c>
      <c r="BU19" s="98" t="str">
        <f t="shared" si="8"/>
        <v>-</v>
      </c>
      <c r="BV19" s="98" t="str">
        <f t="shared" si="9"/>
        <v>-</v>
      </c>
      <c r="BW19" s="98" t="str">
        <f t="shared" si="10"/>
        <v>-</v>
      </c>
      <c r="BX19" s="74"/>
      <c r="BY19" s="98"/>
      <c r="BZ19" s="99" t="e">
        <f t="shared" si="85"/>
        <v>#DIV/0!</v>
      </c>
      <c r="CA19" s="99" t="e">
        <f t="shared" si="85"/>
        <v>#DIV/0!</v>
      </c>
      <c r="CB19" s="99" t="e">
        <f t="shared" si="85"/>
        <v>#DIV/0!</v>
      </c>
      <c r="CC19" s="99" t="e">
        <f t="shared" si="85"/>
        <v>#DIV/0!</v>
      </c>
      <c r="CD19" s="74" t="str">
        <f t="shared" si="11"/>
        <v>-</v>
      </c>
      <c r="CE19" s="74">
        <f t="shared" si="47"/>
        <v>0</v>
      </c>
      <c r="CF19" s="74">
        <f t="shared" si="48"/>
        <v>0</v>
      </c>
      <c r="CG19" s="98">
        <f t="shared" si="49"/>
        <v>0</v>
      </c>
      <c r="CH19" s="74">
        <f t="shared" si="12"/>
        <v>0</v>
      </c>
      <c r="CI19" s="74">
        <f t="shared" si="13"/>
        <v>0</v>
      </c>
      <c r="CJ19" s="74"/>
      <c r="CK19" s="74"/>
      <c r="CL19" s="74"/>
      <c r="CM19" s="74">
        <f t="shared" si="14"/>
        <v>0</v>
      </c>
      <c r="CN19" s="74">
        <f t="shared" si="50"/>
        <v>0</v>
      </c>
      <c r="CO19" s="98">
        <f t="shared" si="51"/>
        <v>0</v>
      </c>
      <c r="CP19" s="74">
        <f t="shared" si="15"/>
        <v>0</v>
      </c>
      <c r="CQ19" s="74">
        <f t="shared" si="16"/>
        <v>0</v>
      </c>
      <c r="CR19" s="74"/>
      <c r="CS19" s="74"/>
      <c r="CT19" s="74"/>
      <c r="CU19" s="74"/>
      <c r="CV19" s="98" t="str">
        <f t="shared" si="17"/>
        <v>-</v>
      </c>
      <c r="CW19" s="95" t="str">
        <f t="shared" si="18"/>
        <v>-</v>
      </c>
      <c r="CX19" s="74" t="str">
        <f t="shared" si="52"/>
        <v>-</v>
      </c>
      <c r="CY19" s="74" t="str">
        <f t="shared" si="19"/>
        <v>-</v>
      </c>
      <c r="CZ19" s="100" t="str">
        <f t="shared" si="20"/>
        <v>-</v>
      </c>
      <c r="DA19" s="58" t="str">
        <f t="shared" si="53"/>
        <v>-</v>
      </c>
      <c r="DB19" s="58" t="str">
        <f t="shared" si="54"/>
        <v>-</v>
      </c>
      <c r="DC19" s="58" t="str">
        <f t="shared" si="55"/>
        <v>-</v>
      </c>
      <c r="DD19" s="58" t="str">
        <f t="shared" si="56"/>
        <v>-</v>
      </c>
      <c r="DE19" s="74"/>
      <c r="DF19" s="74"/>
      <c r="DG19" s="74"/>
      <c r="DH19" s="98" t="str">
        <f t="shared" si="57"/>
        <v>-</v>
      </c>
      <c r="DI19" s="98" t="str">
        <f t="shared" si="58"/>
        <v>-</v>
      </c>
      <c r="DJ19" s="74" t="str">
        <f t="shared" si="59"/>
        <v>-</v>
      </c>
      <c r="DK19" s="74" t="str">
        <f t="shared" si="59"/>
        <v>-</v>
      </c>
      <c r="DL19" s="100" t="str">
        <f t="shared" si="22"/>
        <v>-</v>
      </c>
      <c r="DM19" s="58" t="str">
        <f t="shared" si="60"/>
        <v>-</v>
      </c>
      <c r="DN19" s="58" t="str">
        <f t="shared" si="61"/>
        <v>-</v>
      </c>
      <c r="DO19" s="58" t="str">
        <f t="shared" si="62"/>
        <v>-</v>
      </c>
      <c r="DP19" s="58" t="str">
        <f t="shared" si="63"/>
        <v>-</v>
      </c>
      <c r="DQ19" s="100"/>
      <c r="DR19" s="100"/>
      <c r="DS19" s="74"/>
      <c r="DT19" s="98" t="str">
        <f t="shared" si="86"/>
        <v>-</v>
      </c>
      <c r="DU19" s="98" t="str">
        <f t="shared" si="64"/>
        <v>-</v>
      </c>
      <c r="DV19" s="74" t="str">
        <f t="shared" si="65"/>
        <v>-</v>
      </c>
      <c r="DW19" s="74" t="str">
        <f t="shared" si="65"/>
        <v>-</v>
      </c>
      <c r="DX19" s="100" t="str">
        <f t="shared" si="24"/>
        <v>-</v>
      </c>
      <c r="DY19" s="58" t="str">
        <f t="shared" si="66"/>
        <v>-</v>
      </c>
      <c r="DZ19" s="58" t="str">
        <f t="shared" si="67"/>
        <v>-</v>
      </c>
      <c r="EA19" s="58" t="str">
        <f t="shared" si="68"/>
        <v>-</v>
      </c>
      <c r="EB19" s="58" t="str">
        <f t="shared" si="69"/>
        <v>-</v>
      </c>
      <c r="EC19" s="100"/>
      <c r="ED19" s="100"/>
      <c r="EE19" s="74"/>
      <c r="EF19" s="98" t="str">
        <f t="shared" si="70"/>
        <v>-</v>
      </c>
      <c r="EG19" s="98" t="str">
        <f t="shared" si="71"/>
        <v>-</v>
      </c>
      <c r="EH19" s="74" t="str">
        <f t="shared" si="72"/>
        <v>-</v>
      </c>
      <c r="EI19" s="74" t="str">
        <f t="shared" si="72"/>
        <v>-</v>
      </c>
      <c r="EJ19" s="100" t="str">
        <f t="shared" si="26"/>
        <v>-</v>
      </c>
      <c r="EK19" s="58" t="str">
        <f t="shared" si="73"/>
        <v>-</v>
      </c>
      <c r="EL19" s="58" t="str">
        <f t="shared" si="74"/>
        <v>-</v>
      </c>
      <c r="EM19" s="58" t="str">
        <f t="shared" si="75"/>
        <v>-</v>
      </c>
      <c r="EN19" s="58" t="str">
        <f t="shared" si="76"/>
        <v>-</v>
      </c>
      <c r="EO19" s="100"/>
      <c r="EP19" s="100"/>
      <c r="EQ19" s="74"/>
      <c r="ER19" s="98" t="str">
        <f t="shared" si="77"/>
        <v>-</v>
      </c>
      <c r="ES19" s="98" t="str">
        <f t="shared" si="78"/>
        <v>-</v>
      </c>
      <c r="ET19" s="98" t="str">
        <f t="shared" si="79"/>
        <v>-</v>
      </c>
      <c r="EU19" s="98" t="str">
        <f t="shared" si="80"/>
        <v>-</v>
      </c>
      <c r="EV19" s="74"/>
      <c r="EW19" s="74"/>
      <c r="EX19" s="74"/>
      <c r="EY19" s="74" t="str">
        <f>IF(E19=0,"-",LARGE(E6:E50,14))</f>
        <v>-</v>
      </c>
      <c r="EZ19" s="77" t="str">
        <f t="shared" si="81"/>
        <v>-</v>
      </c>
      <c r="FA19" s="77">
        <f t="shared" si="82"/>
        <v>0</v>
      </c>
      <c r="FB19" s="77" t="str">
        <f t="shared" si="83"/>
        <v>-</v>
      </c>
      <c r="FC19" s="77" t="str">
        <f>IF(FB19="-","-",SMALL(FB6:FB50,14))</f>
        <v>-</v>
      </c>
    </row>
    <row r="20" spans="1:159" s="77" customFormat="1">
      <c r="C20" s="95">
        <f>'1'!R17</f>
        <v>0</v>
      </c>
      <c r="D20" s="96">
        <f>'1'!J17</f>
        <v>0</v>
      </c>
      <c r="E20" s="96">
        <f>'1'!K17</f>
        <v>0</v>
      </c>
      <c r="F20" s="74"/>
      <c r="G20" s="74"/>
      <c r="H20" s="74"/>
      <c r="I20" s="74"/>
      <c r="J20" s="74"/>
      <c r="K20" s="74"/>
      <c r="L20" s="96">
        <f>'2'!R17</f>
        <v>0</v>
      </c>
      <c r="M20" s="77">
        <f>'2'!J17</f>
        <v>0</v>
      </c>
      <c r="N20" s="74">
        <f>'2'!K17</f>
        <v>0</v>
      </c>
      <c r="O20" s="74"/>
      <c r="P20" s="58"/>
      <c r="Q20" s="58" t="s">
        <v>23</v>
      </c>
      <c r="R20" s="102" t="e">
        <f>STDEV(AO6:AO35)</f>
        <v>#DIV/0!</v>
      </c>
      <c r="S20" s="97" t="e">
        <f>STDEV(BU6:BU35)</f>
        <v>#DIV/0!</v>
      </c>
      <c r="T20" s="97" t="e">
        <f>STDEV(ES6:ES35)</f>
        <v>#DIV/0!</v>
      </c>
      <c r="U20" s="74"/>
      <c r="V20" s="74"/>
      <c r="W20" s="74"/>
      <c r="X20" s="95"/>
      <c r="Y20" s="74"/>
      <c r="Z20" s="74"/>
      <c r="AA20" s="74"/>
      <c r="AB20" s="74"/>
      <c r="AC20" s="74"/>
      <c r="AD20" s="74"/>
      <c r="AE20" s="74"/>
      <c r="AF20" s="74"/>
      <c r="AG20" s="74"/>
      <c r="AH20" s="95"/>
      <c r="AI20" s="74"/>
      <c r="AJ20" s="98" t="str">
        <f t="shared" si="27"/>
        <v>-</v>
      </c>
      <c r="AK20" s="98" t="str">
        <f t="shared" si="28"/>
        <v>-</v>
      </c>
      <c r="AL20" s="98" t="str">
        <f t="shared" si="0"/>
        <v>-</v>
      </c>
      <c r="AM20" s="98" t="str">
        <f t="shared" si="29"/>
        <v>-</v>
      </c>
      <c r="AN20" s="98" t="str">
        <f t="shared" si="30"/>
        <v>-</v>
      </c>
      <c r="AO20" s="98" t="str">
        <f t="shared" si="31"/>
        <v>-</v>
      </c>
      <c r="AP20" s="98" t="str">
        <f t="shared" si="32"/>
        <v>-</v>
      </c>
      <c r="AQ20" s="98" t="str">
        <f t="shared" si="33"/>
        <v>-</v>
      </c>
      <c r="AR20" s="74"/>
      <c r="AS20" s="98"/>
      <c r="AT20" s="99" t="e">
        <f t="shared" si="84"/>
        <v>#DIV/0!</v>
      </c>
      <c r="AU20" s="99" t="e">
        <f t="shared" si="84"/>
        <v>#DIV/0!</v>
      </c>
      <c r="AV20" s="99" t="e">
        <f t="shared" si="84"/>
        <v>#DIV/0!</v>
      </c>
      <c r="AW20" s="99" t="e">
        <f t="shared" si="84"/>
        <v>#DIV/0!</v>
      </c>
      <c r="AX20" s="74" t="str">
        <f t="shared" si="35"/>
        <v>-</v>
      </c>
      <c r="AY20" s="74">
        <f t="shared" si="36"/>
        <v>0</v>
      </c>
      <c r="AZ20" s="74">
        <f t="shared" si="37"/>
        <v>0</v>
      </c>
      <c r="BA20" s="98">
        <f t="shared" si="38"/>
        <v>0</v>
      </c>
      <c r="BB20" s="74">
        <f t="shared" si="1"/>
        <v>0</v>
      </c>
      <c r="BC20" s="74">
        <f t="shared" si="2"/>
        <v>0</v>
      </c>
      <c r="BD20" s="74"/>
      <c r="BE20" s="74"/>
      <c r="BF20" s="74"/>
      <c r="BG20" s="74">
        <f t="shared" si="39"/>
        <v>0</v>
      </c>
      <c r="BH20" s="74">
        <f t="shared" si="40"/>
        <v>0</v>
      </c>
      <c r="BI20" s="98">
        <f t="shared" si="41"/>
        <v>0</v>
      </c>
      <c r="BJ20" s="74">
        <f t="shared" si="3"/>
        <v>0</v>
      </c>
      <c r="BK20" s="74">
        <f t="shared" si="4"/>
        <v>0</v>
      </c>
      <c r="BL20" s="74"/>
      <c r="BM20" s="74"/>
      <c r="BN20" s="74">
        <f t="shared" si="42"/>
        <v>0</v>
      </c>
      <c r="BO20" s="74" t="str">
        <f t="shared" si="43"/>
        <v>-</v>
      </c>
      <c r="BP20" s="98" t="str">
        <f t="shared" si="44"/>
        <v>-</v>
      </c>
      <c r="BQ20" s="98" t="str">
        <f t="shared" si="45"/>
        <v>-</v>
      </c>
      <c r="BR20" s="98" t="str">
        <f t="shared" si="5"/>
        <v>-</v>
      </c>
      <c r="BS20" s="98" t="str">
        <f t="shared" si="6"/>
        <v>-</v>
      </c>
      <c r="BT20" s="98" t="str">
        <f t="shared" si="7"/>
        <v>-</v>
      </c>
      <c r="BU20" s="98" t="str">
        <f t="shared" si="8"/>
        <v>-</v>
      </c>
      <c r="BV20" s="98" t="str">
        <f t="shared" si="9"/>
        <v>-</v>
      </c>
      <c r="BW20" s="98" t="str">
        <f t="shared" si="10"/>
        <v>-</v>
      </c>
      <c r="BX20" s="74"/>
      <c r="BY20" s="98"/>
      <c r="BZ20" s="99" t="e">
        <f t="shared" si="85"/>
        <v>#DIV/0!</v>
      </c>
      <c r="CA20" s="99" t="e">
        <f t="shared" si="85"/>
        <v>#DIV/0!</v>
      </c>
      <c r="CB20" s="99" t="e">
        <f t="shared" si="85"/>
        <v>#DIV/0!</v>
      </c>
      <c r="CC20" s="99" t="e">
        <f t="shared" si="85"/>
        <v>#DIV/0!</v>
      </c>
      <c r="CD20" s="74" t="str">
        <f t="shared" si="11"/>
        <v>-</v>
      </c>
      <c r="CE20" s="74">
        <f t="shared" si="47"/>
        <v>0</v>
      </c>
      <c r="CF20" s="74">
        <f t="shared" si="48"/>
        <v>0</v>
      </c>
      <c r="CG20" s="98">
        <f t="shared" si="49"/>
        <v>0</v>
      </c>
      <c r="CH20" s="74">
        <f t="shared" si="12"/>
        <v>0</v>
      </c>
      <c r="CI20" s="74">
        <f t="shared" si="13"/>
        <v>0</v>
      </c>
      <c r="CJ20" s="74"/>
      <c r="CK20" s="74"/>
      <c r="CL20" s="74"/>
      <c r="CM20" s="74">
        <f t="shared" si="14"/>
        <v>0</v>
      </c>
      <c r="CN20" s="74">
        <f t="shared" si="50"/>
        <v>0</v>
      </c>
      <c r="CO20" s="98">
        <f t="shared" si="51"/>
        <v>0</v>
      </c>
      <c r="CP20" s="74">
        <f t="shared" si="15"/>
        <v>0</v>
      </c>
      <c r="CQ20" s="74">
        <f t="shared" si="16"/>
        <v>0</v>
      </c>
      <c r="CR20" s="74"/>
      <c r="CS20" s="74"/>
      <c r="CT20" s="74"/>
      <c r="CU20" s="74"/>
      <c r="CV20" s="98" t="str">
        <f t="shared" si="17"/>
        <v>-</v>
      </c>
      <c r="CW20" s="95" t="str">
        <f t="shared" si="18"/>
        <v>-</v>
      </c>
      <c r="CX20" s="74" t="str">
        <f t="shared" si="52"/>
        <v>-</v>
      </c>
      <c r="CY20" s="74" t="str">
        <f t="shared" si="19"/>
        <v>-</v>
      </c>
      <c r="CZ20" s="100" t="str">
        <f t="shared" si="20"/>
        <v>-</v>
      </c>
      <c r="DA20" s="58" t="str">
        <f t="shared" si="53"/>
        <v>-</v>
      </c>
      <c r="DB20" s="58" t="str">
        <f t="shared" si="54"/>
        <v>-</v>
      </c>
      <c r="DC20" s="58" t="str">
        <f t="shared" si="55"/>
        <v>-</v>
      </c>
      <c r="DD20" s="58" t="str">
        <f t="shared" si="56"/>
        <v>-</v>
      </c>
      <c r="DE20" s="74"/>
      <c r="DF20" s="74"/>
      <c r="DG20" s="74"/>
      <c r="DH20" s="98" t="str">
        <f t="shared" si="57"/>
        <v>-</v>
      </c>
      <c r="DI20" s="98" t="str">
        <f t="shared" si="58"/>
        <v>-</v>
      </c>
      <c r="DJ20" s="74" t="str">
        <f t="shared" si="59"/>
        <v>-</v>
      </c>
      <c r="DK20" s="74" t="str">
        <f t="shared" si="59"/>
        <v>-</v>
      </c>
      <c r="DL20" s="100" t="str">
        <f t="shared" si="22"/>
        <v>-</v>
      </c>
      <c r="DM20" s="58" t="str">
        <f t="shared" si="60"/>
        <v>-</v>
      </c>
      <c r="DN20" s="58" t="str">
        <f t="shared" si="61"/>
        <v>-</v>
      </c>
      <c r="DO20" s="58" t="str">
        <f t="shared" si="62"/>
        <v>-</v>
      </c>
      <c r="DP20" s="58" t="str">
        <f t="shared" si="63"/>
        <v>-</v>
      </c>
      <c r="DQ20" s="100"/>
      <c r="DR20" s="100"/>
      <c r="DS20" s="74"/>
      <c r="DT20" s="98" t="str">
        <f t="shared" si="86"/>
        <v>-</v>
      </c>
      <c r="DU20" s="98" t="str">
        <f t="shared" si="64"/>
        <v>-</v>
      </c>
      <c r="DV20" s="74" t="str">
        <f t="shared" si="65"/>
        <v>-</v>
      </c>
      <c r="DW20" s="74" t="str">
        <f t="shared" si="65"/>
        <v>-</v>
      </c>
      <c r="DX20" s="100" t="str">
        <f t="shared" si="24"/>
        <v>-</v>
      </c>
      <c r="DY20" s="58" t="str">
        <f t="shared" si="66"/>
        <v>-</v>
      </c>
      <c r="DZ20" s="58" t="str">
        <f t="shared" si="67"/>
        <v>-</v>
      </c>
      <c r="EA20" s="58" t="str">
        <f t="shared" si="68"/>
        <v>-</v>
      </c>
      <c r="EB20" s="58" t="str">
        <f t="shared" si="69"/>
        <v>-</v>
      </c>
      <c r="EC20" s="100"/>
      <c r="ED20" s="100"/>
      <c r="EE20" s="74"/>
      <c r="EF20" s="98" t="str">
        <f t="shared" si="70"/>
        <v>-</v>
      </c>
      <c r="EG20" s="98" t="str">
        <f t="shared" si="71"/>
        <v>-</v>
      </c>
      <c r="EH20" s="74" t="str">
        <f t="shared" si="72"/>
        <v>-</v>
      </c>
      <c r="EI20" s="74" t="str">
        <f t="shared" si="72"/>
        <v>-</v>
      </c>
      <c r="EJ20" s="100" t="str">
        <f t="shared" si="26"/>
        <v>-</v>
      </c>
      <c r="EK20" s="58" t="str">
        <f t="shared" si="73"/>
        <v>-</v>
      </c>
      <c r="EL20" s="58" t="str">
        <f t="shared" si="74"/>
        <v>-</v>
      </c>
      <c r="EM20" s="58" t="str">
        <f t="shared" si="75"/>
        <v>-</v>
      </c>
      <c r="EN20" s="58" t="str">
        <f t="shared" si="76"/>
        <v>-</v>
      </c>
      <c r="EO20" s="100"/>
      <c r="EP20" s="100"/>
      <c r="EQ20" s="74"/>
      <c r="ER20" s="98" t="str">
        <f t="shared" si="77"/>
        <v>-</v>
      </c>
      <c r="ES20" s="98" t="str">
        <f t="shared" si="78"/>
        <v>-</v>
      </c>
      <c r="ET20" s="98" t="str">
        <f t="shared" si="79"/>
        <v>-</v>
      </c>
      <c r="EU20" s="98" t="str">
        <f t="shared" si="80"/>
        <v>-</v>
      </c>
      <c r="EV20" s="74"/>
      <c r="EW20" s="74"/>
      <c r="EX20" s="74"/>
      <c r="EY20" s="74" t="str">
        <f>IF(E20=0,"-",LARGE(E6:E50,15))</f>
        <v>-</v>
      </c>
      <c r="EZ20" s="77" t="str">
        <f t="shared" si="81"/>
        <v>-</v>
      </c>
      <c r="FA20" s="77">
        <f t="shared" si="82"/>
        <v>0</v>
      </c>
      <c r="FB20" s="77" t="str">
        <f t="shared" si="83"/>
        <v>-</v>
      </c>
      <c r="FC20" s="77" t="str">
        <f>IF(FB20="-","-",SMALL(FB6:FB50,15))</f>
        <v>-</v>
      </c>
    </row>
    <row r="21" spans="1:159" s="77" customFormat="1">
      <c r="C21" s="95">
        <f>'1'!R18</f>
        <v>0</v>
      </c>
      <c r="D21" s="96">
        <f>'1'!J18</f>
        <v>0</v>
      </c>
      <c r="E21" s="96">
        <f>'1'!K18</f>
        <v>0</v>
      </c>
      <c r="F21" s="74"/>
      <c r="G21" s="74"/>
      <c r="H21" s="74"/>
      <c r="I21" s="74"/>
      <c r="J21" s="74"/>
      <c r="K21" s="74"/>
      <c r="L21" s="96">
        <f>'2'!R18</f>
        <v>0</v>
      </c>
      <c r="M21" s="77">
        <f>'2'!J18</f>
        <v>0</v>
      </c>
      <c r="N21" s="74">
        <f>'2'!K18</f>
        <v>0</v>
      </c>
      <c r="O21" s="74"/>
      <c r="P21" s="58"/>
      <c r="Q21" s="58" t="s">
        <v>25</v>
      </c>
      <c r="R21" s="102">
        <f>MAX(AO6:AO35)</f>
        <v>0</v>
      </c>
      <c r="S21" s="97">
        <f>MAX(BU6:BU35)</f>
        <v>0</v>
      </c>
      <c r="T21" s="97">
        <f>MAX(ES6:ES35)</f>
        <v>0</v>
      </c>
      <c r="U21" s="74"/>
      <c r="V21" s="74"/>
      <c r="W21" s="74"/>
      <c r="X21" s="95"/>
      <c r="Y21" s="74"/>
      <c r="Z21" s="74"/>
      <c r="AA21" s="74"/>
      <c r="AB21" s="74"/>
      <c r="AC21" s="74"/>
      <c r="AD21" s="74"/>
      <c r="AE21" s="74"/>
      <c r="AF21" s="74"/>
      <c r="AG21" s="74"/>
      <c r="AH21" s="95"/>
      <c r="AI21" s="74"/>
      <c r="AJ21" s="98" t="str">
        <f t="shared" si="27"/>
        <v>-</v>
      </c>
      <c r="AK21" s="98" t="str">
        <f t="shared" si="28"/>
        <v>-</v>
      </c>
      <c r="AL21" s="98" t="str">
        <f t="shared" si="0"/>
        <v>-</v>
      </c>
      <c r="AM21" s="98" t="str">
        <f t="shared" si="29"/>
        <v>-</v>
      </c>
      <c r="AN21" s="98" t="str">
        <f t="shared" si="30"/>
        <v>-</v>
      </c>
      <c r="AO21" s="98" t="str">
        <f t="shared" si="31"/>
        <v>-</v>
      </c>
      <c r="AP21" s="98" t="str">
        <f t="shared" si="32"/>
        <v>-</v>
      </c>
      <c r="AQ21" s="98" t="str">
        <f t="shared" si="33"/>
        <v>-</v>
      </c>
      <c r="AR21" s="74"/>
      <c r="AS21" s="98"/>
      <c r="AT21" s="99" t="e">
        <f t="shared" si="84"/>
        <v>#DIV/0!</v>
      </c>
      <c r="AU21" s="99" t="e">
        <f t="shared" si="84"/>
        <v>#DIV/0!</v>
      </c>
      <c r="AV21" s="99" t="e">
        <f t="shared" si="84"/>
        <v>#DIV/0!</v>
      </c>
      <c r="AW21" s="99" t="e">
        <f t="shared" si="84"/>
        <v>#DIV/0!</v>
      </c>
      <c r="AX21" s="74" t="str">
        <f t="shared" si="35"/>
        <v>-</v>
      </c>
      <c r="AY21" s="74">
        <f t="shared" si="36"/>
        <v>0</v>
      </c>
      <c r="AZ21" s="74">
        <f t="shared" si="37"/>
        <v>0</v>
      </c>
      <c r="BA21" s="98">
        <f t="shared" si="38"/>
        <v>0</v>
      </c>
      <c r="BB21" s="74">
        <f t="shared" si="1"/>
        <v>0</v>
      </c>
      <c r="BC21" s="74">
        <f t="shared" si="2"/>
        <v>0</v>
      </c>
      <c r="BD21" s="74"/>
      <c r="BE21" s="74"/>
      <c r="BF21" s="74"/>
      <c r="BG21" s="74">
        <f t="shared" si="39"/>
        <v>0</v>
      </c>
      <c r="BH21" s="74">
        <f t="shared" si="40"/>
        <v>0</v>
      </c>
      <c r="BI21" s="98">
        <f t="shared" si="41"/>
        <v>0</v>
      </c>
      <c r="BJ21" s="74">
        <f t="shared" si="3"/>
        <v>0</v>
      </c>
      <c r="BK21" s="74">
        <f t="shared" si="4"/>
        <v>0</v>
      </c>
      <c r="BL21" s="74"/>
      <c r="BM21" s="74"/>
      <c r="BN21" s="74">
        <f t="shared" si="42"/>
        <v>0</v>
      </c>
      <c r="BO21" s="74" t="str">
        <f t="shared" si="43"/>
        <v>-</v>
      </c>
      <c r="BP21" s="98" t="str">
        <f t="shared" si="44"/>
        <v>-</v>
      </c>
      <c r="BQ21" s="98" t="str">
        <f t="shared" si="45"/>
        <v>-</v>
      </c>
      <c r="BR21" s="98" t="str">
        <f t="shared" si="5"/>
        <v>-</v>
      </c>
      <c r="BS21" s="98" t="str">
        <f t="shared" si="6"/>
        <v>-</v>
      </c>
      <c r="BT21" s="98" t="str">
        <f t="shared" si="7"/>
        <v>-</v>
      </c>
      <c r="BU21" s="98" t="str">
        <f t="shared" si="8"/>
        <v>-</v>
      </c>
      <c r="BV21" s="98" t="str">
        <f t="shared" si="9"/>
        <v>-</v>
      </c>
      <c r="BW21" s="98" t="str">
        <f t="shared" si="10"/>
        <v>-</v>
      </c>
      <c r="BX21" s="74"/>
      <c r="BY21" s="98"/>
      <c r="BZ21" s="99" t="e">
        <f t="shared" si="85"/>
        <v>#DIV/0!</v>
      </c>
      <c r="CA21" s="99" t="e">
        <f t="shared" si="85"/>
        <v>#DIV/0!</v>
      </c>
      <c r="CB21" s="99" t="e">
        <f t="shared" si="85"/>
        <v>#DIV/0!</v>
      </c>
      <c r="CC21" s="99" t="e">
        <f t="shared" si="85"/>
        <v>#DIV/0!</v>
      </c>
      <c r="CD21" s="74" t="str">
        <f t="shared" si="11"/>
        <v>-</v>
      </c>
      <c r="CE21" s="74">
        <f t="shared" si="47"/>
        <v>0</v>
      </c>
      <c r="CF21" s="74">
        <f t="shared" si="48"/>
        <v>0</v>
      </c>
      <c r="CG21" s="98">
        <f t="shared" si="49"/>
        <v>0</v>
      </c>
      <c r="CH21" s="74">
        <f t="shared" si="12"/>
        <v>0</v>
      </c>
      <c r="CI21" s="74">
        <f t="shared" si="13"/>
        <v>0</v>
      </c>
      <c r="CJ21" s="74"/>
      <c r="CK21" s="74"/>
      <c r="CL21" s="74"/>
      <c r="CM21" s="74">
        <f t="shared" si="14"/>
        <v>0</v>
      </c>
      <c r="CN21" s="74">
        <f t="shared" si="50"/>
        <v>0</v>
      </c>
      <c r="CO21" s="98">
        <f t="shared" si="51"/>
        <v>0</v>
      </c>
      <c r="CP21" s="74">
        <f t="shared" si="15"/>
        <v>0</v>
      </c>
      <c r="CQ21" s="74">
        <f t="shared" si="16"/>
        <v>0</v>
      </c>
      <c r="CR21" s="74"/>
      <c r="CS21" s="74"/>
      <c r="CT21" s="74"/>
      <c r="CU21" s="74"/>
      <c r="CV21" s="98" t="str">
        <f t="shared" si="17"/>
        <v>-</v>
      </c>
      <c r="CW21" s="95" t="str">
        <f t="shared" si="18"/>
        <v>-</v>
      </c>
      <c r="CX21" s="74" t="str">
        <f t="shared" si="52"/>
        <v>-</v>
      </c>
      <c r="CY21" s="74" t="str">
        <f t="shared" si="19"/>
        <v>-</v>
      </c>
      <c r="CZ21" s="100" t="str">
        <f t="shared" si="20"/>
        <v>-</v>
      </c>
      <c r="DA21" s="58" t="str">
        <f t="shared" si="53"/>
        <v>-</v>
      </c>
      <c r="DB21" s="58" t="str">
        <f t="shared" si="54"/>
        <v>-</v>
      </c>
      <c r="DC21" s="58" t="str">
        <f t="shared" si="55"/>
        <v>-</v>
      </c>
      <c r="DD21" s="58" t="str">
        <f t="shared" si="56"/>
        <v>-</v>
      </c>
      <c r="DE21" s="74"/>
      <c r="DF21" s="74"/>
      <c r="DG21" s="74"/>
      <c r="DH21" s="98" t="str">
        <f t="shared" si="57"/>
        <v>-</v>
      </c>
      <c r="DI21" s="98" t="str">
        <f t="shared" si="58"/>
        <v>-</v>
      </c>
      <c r="DJ21" s="74" t="str">
        <f t="shared" si="59"/>
        <v>-</v>
      </c>
      <c r="DK21" s="74" t="str">
        <f t="shared" si="59"/>
        <v>-</v>
      </c>
      <c r="DL21" s="100" t="str">
        <f t="shared" si="22"/>
        <v>-</v>
      </c>
      <c r="DM21" s="58" t="str">
        <f t="shared" si="60"/>
        <v>-</v>
      </c>
      <c r="DN21" s="58" t="str">
        <f t="shared" si="61"/>
        <v>-</v>
      </c>
      <c r="DO21" s="58" t="str">
        <f t="shared" si="62"/>
        <v>-</v>
      </c>
      <c r="DP21" s="58" t="str">
        <f t="shared" si="63"/>
        <v>-</v>
      </c>
      <c r="DQ21" s="100"/>
      <c r="DR21" s="100"/>
      <c r="DS21" s="74"/>
      <c r="DT21" s="98" t="str">
        <f t="shared" si="86"/>
        <v>-</v>
      </c>
      <c r="DU21" s="98" t="str">
        <f t="shared" si="64"/>
        <v>-</v>
      </c>
      <c r="DV21" s="74" t="str">
        <f t="shared" si="65"/>
        <v>-</v>
      </c>
      <c r="DW21" s="74" t="str">
        <f t="shared" si="65"/>
        <v>-</v>
      </c>
      <c r="DX21" s="100" t="str">
        <f t="shared" si="24"/>
        <v>-</v>
      </c>
      <c r="DY21" s="58" t="str">
        <f t="shared" si="66"/>
        <v>-</v>
      </c>
      <c r="DZ21" s="58" t="str">
        <f t="shared" si="67"/>
        <v>-</v>
      </c>
      <c r="EA21" s="58" t="str">
        <f t="shared" si="68"/>
        <v>-</v>
      </c>
      <c r="EB21" s="58" t="str">
        <f t="shared" si="69"/>
        <v>-</v>
      </c>
      <c r="EC21" s="100"/>
      <c r="ED21" s="100"/>
      <c r="EE21" s="74"/>
      <c r="EF21" s="98" t="str">
        <f t="shared" si="70"/>
        <v>-</v>
      </c>
      <c r="EG21" s="98" t="str">
        <f t="shared" si="71"/>
        <v>-</v>
      </c>
      <c r="EH21" s="74" t="str">
        <f t="shared" si="72"/>
        <v>-</v>
      </c>
      <c r="EI21" s="74" t="str">
        <f t="shared" si="72"/>
        <v>-</v>
      </c>
      <c r="EJ21" s="100" t="str">
        <f t="shared" si="26"/>
        <v>-</v>
      </c>
      <c r="EK21" s="58" t="str">
        <f t="shared" si="73"/>
        <v>-</v>
      </c>
      <c r="EL21" s="58" t="str">
        <f t="shared" si="74"/>
        <v>-</v>
      </c>
      <c r="EM21" s="58" t="str">
        <f t="shared" si="75"/>
        <v>-</v>
      </c>
      <c r="EN21" s="58" t="str">
        <f t="shared" si="76"/>
        <v>-</v>
      </c>
      <c r="EO21" s="100"/>
      <c r="EP21" s="100"/>
      <c r="EQ21" s="74"/>
      <c r="ER21" s="98" t="str">
        <f t="shared" si="77"/>
        <v>-</v>
      </c>
      <c r="ES21" s="98" t="str">
        <f t="shared" si="78"/>
        <v>-</v>
      </c>
      <c r="ET21" s="98" t="str">
        <f t="shared" si="79"/>
        <v>-</v>
      </c>
      <c r="EU21" s="98" t="str">
        <f t="shared" si="80"/>
        <v>-</v>
      </c>
      <c r="EV21" s="74"/>
      <c r="EW21" s="74"/>
      <c r="EX21" s="74"/>
      <c r="EY21" s="74" t="str">
        <f>IF(E21=0,"-",LARGE(E6:E50,16))</f>
        <v>-</v>
      </c>
      <c r="EZ21" s="77" t="str">
        <f t="shared" si="81"/>
        <v>-</v>
      </c>
      <c r="FA21" s="77">
        <f t="shared" si="82"/>
        <v>0</v>
      </c>
      <c r="FB21" s="77" t="str">
        <f t="shared" si="83"/>
        <v>-</v>
      </c>
      <c r="FC21" s="77" t="str">
        <f>IF(FB21="-","-",SMALL(FB6:FB50,16))</f>
        <v>-</v>
      </c>
    </row>
    <row r="22" spans="1:159" s="77" customFormat="1">
      <c r="C22" s="95">
        <f>'1'!R19</f>
        <v>0</v>
      </c>
      <c r="D22" s="96">
        <f>'1'!J19</f>
        <v>0</v>
      </c>
      <c r="E22" s="96">
        <f>'1'!K19</f>
        <v>0</v>
      </c>
      <c r="F22" s="74"/>
      <c r="G22" s="74"/>
      <c r="H22" s="74"/>
      <c r="I22" s="74"/>
      <c r="J22" s="74"/>
      <c r="K22" s="74"/>
      <c r="L22" s="96">
        <f>'2'!R19</f>
        <v>0</v>
      </c>
      <c r="M22" s="77">
        <f>'2'!J19</f>
        <v>0</v>
      </c>
      <c r="N22" s="74">
        <f>'2'!K19</f>
        <v>0</v>
      </c>
      <c r="O22" s="74"/>
      <c r="P22" s="58"/>
      <c r="Q22" s="58" t="s">
        <v>26</v>
      </c>
      <c r="R22" s="65" t="e">
        <f>BM11</f>
        <v>#DIV/0!</v>
      </c>
      <c r="S22" s="65" t="e">
        <f>CS11</f>
        <v>#DIV/0!</v>
      </c>
      <c r="T22" s="97"/>
      <c r="U22" s="74"/>
      <c r="V22" s="74"/>
      <c r="W22" s="74"/>
      <c r="X22" s="95"/>
      <c r="Y22" s="74"/>
      <c r="Z22" s="74"/>
      <c r="AA22" s="74"/>
      <c r="AB22" s="74"/>
      <c r="AC22" s="74"/>
      <c r="AD22" s="74"/>
      <c r="AE22" s="74"/>
      <c r="AF22" s="74"/>
      <c r="AG22" s="74"/>
      <c r="AH22" s="95"/>
      <c r="AI22" s="74"/>
      <c r="AJ22" s="98" t="str">
        <f t="shared" si="27"/>
        <v>-</v>
      </c>
      <c r="AK22" s="98" t="str">
        <f t="shared" si="28"/>
        <v>-</v>
      </c>
      <c r="AL22" s="98" t="str">
        <f t="shared" si="0"/>
        <v>-</v>
      </c>
      <c r="AM22" s="98" t="str">
        <f t="shared" si="29"/>
        <v>-</v>
      </c>
      <c r="AN22" s="98" t="str">
        <f t="shared" si="30"/>
        <v>-</v>
      </c>
      <c r="AO22" s="98" t="str">
        <f t="shared" si="31"/>
        <v>-</v>
      </c>
      <c r="AP22" s="98" t="str">
        <f t="shared" si="32"/>
        <v>-</v>
      </c>
      <c r="AQ22" s="98" t="str">
        <f t="shared" si="33"/>
        <v>-</v>
      </c>
      <c r="AR22" s="98"/>
      <c r="AS22" s="98"/>
      <c r="AT22" s="99" t="e">
        <f t="shared" si="84"/>
        <v>#DIV/0!</v>
      </c>
      <c r="AU22" s="99" t="e">
        <f t="shared" si="84"/>
        <v>#DIV/0!</v>
      </c>
      <c r="AV22" s="99" t="e">
        <f t="shared" si="84"/>
        <v>#DIV/0!</v>
      </c>
      <c r="AW22" s="99" t="e">
        <f t="shared" si="84"/>
        <v>#DIV/0!</v>
      </c>
      <c r="AX22" s="74" t="str">
        <f t="shared" si="35"/>
        <v>-</v>
      </c>
      <c r="AY22" s="74">
        <f t="shared" si="36"/>
        <v>0</v>
      </c>
      <c r="AZ22" s="74">
        <f t="shared" si="37"/>
        <v>0</v>
      </c>
      <c r="BA22" s="98">
        <f t="shared" si="38"/>
        <v>0</v>
      </c>
      <c r="BB22" s="74">
        <f t="shared" si="1"/>
        <v>0</v>
      </c>
      <c r="BC22" s="74">
        <f t="shared" si="2"/>
        <v>0</v>
      </c>
      <c r="BD22" s="74"/>
      <c r="BE22" s="74"/>
      <c r="BF22" s="74"/>
      <c r="BG22" s="74">
        <f t="shared" si="39"/>
        <v>0</v>
      </c>
      <c r="BH22" s="74">
        <f t="shared" si="40"/>
        <v>0</v>
      </c>
      <c r="BI22" s="98">
        <f t="shared" si="41"/>
        <v>0</v>
      </c>
      <c r="BJ22" s="74">
        <f t="shared" si="3"/>
        <v>0</v>
      </c>
      <c r="BK22" s="74">
        <f t="shared" si="4"/>
        <v>0</v>
      </c>
      <c r="BL22" s="74"/>
      <c r="BM22" s="74"/>
      <c r="BN22" s="74">
        <f t="shared" si="42"/>
        <v>0</v>
      </c>
      <c r="BO22" s="74" t="str">
        <f t="shared" si="43"/>
        <v>-</v>
      </c>
      <c r="BP22" s="98" t="str">
        <f t="shared" si="44"/>
        <v>-</v>
      </c>
      <c r="BQ22" s="98" t="str">
        <f t="shared" si="45"/>
        <v>-</v>
      </c>
      <c r="BR22" s="98" t="str">
        <f t="shared" si="5"/>
        <v>-</v>
      </c>
      <c r="BS22" s="98" t="str">
        <f t="shared" si="6"/>
        <v>-</v>
      </c>
      <c r="BT22" s="98" t="str">
        <f t="shared" si="7"/>
        <v>-</v>
      </c>
      <c r="BU22" s="98" t="str">
        <f t="shared" si="8"/>
        <v>-</v>
      </c>
      <c r="BV22" s="98" t="str">
        <f t="shared" si="9"/>
        <v>-</v>
      </c>
      <c r="BW22" s="98" t="str">
        <f t="shared" si="10"/>
        <v>-</v>
      </c>
      <c r="BX22" s="74"/>
      <c r="BY22" s="98"/>
      <c r="BZ22" s="99" t="e">
        <f t="shared" si="85"/>
        <v>#DIV/0!</v>
      </c>
      <c r="CA22" s="99" t="e">
        <f t="shared" si="85"/>
        <v>#DIV/0!</v>
      </c>
      <c r="CB22" s="99" t="e">
        <f t="shared" si="85"/>
        <v>#DIV/0!</v>
      </c>
      <c r="CC22" s="99" t="e">
        <f t="shared" si="85"/>
        <v>#DIV/0!</v>
      </c>
      <c r="CD22" s="74" t="str">
        <f t="shared" si="11"/>
        <v>-</v>
      </c>
      <c r="CE22" s="74">
        <f t="shared" si="47"/>
        <v>0</v>
      </c>
      <c r="CF22" s="74">
        <f t="shared" si="48"/>
        <v>0</v>
      </c>
      <c r="CG22" s="98">
        <f t="shared" si="49"/>
        <v>0</v>
      </c>
      <c r="CH22" s="74">
        <f t="shared" si="12"/>
        <v>0</v>
      </c>
      <c r="CI22" s="74">
        <f t="shared" si="13"/>
        <v>0</v>
      </c>
      <c r="CJ22" s="74"/>
      <c r="CK22" s="74"/>
      <c r="CL22" s="74"/>
      <c r="CM22" s="74">
        <f t="shared" si="14"/>
        <v>0</v>
      </c>
      <c r="CN22" s="74">
        <f t="shared" si="50"/>
        <v>0</v>
      </c>
      <c r="CO22" s="98">
        <f t="shared" si="51"/>
        <v>0</v>
      </c>
      <c r="CP22" s="74">
        <f t="shared" si="15"/>
        <v>0</v>
      </c>
      <c r="CQ22" s="74">
        <f t="shared" si="16"/>
        <v>0</v>
      </c>
      <c r="CR22" s="74"/>
      <c r="CS22" s="74"/>
      <c r="CT22" s="74"/>
      <c r="CU22" s="74"/>
      <c r="CV22" s="98" t="str">
        <f t="shared" si="17"/>
        <v>-</v>
      </c>
      <c r="CW22" s="95" t="str">
        <f t="shared" si="18"/>
        <v>-</v>
      </c>
      <c r="CX22" s="74" t="str">
        <f t="shared" si="52"/>
        <v>-</v>
      </c>
      <c r="CY22" s="74" t="str">
        <f t="shared" si="19"/>
        <v>-</v>
      </c>
      <c r="CZ22" s="100" t="str">
        <f t="shared" si="20"/>
        <v>-</v>
      </c>
      <c r="DA22" s="58" t="str">
        <f t="shared" si="53"/>
        <v>-</v>
      </c>
      <c r="DB22" s="58" t="str">
        <f t="shared" si="54"/>
        <v>-</v>
      </c>
      <c r="DC22" s="58" t="str">
        <f t="shared" si="55"/>
        <v>-</v>
      </c>
      <c r="DD22" s="58" t="str">
        <f t="shared" si="56"/>
        <v>-</v>
      </c>
      <c r="DE22" s="74"/>
      <c r="DF22" s="74"/>
      <c r="DG22" s="74"/>
      <c r="DH22" s="98" t="str">
        <f t="shared" si="57"/>
        <v>-</v>
      </c>
      <c r="DI22" s="98" t="str">
        <f t="shared" si="58"/>
        <v>-</v>
      </c>
      <c r="DJ22" s="74" t="str">
        <f t="shared" si="59"/>
        <v>-</v>
      </c>
      <c r="DK22" s="74" t="str">
        <f t="shared" si="59"/>
        <v>-</v>
      </c>
      <c r="DL22" s="100" t="str">
        <f t="shared" si="22"/>
        <v>-</v>
      </c>
      <c r="DM22" s="58" t="str">
        <f t="shared" si="60"/>
        <v>-</v>
      </c>
      <c r="DN22" s="58" t="str">
        <f t="shared" si="61"/>
        <v>-</v>
      </c>
      <c r="DO22" s="58" t="str">
        <f t="shared" si="62"/>
        <v>-</v>
      </c>
      <c r="DP22" s="58" t="str">
        <f t="shared" si="63"/>
        <v>-</v>
      </c>
      <c r="DQ22" s="100"/>
      <c r="DR22" s="100"/>
      <c r="DS22" s="74"/>
      <c r="DT22" s="98" t="str">
        <f t="shared" si="86"/>
        <v>-</v>
      </c>
      <c r="DU22" s="98" t="str">
        <f t="shared" si="64"/>
        <v>-</v>
      </c>
      <c r="DV22" s="74" t="str">
        <f t="shared" si="65"/>
        <v>-</v>
      </c>
      <c r="DW22" s="74" t="str">
        <f t="shared" si="65"/>
        <v>-</v>
      </c>
      <c r="DX22" s="100" t="str">
        <f t="shared" si="24"/>
        <v>-</v>
      </c>
      <c r="DY22" s="58" t="str">
        <f t="shared" si="66"/>
        <v>-</v>
      </c>
      <c r="DZ22" s="58" t="str">
        <f t="shared" si="67"/>
        <v>-</v>
      </c>
      <c r="EA22" s="58" t="str">
        <f t="shared" si="68"/>
        <v>-</v>
      </c>
      <c r="EB22" s="58" t="str">
        <f t="shared" si="69"/>
        <v>-</v>
      </c>
      <c r="EC22" s="100"/>
      <c r="ED22" s="100"/>
      <c r="EE22" s="74"/>
      <c r="EF22" s="98" t="str">
        <f t="shared" si="70"/>
        <v>-</v>
      </c>
      <c r="EG22" s="98" t="str">
        <f t="shared" si="71"/>
        <v>-</v>
      </c>
      <c r="EH22" s="74" t="str">
        <f t="shared" si="72"/>
        <v>-</v>
      </c>
      <c r="EI22" s="74" t="str">
        <f t="shared" si="72"/>
        <v>-</v>
      </c>
      <c r="EJ22" s="100" t="str">
        <f t="shared" si="26"/>
        <v>-</v>
      </c>
      <c r="EK22" s="58" t="str">
        <f t="shared" si="73"/>
        <v>-</v>
      </c>
      <c r="EL22" s="58" t="str">
        <f t="shared" si="74"/>
        <v>-</v>
      </c>
      <c r="EM22" s="58" t="str">
        <f t="shared" si="75"/>
        <v>-</v>
      </c>
      <c r="EN22" s="58" t="str">
        <f t="shared" si="76"/>
        <v>-</v>
      </c>
      <c r="EO22" s="100"/>
      <c r="EP22" s="100"/>
      <c r="EQ22" s="74"/>
      <c r="ER22" s="98" t="str">
        <f t="shared" si="77"/>
        <v>-</v>
      </c>
      <c r="ES22" s="98" t="str">
        <f t="shared" si="78"/>
        <v>-</v>
      </c>
      <c r="ET22" s="98" t="str">
        <f t="shared" si="79"/>
        <v>-</v>
      </c>
      <c r="EU22" s="98" t="str">
        <f t="shared" si="80"/>
        <v>-</v>
      </c>
      <c r="EV22" s="74"/>
      <c r="EW22" s="74"/>
      <c r="EX22" s="74"/>
      <c r="EY22" s="74" t="str">
        <f>IF(E22=0,"-",LARGE(E6:E50,17))</f>
        <v>-</v>
      </c>
      <c r="EZ22" s="77" t="str">
        <f t="shared" si="81"/>
        <v>-</v>
      </c>
      <c r="FA22" s="77">
        <f t="shared" si="82"/>
        <v>0</v>
      </c>
      <c r="FB22" s="77" t="str">
        <f t="shared" si="83"/>
        <v>-</v>
      </c>
      <c r="FC22" s="77" t="str">
        <f>IF(FB22="-","-",SMALL(FB6:FB50,17))</f>
        <v>-</v>
      </c>
    </row>
    <row r="23" spans="1:159" s="77" customFormat="1">
      <c r="C23" s="95">
        <f>'1'!R20</f>
        <v>0</v>
      </c>
      <c r="D23" s="96">
        <f>'1'!J20</f>
        <v>0</v>
      </c>
      <c r="E23" s="96">
        <f>'1'!K20</f>
        <v>0</v>
      </c>
      <c r="F23" s="74"/>
      <c r="G23" s="74"/>
      <c r="H23" s="74"/>
      <c r="I23" s="74"/>
      <c r="J23" s="74"/>
      <c r="K23" s="74"/>
      <c r="L23" s="96">
        <f>'2'!R20</f>
        <v>0</v>
      </c>
      <c r="M23" s="77">
        <f>'2'!J20</f>
        <v>0</v>
      </c>
      <c r="N23" s="74">
        <f>'2'!K20</f>
        <v>0</v>
      </c>
      <c r="O23" s="74"/>
      <c r="P23" s="58"/>
      <c r="Q23" s="58" t="s">
        <v>17</v>
      </c>
      <c r="R23" s="102" t="e">
        <f>AV17</f>
        <v>#DIV/0!</v>
      </c>
      <c r="S23" s="97" t="e">
        <f>CB19</f>
        <v>#DIV/0!</v>
      </c>
      <c r="T23" s="97"/>
      <c r="U23" s="74"/>
      <c r="V23" s="74"/>
      <c r="W23" s="74"/>
      <c r="X23" s="95"/>
      <c r="Y23" s="74"/>
      <c r="Z23" s="74"/>
      <c r="AA23" s="74"/>
      <c r="AB23" s="74"/>
      <c r="AC23" s="74"/>
      <c r="AD23" s="74"/>
      <c r="AE23" s="74"/>
      <c r="AF23" s="74"/>
      <c r="AG23" s="74"/>
      <c r="AH23" s="95"/>
      <c r="AI23" s="74"/>
      <c r="AJ23" s="98" t="str">
        <f t="shared" si="27"/>
        <v>-</v>
      </c>
      <c r="AK23" s="98" t="str">
        <f t="shared" si="28"/>
        <v>-</v>
      </c>
      <c r="AL23" s="98" t="str">
        <f t="shared" si="0"/>
        <v>-</v>
      </c>
      <c r="AM23" s="98" t="str">
        <f t="shared" si="29"/>
        <v>-</v>
      </c>
      <c r="AN23" s="98" t="str">
        <f t="shared" si="30"/>
        <v>-</v>
      </c>
      <c r="AO23" s="98" t="str">
        <f t="shared" si="31"/>
        <v>-</v>
      </c>
      <c r="AP23" s="98" t="str">
        <f t="shared" si="32"/>
        <v>-</v>
      </c>
      <c r="AQ23" s="98" t="str">
        <f t="shared" si="33"/>
        <v>-</v>
      </c>
      <c r="AR23" s="98"/>
      <c r="AS23" s="98"/>
      <c r="AT23" s="99" t="e">
        <f t="shared" si="84"/>
        <v>#DIV/0!</v>
      </c>
      <c r="AU23" s="99" t="e">
        <f t="shared" si="84"/>
        <v>#DIV/0!</v>
      </c>
      <c r="AV23" s="99" t="e">
        <f t="shared" si="84"/>
        <v>#DIV/0!</v>
      </c>
      <c r="AW23" s="99" t="e">
        <f t="shared" si="84"/>
        <v>#DIV/0!</v>
      </c>
      <c r="AX23" s="74" t="str">
        <f t="shared" si="35"/>
        <v>-</v>
      </c>
      <c r="AY23" s="74">
        <f t="shared" si="36"/>
        <v>0</v>
      </c>
      <c r="AZ23" s="74">
        <f t="shared" si="37"/>
        <v>0</v>
      </c>
      <c r="BA23" s="98">
        <f t="shared" si="38"/>
        <v>0</v>
      </c>
      <c r="BB23" s="74">
        <f t="shared" si="1"/>
        <v>0</v>
      </c>
      <c r="BC23" s="74">
        <f t="shared" si="2"/>
        <v>0</v>
      </c>
      <c r="BD23" s="74"/>
      <c r="BE23" s="74"/>
      <c r="BF23" s="74"/>
      <c r="BG23" s="74">
        <f t="shared" si="39"/>
        <v>0</v>
      </c>
      <c r="BH23" s="74">
        <f t="shared" si="40"/>
        <v>0</v>
      </c>
      <c r="BI23" s="98">
        <f t="shared" si="41"/>
        <v>0</v>
      </c>
      <c r="BJ23" s="74">
        <f t="shared" si="3"/>
        <v>0</v>
      </c>
      <c r="BK23" s="74">
        <f t="shared" si="4"/>
        <v>0</v>
      </c>
      <c r="BL23" s="74"/>
      <c r="BM23" s="74"/>
      <c r="BN23" s="74">
        <f t="shared" si="42"/>
        <v>0</v>
      </c>
      <c r="BO23" s="74" t="str">
        <f t="shared" si="43"/>
        <v>-</v>
      </c>
      <c r="BP23" s="98" t="str">
        <f t="shared" si="44"/>
        <v>-</v>
      </c>
      <c r="BQ23" s="98" t="str">
        <f t="shared" si="45"/>
        <v>-</v>
      </c>
      <c r="BR23" s="98" t="str">
        <f t="shared" si="5"/>
        <v>-</v>
      </c>
      <c r="BS23" s="98" t="str">
        <f t="shared" si="6"/>
        <v>-</v>
      </c>
      <c r="BT23" s="98" t="str">
        <f t="shared" si="7"/>
        <v>-</v>
      </c>
      <c r="BU23" s="98" t="str">
        <f t="shared" si="8"/>
        <v>-</v>
      </c>
      <c r="BV23" s="98" t="str">
        <f t="shared" si="9"/>
        <v>-</v>
      </c>
      <c r="BW23" s="98" t="str">
        <f t="shared" si="10"/>
        <v>-</v>
      </c>
      <c r="BX23" s="74"/>
      <c r="BY23" s="98"/>
      <c r="BZ23" s="99" t="e">
        <f t="shared" si="85"/>
        <v>#DIV/0!</v>
      </c>
      <c r="CA23" s="99" t="e">
        <f t="shared" si="85"/>
        <v>#DIV/0!</v>
      </c>
      <c r="CB23" s="99" t="e">
        <f t="shared" si="85"/>
        <v>#DIV/0!</v>
      </c>
      <c r="CC23" s="99" t="e">
        <f t="shared" si="85"/>
        <v>#DIV/0!</v>
      </c>
      <c r="CD23" s="74" t="str">
        <f t="shared" si="11"/>
        <v>-</v>
      </c>
      <c r="CE23" s="74">
        <f t="shared" si="47"/>
        <v>0</v>
      </c>
      <c r="CF23" s="74">
        <f t="shared" si="48"/>
        <v>0</v>
      </c>
      <c r="CG23" s="98">
        <f t="shared" si="49"/>
        <v>0</v>
      </c>
      <c r="CH23" s="74">
        <f t="shared" si="12"/>
        <v>0</v>
      </c>
      <c r="CI23" s="74">
        <f t="shared" si="13"/>
        <v>0</v>
      </c>
      <c r="CJ23" s="74"/>
      <c r="CK23" s="74"/>
      <c r="CL23" s="74"/>
      <c r="CM23" s="74">
        <f t="shared" si="14"/>
        <v>0</v>
      </c>
      <c r="CN23" s="74">
        <f t="shared" si="50"/>
        <v>0</v>
      </c>
      <c r="CO23" s="98">
        <f t="shared" si="51"/>
        <v>0</v>
      </c>
      <c r="CP23" s="74">
        <f t="shared" si="15"/>
        <v>0</v>
      </c>
      <c r="CQ23" s="74">
        <f t="shared" si="16"/>
        <v>0</v>
      </c>
      <c r="CR23" s="74"/>
      <c r="CS23" s="74"/>
      <c r="CT23" s="74"/>
      <c r="CU23" s="74"/>
      <c r="CV23" s="98" t="str">
        <f t="shared" si="17"/>
        <v>-</v>
      </c>
      <c r="CW23" s="95" t="str">
        <f t="shared" si="18"/>
        <v>-</v>
      </c>
      <c r="CX23" s="74" t="str">
        <f t="shared" si="52"/>
        <v>-</v>
      </c>
      <c r="CY23" s="74" t="str">
        <f t="shared" si="19"/>
        <v>-</v>
      </c>
      <c r="CZ23" s="100" t="str">
        <f t="shared" si="20"/>
        <v>-</v>
      </c>
      <c r="DA23" s="58" t="str">
        <f t="shared" si="53"/>
        <v>-</v>
      </c>
      <c r="DB23" s="58" t="str">
        <f t="shared" si="54"/>
        <v>-</v>
      </c>
      <c r="DC23" s="58" t="str">
        <f t="shared" si="55"/>
        <v>-</v>
      </c>
      <c r="DD23" s="58" t="str">
        <f t="shared" si="56"/>
        <v>-</v>
      </c>
      <c r="DE23" s="74"/>
      <c r="DF23" s="74"/>
      <c r="DG23" s="74"/>
      <c r="DH23" s="98" t="str">
        <f t="shared" si="57"/>
        <v>-</v>
      </c>
      <c r="DI23" s="98" t="str">
        <f t="shared" si="58"/>
        <v>-</v>
      </c>
      <c r="DJ23" s="74" t="str">
        <f t="shared" si="59"/>
        <v>-</v>
      </c>
      <c r="DK23" s="74" t="str">
        <f t="shared" si="59"/>
        <v>-</v>
      </c>
      <c r="DL23" s="100" t="str">
        <f t="shared" si="22"/>
        <v>-</v>
      </c>
      <c r="DM23" s="58" t="str">
        <f t="shared" si="60"/>
        <v>-</v>
      </c>
      <c r="DN23" s="58" t="str">
        <f t="shared" si="61"/>
        <v>-</v>
      </c>
      <c r="DO23" s="58" t="str">
        <f t="shared" si="62"/>
        <v>-</v>
      </c>
      <c r="DP23" s="58" t="str">
        <f t="shared" si="63"/>
        <v>-</v>
      </c>
      <c r="DQ23" s="100"/>
      <c r="DR23" s="100"/>
      <c r="DS23" s="74"/>
      <c r="DT23" s="98" t="str">
        <f t="shared" si="86"/>
        <v>-</v>
      </c>
      <c r="DU23" s="98" t="str">
        <f t="shared" si="64"/>
        <v>-</v>
      </c>
      <c r="DV23" s="74" t="str">
        <f t="shared" si="65"/>
        <v>-</v>
      </c>
      <c r="DW23" s="74" t="str">
        <f t="shared" si="65"/>
        <v>-</v>
      </c>
      <c r="DX23" s="100" t="str">
        <f t="shared" si="24"/>
        <v>-</v>
      </c>
      <c r="DY23" s="58" t="str">
        <f t="shared" si="66"/>
        <v>-</v>
      </c>
      <c r="DZ23" s="58" t="str">
        <f t="shared" si="67"/>
        <v>-</v>
      </c>
      <c r="EA23" s="58" t="str">
        <f t="shared" si="68"/>
        <v>-</v>
      </c>
      <c r="EB23" s="58" t="str">
        <f t="shared" si="69"/>
        <v>-</v>
      </c>
      <c r="EC23" s="100"/>
      <c r="ED23" s="100"/>
      <c r="EE23" s="74"/>
      <c r="EF23" s="98" t="str">
        <f t="shared" si="70"/>
        <v>-</v>
      </c>
      <c r="EG23" s="98" t="str">
        <f t="shared" si="71"/>
        <v>-</v>
      </c>
      <c r="EH23" s="74" t="str">
        <f t="shared" si="72"/>
        <v>-</v>
      </c>
      <c r="EI23" s="74" t="str">
        <f t="shared" si="72"/>
        <v>-</v>
      </c>
      <c r="EJ23" s="100" t="str">
        <f t="shared" si="26"/>
        <v>-</v>
      </c>
      <c r="EK23" s="58" t="str">
        <f t="shared" si="73"/>
        <v>-</v>
      </c>
      <c r="EL23" s="58" t="str">
        <f t="shared" si="74"/>
        <v>-</v>
      </c>
      <c r="EM23" s="58" t="str">
        <f t="shared" si="75"/>
        <v>-</v>
      </c>
      <c r="EN23" s="58" t="str">
        <f t="shared" si="76"/>
        <v>-</v>
      </c>
      <c r="EO23" s="100"/>
      <c r="EP23" s="100"/>
      <c r="EQ23" s="74"/>
      <c r="ER23" s="98" t="str">
        <f t="shared" si="77"/>
        <v>-</v>
      </c>
      <c r="ES23" s="98" t="str">
        <f t="shared" si="78"/>
        <v>-</v>
      </c>
      <c r="ET23" s="98" t="str">
        <f t="shared" si="79"/>
        <v>-</v>
      </c>
      <c r="EU23" s="98" t="str">
        <f t="shared" si="80"/>
        <v>-</v>
      </c>
      <c r="EV23" s="74"/>
      <c r="EW23" s="74"/>
      <c r="EX23" s="74"/>
      <c r="EY23" s="74" t="str">
        <f>IF(E23=0,"-",LARGE(E6:E50,18))</f>
        <v>-</v>
      </c>
      <c r="EZ23" s="77" t="str">
        <f t="shared" si="81"/>
        <v>-</v>
      </c>
      <c r="FA23" s="77">
        <f t="shared" si="82"/>
        <v>0</v>
      </c>
      <c r="FB23" s="77" t="str">
        <f t="shared" si="83"/>
        <v>-</v>
      </c>
      <c r="FC23" s="77" t="str">
        <f>IF(FB23="-","-",SMALL(FB6:FB50,18))</f>
        <v>-</v>
      </c>
    </row>
    <row r="24" spans="1:159" s="77" customFormat="1">
      <c r="C24" s="95">
        <f>'1'!R21</f>
        <v>0</v>
      </c>
      <c r="D24" s="96">
        <f>'1'!J21</f>
        <v>0</v>
      </c>
      <c r="E24" s="96">
        <f>'1'!K21</f>
        <v>0</v>
      </c>
      <c r="F24" s="74"/>
      <c r="G24" s="74"/>
      <c r="H24" s="74"/>
      <c r="I24" s="74"/>
      <c r="J24" s="74"/>
      <c r="K24" s="74"/>
      <c r="L24" s="96">
        <f>'2'!R21</f>
        <v>0</v>
      </c>
      <c r="M24" s="77">
        <f>'2'!J21</f>
        <v>0</v>
      </c>
      <c r="N24" s="74">
        <f>'2'!K21</f>
        <v>0</v>
      </c>
      <c r="O24" s="74"/>
      <c r="P24" s="58"/>
      <c r="Q24" s="58" t="s">
        <v>18</v>
      </c>
      <c r="R24" s="102" t="e">
        <f>AW18</f>
        <v>#DIV/0!</v>
      </c>
      <c r="S24" s="97" t="e">
        <f>CC20</f>
        <v>#DIV/0!</v>
      </c>
      <c r="T24" s="97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95"/>
      <c r="AI24" s="74"/>
      <c r="AJ24" s="98" t="str">
        <f t="shared" si="27"/>
        <v>-</v>
      </c>
      <c r="AK24" s="98" t="str">
        <f t="shared" si="28"/>
        <v>-</v>
      </c>
      <c r="AL24" s="98" t="str">
        <f t="shared" si="0"/>
        <v>-</v>
      </c>
      <c r="AM24" s="98" t="str">
        <f t="shared" si="29"/>
        <v>-</v>
      </c>
      <c r="AN24" s="98" t="str">
        <f t="shared" si="30"/>
        <v>-</v>
      </c>
      <c r="AO24" s="98" t="str">
        <f t="shared" si="31"/>
        <v>-</v>
      </c>
      <c r="AP24" s="98" t="str">
        <f t="shared" si="32"/>
        <v>-</v>
      </c>
      <c r="AQ24" s="98" t="str">
        <f t="shared" si="33"/>
        <v>-</v>
      </c>
      <c r="AR24" s="98"/>
      <c r="AS24" s="98"/>
      <c r="AT24" s="99" t="e">
        <f t="shared" ref="AT24:AW39" si="87">AT23</f>
        <v>#DIV/0!</v>
      </c>
      <c r="AU24" s="99" t="e">
        <f t="shared" si="87"/>
        <v>#DIV/0!</v>
      </c>
      <c r="AV24" s="99" t="e">
        <f t="shared" si="87"/>
        <v>#DIV/0!</v>
      </c>
      <c r="AW24" s="99" t="e">
        <f t="shared" si="87"/>
        <v>#DIV/0!</v>
      </c>
      <c r="AX24" s="74" t="str">
        <f t="shared" si="35"/>
        <v>-</v>
      </c>
      <c r="AY24" s="74">
        <f t="shared" si="36"/>
        <v>0</v>
      </c>
      <c r="AZ24" s="74">
        <f t="shared" si="37"/>
        <v>0</v>
      </c>
      <c r="BA24" s="98">
        <f t="shared" si="38"/>
        <v>0</v>
      </c>
      <c r="BB24" s="74">
        <f t="shared" si="1"/>
        <v>0</v>
      </c>
      <c r="BC24" s="74">
        <f t="shared" si="2"/>
        <v>0</v>
      </c>
      <c r="BD24" s="74"/>
      <c r="BE24" s="74"/>
      <c r="BF24" s="74"/>
      <c r="BG24" s="74">
        <f t="shared" si="39"/>
        <v>0</v>
      </c>
      <c r="BH24" s="74">
        <f t="shared" si="40"/>
        <v>0</v>
      </c>
      <c r="BI24" s="98">
        <f t="shared" si="41"/>
        <v>0</v>
      </c>
      <c r="BJ24" s="74">
        <f t="shared" si="3"/>
        <v>0</v>
      </c>
      <c r="BK24" s="74">
        <f t="shared" si="4"/>
        <v>0</v>
      </c>
      <c r="BL24" s="74"/>
      <c r="BM24" s="74"/>
      <c r="BN24" s="74">
        <f t="shared" si="42"/>
        <v>0</v>
      </c>
      <c r="BO24" s="74" t="str">
        <f t="shared" si="43"/>
        <v>-</v>
      </c>
      <c r="BP24" s="98" t="str">
        <f t="shared" si="44"/>
        <v>-</v>
      </c>
      <c r="BQ24" s="98" t="str">
        <f t="shared" si="45"/>
        <v>-</v>
      </c>
      <c r="BR24" s="98" t="str">
        <f t="shared" si="5"/>
        <v>-</v>
      </c>
      <c r="BS24" s="98" t="str">
        <f t="shared" si="6"/>
        <v>-</v>
      </c>
      <c r="BT24" s="98" t="str">
        <f t="shared" si="7"/>
        <v>-</v>
      </c>
      <c r="BU24" s="98" t="str">
        <f t="shared" si="8"/>
        <v>-</v>
      </c>
      <c r="BV24" s="98" t="str">
        <f t="shared" si="9"/>
        <v>-</v>
      </c>
      <c r="BW24" s="98" t="str">
        <f t="shared" si="10"/>
        <v>-</v>
      </c>
      <c r="BX24" s="98"/>
      <c r="BY24" s="98"/>
      <c r="BZ24" s="99" t="e">
        <f t="shared" ref="BZ24:CC39" si="88">BZ23</f>
        <v>#DIV/0!</v>
      </c>
      <c r="CA24" s="99" t="e">
        <f t="shared" si="88"/>
        <v>#DIV/0!</v>
      </c>
      <c r="CB24" s="99" t="e">
        <f t="shared" si="88"/>
        <v>#DIV/0!</v>
      </c>
      <c r="CC24" s="99" t="e">
        <f t="shared" si="88"/>
        <v>#DIV/0!</v>
      </c>
      <c r="CD24" s="74" t="str">
        <f t="shared" si="11"/>
        <v>-</v>
      </c>
      <c r="CE24" s="74">
        <f t="shared" si="47"/>
        <v>0</v>
      </c>
      <c r="CF24" s="74">
        <f t="shared" si="48"/>
        <v>0</v>
      </c>
      <c r="CG24" s="98">
        <f t="shared" si="49"/>
        <v>0</v>
      </c>
      <c r="CH24" s="74">
        <f t="shared" si="12"/>
        <v>0</v>
      </c>
      <c r="CI24" s="74">
        <f t="shared" si="13"/>
        <v>0</v>
      </c>
      <c r="CJ24" s="74"/>
      <c r="CK24" s="74"/>
      <c r="CL24" s="74"/>
      <c r="CM24" s="74">
        <f t="shared" si="14"/>
        <v>0</v>
      </c>
      <c r="CN24" s="74">
        <f t="shared" si="50"/>
        <v>0</v>
      </c>
      <c r="CO24" s="98">
        <f t="shared" si="51"/>
        <v>0</v>
      </c>
      <c r="CP24" s="74">
        <f t="shared" si="15"/>
        <v>0</v>
      </c>
      <c r="CQ24" s="74">
        <f t="shared" si="16"/>
        <v>0</v>
      </c>
      <c r="CR24" s="74"/>
      <c r="CS24" s="74"/>
      <c r="CT24" s="74"/>
      <c r="CU24" s="74"/>
      <c r="CV24" s="98" t="str">
        <f t="shared" si="17"/>
        <v>-</v>
      </c>
      <c r="CW24" s="95" t="str">
        <f t="shared" si="18"/>
        <v>-</v>
      </c>
      <c r="CX24" s="74" t="str">
        <f t="shared" si="52"/>
        <v>-</v>
      </c>
      <c r="CY24" s="74" t="str">
        <f t="shared" si="19"/>
        <v>-</v>
      </c>
      <c r="CZ24" s="100" t="str">
        <f t="shared" si="20"/>
        <v>-</v>
      </c>
      <c r="DA24" s="58" t="str">
        <f t="shared" si="53"/>
        <v>-</v>
      </c>
      <c r="DB24" s="58" t="str">
        <f t="shared" si="54"/>
        <v>-</v>
      </c>
      <c r="DC24" s="58" t="str">
        <f t="shared" si="55"/>
        <v>-</v>
      </c>
      <c r="DD24" s="58" t="str">
        <f t="shared" si="56"/>
        <v>-</v>
      </c>
      <c r="DE24" s="74"/>
      <c r="DF24" s="74"/>
      <c r="DG24" s="74"/>
      <c r="DH24" s="98" t="str">
        <f t="shared" si="57"/>
        <v>-</v>
      </c>
      <c r="DI24" s="98" t="str">
        <f t="shared" si="58"/>
        <v>-</v>
      </c>
      <c r="DJ24" s="74" t="str">
        <f t="shared" si="59"/>
        <v>-</v>
      </c>
      <c r="DK24" s="74" t="str">
        <f t="shared" si="59"/>
        <v>-</v>
      </c>
      <c r="DL24" s="100" t="str">
        <f t="shared" si="22"/>
        <v>-</v>
      </c>
      <c r="DM24" s="58" t="str">
        <f t="shared" si="60"/>
        <v>-</v>
      </c>
      <c r="DN24" s="58" t="str">
        <f t="shared" si="61"/>
        <v>-</v>
      </c>
      <c r="DO24" s="58" t="str">
        <f t="shared" si="62"/>
        <v>-</v>
      </c>
      <c r="DP24" s="58" t="str">
        <f t="shared" si="63"/>
        <v>-</v>
      </c>
      <c r="DQ24" s="100"/>
      <c r="DR24" s="100"/>
      <c r="DS24" s="74"/>
      <c r="DT24" s="98" t="str">
        <f t="shared" si="86"/>
        <v>-</v>
      </c>
      <c r="DU24" s="98" t="str">
        <f t="shared" si="64"/>
        <v>-</v>
      </c>
      <c r="DV24" s="74" t="str">
        <f t="shared" si="65"/>
        <v>-</v>
      </c>
      <c r="DW24" s="74" t="str">
        <f t="shared" si="65"/>
        <v>-</v>
      </c>
      <c r="DX24" s="100" t="str">
        <f t="shared" si="24"/>
        <v>-</v>
      </c>
      <c r="DY24" s="58" t="str">
        <f t="shared" si="66"/>
        <v>-</v>
      </c>
      <c r="DZ24" s="58" t="str">
        <f t="shared" si="67"/>
        <v>-</v>
      </c>
      <c r="EA24" s="58" t="str">
        <f t="shared" si="68"/>
        <v>-</v>
      </c>
      <c r="EB24" s="58" t="str">
        <f t="shared" si="69"/>
        <v>-</v>
      </c>
      <c r="EC24" s="100"/>
      <c r="ED24" s="100"/>
      <c r="EE24" s="74"/>
      <c r="EF24" s="98" t="str">
        <f t="shared" si="70"/>
        <v>-</v>
      </c>
      <c r="EG24" s="98" t="str">
        <f t="shared" si="71"/>
        <v>-</v>
      </c>
      <c r="EH24" s="74" t="str">
        <f t="shared" si="72"/>
        <v>-</v>
      </c>
      <c r="EI24" s="74" t="str">
        <f t="shared" si="72"/>
        <v>-</v>
      </c>
      <c r="EJ24" s="100" t="str">
        <f t="shared" si="26"/>
        <v>-</v>
      </c>
      <c r="EK24" s="58" t="str">
        <f t="shared" si="73"/>
        <v>-</v>
      </c>
      <c r="EL24" s="58" t="str">
        <f t="shared" si="74"/>
        <v>-</v>
      </c>
      <c r="EM24" s="58" t="str">
        <f t="shared" si="75"/>
        <v>-</v>
      </c>
      <c r="EN24" s="58" t="str">
        <f t="shared" si="76"/>
        <v>-</v>
      </c>
      <c r="EO24" s="100"/>
      <c r="EP24" s="100"/>
      <c r="EQ24" s="74"/>
      <c r="ER24" s="98" t="str">
        <f t="shared" si="77"/>
        <v>-</v>
      </c>
      <c r="ES24" s="98" t="str">
        <f t="shared" si="78"/>
        <v>-</v>
      </c>
      <c r="ET24" s="98" t="str">
        <f t="shared" si="79"/>
        <v>-</v>
      </c>
      <c r="EU24" s="98" t="str">
        <f t="shared" si="80"/>
        <v>-</v>
      </c>
      <c r="EV24" s="74"/>
      <c r="EW24" s="74"/>
      <c r="EX24" s="74"/>
      <c r="EY24" s="74" t="str">
        <f>IF(E24=0,"-",LARGE(E6:E50,19))</f>
        <v>-</v>
      </c>
      <c r="EZ24" s="77" t="str">
        <f t="shared" si="81"/>
        <v>-</v>
      </c>
      <c r="FA24" s="77">
        <f t="shared" si="82"/>
        <v>0</v>
      </c>
      <c r="FB24" s="77" t="str">
        <f t="shared" si="83"/>
        <v>-</v>
      </c>
      <c r="FC24" s="77" t="str">
        <f>IF(FB24="-","-",SMALL(FB6:FB50,19))</f>
        <v>-</v>
      </c>
    </row>
    <row r="25" spans="1:159" s="77" customFormat="1">
      <c r="C25" s="95">
        <f>'1'!R22</f>
        <v>0</v>
      </c>
      <c r="D25" s="96">
        <f>'1'!J22</f>
        <v>0</v>
      </c>
      <c r="E25" s="96">
        <f>'1'!K22</f>
        <v>0</v>
      </c>
      <c r="F25" s="74"/>
      <c r="G25" s="74"/>
      <c r="H25" s="74"/>
      <c r="I25" s="74"/>
      <c r="J25" s="74"/>
      <c r="K25" s="74"/>
      <c r="L25" s="96">
        <f>'2'!R22</f>
        <v>0</v>
      </c>
      <c r="M25" s="77">
        <f>'2'!J22</f>
        <v>0</v>
      </c>
      <c r="N25" s="74">
        <f>'2'!K22</f>
        <v>0</v>
      </c>
      <c r="O25" s="74"/>
      <c r="P25" s="58"/>
      <c r="Q25" s="58" t="s">
        <v>27</v>
      </c>
      <c r="R25" s="102" t="e">
        <f>AVERAGE(AQ6:AQ35)</f>
        <v>#DIV/0!</v>
      </c>
      <c r="S25" s="97" t="e">
        <f>AVERAGE(BW6:BW35)</f>
        <v>#DIV/0!</v>
      </c>
      <c r="T25" s="97" t="e">
        <f>AVERAGE(EU6:EU35)</f>
        <v>#DIV/0!</v>
      </c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95"/>
      <c r="AI25" s="74"/>
      <c r="AJ25" s="98" t="str">
        <f t="shared" si="27"/>
        <v>-</v>
      </c>
      <c r="AK25" s="98" t="str">
        <f t="shared" si="28"/>
        <v>-</v>
      </c>
      <c r="AL25" s="98" t="str">
        <f t="shared" si="0"/>
        <v>-</v>
      </c>
      <c r="AM25" s="98" t="str">
        <f t="shared" si="29"/>
        <v>-</v>
      </c>
      <c r="AN25" s="98" t="str">
        <f t="shared" si="30"/>
        <v>-</v>
      </c>
      <c r="AO25" s="98" t="str">
        <f t="shared" si="31"/>
        <v>-</v>
      </c>
      <c r="AP25" s="98" t="str">
        <f t="shared" si="32"/>
        <v>-</v>
      </c>
      <c r="AQ25" s="98" t="str">
        <f t="shared" si="33"/>
        <v>-</v>
      </c>
      <c r="AR25" s="98"/>
      <c r="AS25" s="98"/>
      <c r="AT25" s="99" t="e">
        <f t="shared" si="87"/>
        <v>#DIV/0!</v>
      </c>
      <c r="AU25" s="99" t="e">
        <f t="shared" si="87"/>
        <v>#DIV/0!</v>
      </c>
      <c r="AV25" s="99" t="e">
        <f t="shared" si="87"/>
        <v>#DIV/0!</v>
      </c>
      <c r="AW25" s="99" t="e">
        <f t="shared" si="87"/>
        <v>#DIV/0!</v>
      </c>
      <c r="AX25" s="74" t="str">
        <f t="shared" si="35"/>
        <v>-</v>
      </c>
      <c r="AY25" s="74">
        <f t="shared" si="36"/>
        <v>0</v>
      </c>
      <c r="AZ25" s="74">
        <f t="shared" si="37"/>
        <v>0</v>
      </c>
      <c r="BA25" s="98">
        <f t="shared" si="38"/>
        <v>0</v>
      </c>
      <c r="BB25" s="74">
        <f t="shared" si="1"/>
        <v>0</v>
      </c>
      <c r="BC25" s="74">
        <f t="shared" si="2"/>
        <v>0</v>
      </c>
      <c r="BD25" s="74"/>
      <c r="BE25" s="74"/>
      <c r="BF25" s="74"/>
      <c r="BG25" s="74">
        <f t="shared" si="39"/>
        <v>0</v>
      </c>
      <c r="BH25" s="74">
        <f t="shared" si="40"/>
        <v>0</v>
      </c>
      <c r="BI25" s="98">
        <f t="shared" si="41"/>
        <v>0</v>
      </c>
      <c r="BJ25" s="74">
        <f t="shared" si="3"/>
        <v>0</v>
      </c>
      <c r="BK25" s="74">
        <f t="shared" si="4"/>
        <v>0</v>
      </c>
      <c r="BL25" s="74"/>
      <c r="BM25" s="74"/>
      <c r="BN25" s="74">
        <f t="shared" si="42"/>
        <v>0</v>
      </c>
      <c r="BO25" s="74" t="str">
        <f t="shared" si="43"/>
        <v>-</v>
      </c>
      <c r="BP25" s="98" t="str">
        <f t="shared" si="44"/>
        <v>-</v>
      </c>
      <c r="BQ25" s="98" t="str">
        <f t="shared" si="45"/>
        <v>-</v>
      </c>
      <c r="BR25" s="98" t="str">
        <f t="shared" si="5"/>
        <v>-</v>
      </c>
      <c r="BS25" s="98" t="str">
        <f t="shared" si="6"/>
        <v>-</v>
      </c>
      <c r="BT25" s="98" t="str">
        <f t="shared" si="7"/>
        <v>-</v>
      </c>
      <c r="BU25" s="98" t="str">
        <f t="shared" si="8"/>
        <v>-</v>
      </c>
      <c r="BV25" s="98" t="str">
        <f t="shared" si="9"/>
        <v>-</v>
      </c>
      <c r="BW25" s="98" t="str">
        <f t="shared" si="10"/>
        <v>-</v>
      </c>
      <c r="BX25" s="98"/>
      <c r="BY25" s="98"/>
      <c r="BZ25" s="99" t="e">
        <f t="shared" si="88"/>
        <v>#DIV/0!</v>
      </c>
      <c r="CA25" s="99" t="e">
        <f t="shared" si="88"/>
        <v>#DIV/0!</v>
      </c>
      <c r="CB25" s="99" t="e">
        <f t="shared" si="88"/>
        <v>#DIV/0!</v>
      </c>
      <c r="CC25" s="99" t="e">
        <f t="shared" si="88"/>
        <v>#DIV/0!</v>
      </c>
      <c r="CD25" s="74" t="str">
        <f t="shared" si="11"/>
        <v>-</v>
      </c>
      <c r="CE25" s="74">
        <f t="shared" si="47"/>
        <v>0</v>
      </c>
      <c r="CF25" s="74">
        <f t="shared" si="48"/>
        <v>0</v>
      </c>
      <c r="CG25" s="98">
        <f t="shared" si="49"/>
        <v>0</v>
      </c>
      <c r="CH25" s="74">
        <f t="shared" si="12"/>
        <v>0</v>
      </c>
      <c r="CI25" s="74">
        <f t="shared" si="13"/>
        <v>0</v>
      </c>
      <c r="CJ25" s="74"/>
      <c r="CK25" s="74"/>
      <c r="CL25" s="74"/>
      <c r="CM25" s="74">
        <f t="shared" si="14"/>
        <v>0</v>
      </c>
      <c r="CN25" s="74">
        <f t="shared" si="50"/>
        <v>0</v>
      </c>
      <c r="CO25" s="98">
        <f t="shared" si="51"/>
        <v>0</v>
      </c>
      <c r="CP25" s="74">
        <f t="shared" si="15"/>
        <v>0</v>
      </c>
      <c r="CQ25" s="74">
        <f t="shared" si="16"/>
        <v>0</v>
      </c>
      <c r="CR25" s="74"/>
      <c r="CS25" s="74"/>
      <c r="CT25" s="74"/>
      <c r="CU25" s="74"/>
      <c r="CV25" s="98" t="str">
        <f t="shared" si="17"/>
        <v>-</v>
      </c>
      <c r="CW25" s="95" t="str">
        <f t="shared" si="18"/>
        <v>-</v>
      </c>
      <c r="CX25" s="74" t="str">
        <f t="shared" si="52"/>
        <v>-</v>
      </c>
      <c r="CY25" s="74" t="str">
        <f t="shared" si="19"/>
        <v>-</v>
      </c>
      <c r="CZ25" s="100" t="str">
        <f t="shared" si="20"/>
        <v>-</v>
      </c>
      <c r="DA25" s="58" t="str">
        <f t="shared" si="53"/>
        <v>-</v>
      </c>
      <c r="DB25" s="58" t="str">
        <f t="shared" si="54"/>
        <v>-</v>
      </c>
      <c r="DC25" s="58" t="str">
        <f t="shared" si="55"/>
        <v>-</v>
      </c>
      <c r="DD25" s="58" t="str">
        <f t="shared" si="56"/>
        <v>-</v>
      </c>
      <c r="DE25" s="74"/>
      <c r="DF25" s="74"/>
      <c r="DG25" s="74"/>
      <c r="DH25" s="98" t="str">
        <f t="shared" si="57"/>
        <v>-</v>
      </c>
      <c r="DI25" s="98" t="str">
        <f t="shared" si="58"/>
        <v>-</v>
      </c>
      <c r="DJ25" s="74" t="str">
        <f t="shared" si="59"/>
        <v>-</v>
      </c>
      <c r="DK25" s="74" t="str">
        <f t="shared" si="59"/>
        <v>-</v>
      </c>
      <c r="DL25" s="100" t="str">
        <f t="shared" si="22"/>
        <v>-</v>
      </c>
      <c r="DM25" s="58" t="str">
        <f t="shared" si="60"/>
        <v>-</v>
      </c>
      <c r="DN25" s="58" t="str">
        <f t="shared" si="61"/>
        <v>-</v>
      </c>
      <c r="DO25" s="58" t="str">
        <f t="shared" si="62"/>
        <v>-</v>
      </c>
      <c r="DP25" s="58" t="str">
        <f t="shared" si="63"/>
        <v>-</v>
      </c>
      <c r="DQ25" s="100"/>
      <c r="DR25" s="100"/>
      <c r="DS25" s="74"/>
      <c r="DT25" s="98" t="str">
        <f t="shared" si="86"/>
        <v>-</v>
      </c>
      <c r="DU25" s="98" t="str">
        <f t="shared" si="64"/>
        <v>-</v>
      </c>
      <c r="DV25" s="74" t="str">
        <f t="shared" si="65"/>
        <v>-</v>
      </c>
      <c r="DW25" s="74" t="str">
        <f t="shared" si="65"/>
        <v>-</v>
      </c>
      <c r="DX25" s="100" t="str">
        <f t="shared" si="24"/>
        <v>-</v>
      </c>
      <c r="DY25" s="58" t="str">
        <f t="shared" si="66"/>
        <v>-</v>
      </c>
      <c r="DZ25" s="58" t="str">
        <f t="shared" si="67"/>
        <v>-</v>
      </c>
      <c r="EA25" s="58" t="str">
        <f t="shared" si="68"/>
        <v>-</v>
      </c>
      <c r="EB25" s="58" t="str">
        <f t="shared" si="69"/>
        <v>-</v>
      </c>
      <c r="EC25" s="100"/>
      <c r="ED25" s="100"/>
      <c r="EE25" s="74"/>
      <c r="EF25" s="98" t="str">
        <f t="shared" si="70"/>
        <v>-</v>
      </c>
      <c r="EG25" s="98" t="str">
        <f t="shared" si="71"/>
        <v>-</v>
      </c>
      <c r="EH25" s="74" t="str">
        <f t="shared" si="72"/>
        <v>-</v>
      </c>
      <c r="EI25" s="74" t="str">
        <f t="shared" si="72"/>
        <v>-</v>
      </c>
      <c r="EJ25" s="100" t="str">
        <f t="shared" si="26"/>
        <v>-</v>
      </c>
      <c r="EK25" s="58" t="str">
        <f t="shared" si="73"/>
        <v>-</v>
      </c>
      <c r="EL25" s="58" t="str">
        <f t="shared" si="74"/>
        <v>-</v>
      </c>
      <c r="EM25" s="58" t="str">
        <f t="shared" si="75"/>
        <v>-</v>
      </c>
      <c r="EN25" s="58" t="str">
        <f t="shared" si="76"/>
        <v>-</v>
      </c>
      <c r="EO25" s="100"/>
      <c r="EP25" s="100"/>
      <c r="EQ25" s="74"/>
      <c r="ER25" s="98" t="str">
        <f t="shared" si="77"/>
        <v>-</v>
      </c>
      <c r="ES25" s="98" t="str">
        <f t="shared" si="78"/>
        <v>-</v>
      </c>
      <c r="ET25" s="98" t="str">
        <f t="shared" si="79"/>
        <v>-</v>
      </c>
      <c r="EU25" s="98" t="str">
        <f t="shared" si="80"/>
        <v>-</v>
      </c>
      <c r="EV25" s="74"/>
      <c r="EW25" s="74"/>
      <c r="EX25" s="74"/>
      <c r="EY25" s="74" t="str">
        <f>IF(E25=0,"-",LARGE(E6:E50,20))</f>
        <v>-</v>
      </c>
      <c r="EZ25" s="77" t="str">
        <f t="shared" si="81"/>
        <v>-</v>
      </c>
      <c r="FA25" s="77">
        <f t="shared" si="82"/>
        <v>0</v>
      </c>
      <c r="FB25" s="77" t="str">
        <f t="shared" si="83"/>
        <v>-</v>
      </c>
      <c r="FC25" s="77" t="str">
        <f>IF(FB25="-","-",SMALL(FB6:FB50,20))</f>
        <v>-</v>
      </c>
    </row>
    <row r="26" spans="1:159" s="77" customFormat="1">
      <c r="C26" s="95">
        <f>'1'!R23</f>
        <v>0</v>
      </c>
      <c r="D26" s="96">
        <f>'1'!J23</f>
        <v>0</v>
      </c>
      <c r="E26" s="96">
        <f>'1'!K23</f>
        <v>0</v>
      </c>
      <c r="F26" s="74"/>
      <c r="G26" s="74"/>
      <c r="H26" s="74"/>
      <c r="I26" s="74"/>
      <c r="J26" s="74"/>
      <c r="K26" s="74"/>
      <c r="L26" s="96">
        <f>'2'!R23</f>
        <v>0</v>
      </c>
      <c r="M26" s="77">
        <f>'2'!J23</f>
        <v>0</v>
      </c>
      <c r="N26" s="74">
        <f>'2'!K23</f>
        <v>0</v>
      </c>
      <c r="O26" s="74"/>
      <c r="P26" s="58"/>
      <c r="Q26" s="58" t="s">
        <v>28</v>
      </c>
      <c r="R26" s="102" t="e">
        <f>STDEV(AQ6:AQ35)</f>
        <v>#DIV/0!</v>
      </c>
      <c r="S26" s="97" t="e">
        <f>STDEV(BW6:BW35)</f>
        <v>#DIV/0!</v>
      </c>
      <c r="T26" s="97" t="e">
        <f>STDEV(EU6:EU35)</f>
        <v>#DIV/0!</v>
      </c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95"/>
      <c r="AI26" s="74"/>
      <c r="AJ26" s="98" t="str">
        <f t="shared" si="27"/>
        <v>-</v>
      </c>
      <c r="AK26" s="98" t="str">
        <f t="shared" si="28"/>
        <v>-</v>
      </c>
      <c r="AL26" s="98" t="str">
        <f t="shared" si="0"/>
        <v>-</v>
      </c>
      <c r="AM26" s="98" t="str">
        <f t="shared" si="29"/>
        <v>-</v>
      </c>
      <c r="AN26" s="98" t="str">
        <f t="shared" si="30"/>
        <v>-</v>
      </c>
      <c r="AO26" s="98" t="str">
        <f t="shared" si="31"/>
        <v>-</v>
      </c>
      <c r="AP26" s="98" t="str">
        <f t="shared" si="32"/>
        <v>-</v>
      </c>
      <c r="AQ26" s="98" t="str">
        <f t="shared" si="33"/>
        <v>-</v>
      </c>
      <c r="AR26" s="98"/>
      <c r="AS26" s="98"/>
      <c r="AT26" s="99" t="e">
        <f t="shared" si="87"/>
        <v>#DIV/0!</v>
      </c>
      <c r="AU26" s="99" t="e">
        <f t="shared" si="87"/>
        <v>#DIV/0!</v>
      </c>
      <c r="AV26" s="99" t="e">
        <f t="shared" si="87"/>
        <v>#DIV/0!</v>
      </c>
      <c r="AW26" s="99" t="e">
        <f t="shared" si="87"/>
        <v>#DIV/0!</v>
      </c>
      <c r="AX26" s="74" t="str">
        <f t="shared" si="35"/>
        <v>-</v>
      </c>
      <c r="AY26" s="74">
        <f t="shared" si="36"/>
        <v>0</v>
      </c>
      <c r="AZ26" s="74">
        <f t="shared" si="37"/>
        <v>0</v>
      </c>
      <c r="BA26" s="98">
        <f t="shared" si="38"/>
        <v>0</v>
      </c>
      <c r="BB26" s="74">
        <f t="shared" si="1"/>
        <v>0</v>
      </c>
      <c r="BC26" s="74">
        <f t="shared" si="2"/>
        <v>0</v>
      </c>
      <c r="BD26" s="74"/>
      <c r="BE26" s="74"/>
      <c r="BF26" s="74"/>
      <c r="BG26" s="74">
        <f t="shared" si="39"/>
        <v>0</v>
      </c>
      <c r="BH26" s="74">
        <f t="shared" si="40"/>
        <v>0</v>
      </c>
      <c r="BI26" s="98">
        <f t="shared" si="41"/>
        <v>0</v>
      </c>
      <c r="BJ26" s="74">
        <f t="shared" si="3"/>
        <v>0</v>
      </c>
      <c r="BK26" s="74">
        <f t="shared" si="4"/>
        <v>0</v>
      </c>
      <c r="BL26" s="74"/>
      <c r="BM26" s="74"/>
      <c r="BN26" s="74">
        <f t="shared" si="42"/>
        <v>0</v>
      </c>
      <c r="BO26" s="74" t="str">
        <f t="shared" si="43"/>
        <v>-</v>
      </c>
      <c r="BP26" s="98" t="str">
        <f t="shared" si="44"/>
        <v>-</v>
      </c>
      <c r="BQ26" s="98" t="str">
        <f t="shared" si="45"/>
        <v>-</v>
      </c>
      <c r="BR26" s="98" t="str">
        <f t="shared" si="5"/>
        <v>-</v>
      </c>
      <c r="BS26" s="98" t="str">
        <f t="shared" si="6"/>
        <v>-</v>
      </c>
      <c r="BT26" s="98" t="str">
        <f t="shared" si="7"/>
        <v>-</v>
      </c>
      <c r="BU26" s="98" t="str">
        <f t="shared" si="8"/>
        <v>-</v>
      </c>
      <c r="BV26" s="98" t="str">
        <f t="shared" si="9"/>
        <v>-</v>
      </c>
      <c r="BW26" s="98" t="str">
        <f t="shared" si="10"/>
        <v>-</v>
      </c>
      <c r="BX26" s="98"/>
      <c r="BY26" s="98"/>
      <c r="BZ26" s="99" t="e">
        <f t="shared" si="88"/>
        <v>#DIV/0!</v>
      </c>
      <c r="CA26" s="99" t="e">
        <f t="shared" si="88"/>
        <v>#DIV/0!</v>
      </c>
      <c r="CB26" s="99" t="e">
        <f t="shared" si="88"/>
        <v>#DIV/0!</v>
      </c>
      <c r="CC26" s="99" t="e">
        <f t="shared" si="88"/>
        <v>#DIV/0!</v>
      </c>
      <c r="CD26" s="74" t="str">
        <f t="shared" si="11"/>
        <v>-</v>
      </c>
      <c r="CE26" s="74">
        <f t="shared" si="47"/>
        <v>0</v>
      </c>
      <c r="CF26" s="74">
        <f t="shared" si="48"/>
        <v>0</v>
      </c>
      <c r="CG26" s="98">
        <f t="shared" si="49"/>
        <v>0</v>
      </c>
      <c r="CH26" s="74">
        <f t="shared" si="12"/>
        <v>0</v>
      </c>
      <c r="CI26" s="74">
        <f t="shared" si="13"/>
        <v>0</v>
      </c>
      <c r="CJ26" s="74"/>
      <c r="CK26" s="74"/>
      <c r="CL26" s="74"/>
      <c r="CM26" s="74">
        <f t="shared" si="14"/>
        <v>0</v>
      </c>
      <c r="CN26" s="74">
        <f t="shared" si="50"/>
        <v>0</v>
      </c>
      <c r="CO26" s="98">
        <f t="shared" si="51"/>
        <v>0</v>
      </c>
      <c r="CP26" s="74">
        <f t="shared" si="15"/>
        <v>0</v>
      </c>
      <c r="CQ26" s="74">
        <f t="shared" si="16"/>
        <v>0</v>
      </c>
      <c r="CR26" s="74"/>
      <c r="CS26" s="74"/>
      <c r="CT26" s="74"/>
      <c r="CU26" s="74"/>
      <c r="CV26" s="98" t="str">
        <f t="shared" si="17"/>
        <v>-</v>
      </c>
      <c r="CW26" s="95" t="str">
        <f t="shared" si="18"/>
        <v>-</v>
      </c>
      <c r="CX26" s="74" t="str">
        <f t="shared" si="52"/>
        <v>-</v>
      </c>
      <c r="CY26" s="74" t="str">
        <f t="shared" si="19"/>
        <v>-</v>
      </c>
      <c r="CZ26" s="100" t="str">
        <f t="shared" si="20"/>
        <v>-</v>
      </c>
      <c r="DA26" s="58" t="str">
        <f t="shared" si="53"/>
        <v>-</v>
      </c>
      <c r="DB26" s="58" t="str">
        <f t="shared" si="54"/>
        <v>-</v>
      </c>
      <c r="DC26" s="58" t="str">
        <f t="shared" si="55"/>
        <v>-</v>
      </c>
      <c r="DD26" s="58" t="str">
        <f t="shared" si="56"/>
        <v>-</v>
      </c>
      <c r="DE26" s="74"/>
      <c r="DF26" s="74"/>
      <c r="DG26" s="74"/>
      <c r="DH26" s="98" t="str">
        <f t="shared" si="57"/>
        <v>-</v>
      </c>
      <c r="DI26" s="98" t="str">
        <f t="shared" si="58"/>
        <v>-</v>
      </c>
      <c r="DJ26" s="74" t="str">
        <f t="shared" si="59"/>
        <v>-</v>
      </c>
      <c r="DK26" s="74" t="str">
        <f t="shared" si="59"/>
        <v>-</v>
      </c>
      <c r="DL26" s="100" t="str">
        <f t="shared" si="22"/>
        <v>-</v>
      </c>
      <c r="DM26" s="58" t="str">
        <f t="shared" si="60"/>
        <v>-</v>
      </c>
      <c r="DN26" s="58" t="str">
        <f t="shared" si="61"/>
        <v>-</v>
      </c>
      <c r="DO26" s="58" t="str">
        <f t="shared" si="62"/>
        <v>-</v>
      </c>
      <c r="DP26" s="58" t="str">
        <f t="shared" si="63"/>
        <v>-</v>
      </c>
      <c r="DQ26" s="100"/>
      <c r="DR26" s="100"/>
      <c r="DS26" s="74"/>
      <c r="DT26" s="98" t="str">
        <f t="shared" si="86"/>
        <v>-</v>
      </c>
      <c r="DU26" s="98" t="str">
        <f t="shared" si="64"/>
        <v>-</v>
      </c>
      <c r="DV26" s="74" t="str">
        <f t="shared" si="65"/>
        <v>-</v>
      </c>
      <c r="DW26" s="74" t="str">
        <f t="shared" si="65"/>
        <v>-</v>
      </c>
      <c r="DX26" s="100" t="str">
        <f t="shared" si="24"/>
        <v>-</v>
      </c>
      <c r="DY26" s="58" t="str">
        <f t="shared" si="66"/>
        <v>-</v>
      </c>
      <c r="DZ26" s="58" t="str">
        <f t="shared" si="67"/>
        <v>-</v>
      </c>
      <c r="EA26" s="58" t="str">
        <f t="shared" si="68"/>
        <v>-</v>
      </c>
      <c r="EB26" s="58" t="str">
        <f t="shared" si="69"/>
        <v>-</v>
      </c>
      <c r="EC26" s="100"/>
      <c r="ED26" s="100"/>
      <c r="EE26" s="74"/>
      <c r="EF26" s="98" t="str">
        <f t="shared" si="70"/>
        <v>-</v>
      </c>
      <c r="EG26" s="98" t="str">
        <f t="shared" si="71"/>
        <v>-</v>
      </c>
      <c r="EH26" s="74" t="str">
        <f t="shared" si="72"/>
        <v>-</v>
      </c>
      <c r="EI26" s="74" t="str">
        <f t="shared" si="72"/>
        <v>-</v>
      </c>
      <c r="EJ26" s="100" t="str">
        <f t="shared" si="26"/>
        <v>-</v>
      </c>
      <c r="EK26" s="58" t="str">
        <f t="shared" si="73"/>
        <v>-</v>
      </c>
      <c r="EL26" s="58" t="str">
        <f t="shared" si="74"/>
        <v>-</v>
      </c>
      <c r="EM26" s="58" t="str">
        <f t="shared" si="75"/>
        <v>-</v>
      </c>
      <c r="EN26" s="58" t="str">
        <f t="shared" si="76"/>
        <v>-</v>
      </c>
      <c r="EO26" s="100"/>
      <c r="EP26" s="100"/>
      <c r="EQ26" s="74"/>
      <c r="ER26" s="98" t="str">
        <f t="shared" si="77"/>
        <v>-</v>
      </c>
      <c r="ES26" s="98" t="str">
        <f t="shared" si="78"/>
        <v>-</v>
      </c>
      <c r="ET26" s="98" t="str">
        <f t="shared" si="79"/>
        <v>-</v>
      </c>
      <c r="EU26" s="98" t="str">
        <f t="shared" si="80"/>
        <v>-</v>
      </c>
      <c r="EV26" s="74"/>
      <c r="EW26" s="74"/>
      <c r="EX26" s="74"/>
      <c r="EY26" s="74" t="str">
        <f>IF(E26=0,"-",LARGE(E6:E50,21))</f>
        <v>-</v>
      </c>
      <c r="EZ26" s="77" t="str">
        <f t="shared" si="81"/>
        <v>-</v>
      </c>
      <c r="FA26" s="77">
        <f t="shared" si="82"/>
        <v>0</v>
      </c>
      <c r="FB26" s="77" t="str">
        <f t="shared" si="83"/>
        <v>-</v>
      </c>
      <c r="FC26" s="77" t="str">
        <f>IF(FB26="-","-",SMALL(FB6:FB50,21))</f>
        <v>-</v>
      </c>
    </row>
    <row r="27" spans="1:159" s="77" customFormat="1">
      <c r="C27" s="95">
        <f>'1'!R24</f>
        <v>0</v>
      </c>
      <c r="D27" s="96">
        <f>'1'!J24</f>
        <v>0</v>
      </c>
      <c r="E27" s="96">
        <f>'1'!K24</f>
        <v>0</v>
      </c>
      <c r="F27" s="74"/>
      <c r="G27" s="74"/>
      <c r="H27" s="74"/>
      <c r="I27" s="74"/>
      <c r="J27" s="74"/>
      <c r="K27" s="74"/>
      <c r="L27" s="96">
        <f>'2'!R24</f>
        <v>0</v>
      </c>
      <c r="M27" s="77">
        <f>'2'!J24</f>
        <v>0</v>
      </c>
      <c r="N27" s="74">
        <f>'2'!K24</f>
        <v>0</v>
      </c>
      <c r="O27" s="74"/>
      <c r="P27" s="58"/>
      <c r="Q27" s="58" t="s">
        <v>29</v>
      </c>
      <c r="R27" s="102">
        <f>MAX(AQ6:AQ35)</f>
        <v>0</v>
      </c>
      <c r="S27" s="97">
        <f>MAX(BW6:BW35)</f>
        <v>0</v>
      </c>
      <c r="T27" s="97">
        <f>MAX(EU6:EU35)</f>
        <v>0</v>
      </c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95"/>
      <c r="AI27" s="74"/>
      <c r="AJ27" s="98" t="str">
        <f t="shared" si="27"/>
        <v>-</v>
      </c>
      <c r="AK27" s="98" t="str">
        <f t="shared" si="28"/>
        <v>-</v>
      </c>
      <c r="AL27" s="98" t="str">
        <f t="shared" si="0"/>
        <v>-</v>
      </c>
      <c r="AM27" s="98" t="str">
        <f t="shared" si="29"/>
        <v>-</v>
      </c>
      <c r="AN27" s="98" t="str">
        <f t="shared" si="30"/>
        <v>-</v>
      </c>
      <c r="AO27" s="98" t="str">
        <f t="shared" si="31"/>
        <v>-</v>
      </c>
      <c r="AP27" s="98" t="str">
        <f t="shared" si="32"/>
        <v>-</v>
      </c>
      <c r="AQ27" s="98" t="str">
        <f t="shared" si="33"/>
        <v>-</v>
      </c>
      <c r="AR27" s="98"/>
      <c r="AS27" s="98"/>
      <c r="AT27" s="99" t="e">
        <f t="shared" si="87"/>
        <v>#DIV/0!</v>
      </c>
      <c r="AU27" s="99" t="e">
        <f t="shared" si="87"/>
        <v>#DIV/0!</v>
      </c>
      <c r="AV27" s="99" t="e">
        <f t="shared" si="87"/>
        <v>#DIV/0!</v>
      </c>
      <c r="AW27" s="99" t="e">
        <f t="shared" si="87"/>
        <v>#DIV/0!</v>
      </c>
      <c r="AX27" s="74" t="str">
        <f t="shared" si="35"/>
        <v>-</v>
      </c>
      <c r="AY27" s="74">
        <f t="shared" si="36"/>
        <v>0</v>
      </c>
      <c r="AZ27" s="74">
        <f t="shared" si="37"/>
        <v>0</v>
      </c>
      <c r="BA27" s="98">
        <f t="shared" si="38"/>
        <v>0</v>
      </c>
      <c r="BB27" s="74">
        <f t="shared" si="1"/>
        <v>0</v>
      </c>
      <c r="BC27" s="74">
        <f t="shared" si="2"/>
        <v>0</v>
      </c>
      <c r="BD27" s="74"/>
      <c r="BE27" s="74"/>
      <c r="BF27" s="74"/>
      <c r="BG27" s="74">
        <f t="shared" si="39"/>
        <v>0</v>
      </c>
      <c r="BH27" s="74">
        <f t="shared" si="40"/>
        <v>0</v>
      </c>
      <c r="BI27" s="98">
        <f t="shared" si="41"/>
        <v>0</v>
      </c>
      <c r="BJ27" s="74">
        <f t="shared" si="3"/>
        <v>0</v>
      </c>
      <c r="BK27" s="74">
        <f t="shared" si="4"/>
        <v>0</v>
      </c>
      <c r="BL27" s="74"/>
      <c r="BM27" s="74"/>
      <c r="BN27" s="74">
        <f t="shared" si="42"/>
        <v>0</v>
      </c>
      <c r="BO27" s="74" t="str">
        <f t="shared" si="43"/>
        <v>-</v>
      </c>
      <c r="BP27" s="98" t="str">
        <f t="shared" si="44"/>
        <v>-</v>
      </c>
      <c r="BQ27" s="98" t="str">
        <f t="shared" si="45"/>
        <v>-</v>
      </c>
      <c r="BR27" s="98" t="str">
        <f t="shared" si="5"/>
        <v>-</v>
      </c>
      <c r="BS27" s="98" t="str">
        <f t="shared" si="6"/>
        <v>-</v>
      </c>
      <c r="BT27" s="98" t="str">
        <f t="shared" si="7"/>
        <v>-</v>
      </c>
      <c r="BU27" s="98" t="str">
        <f t="shared" si="8"/>
        <v>-</v>
      </c>
      <c r="BV27" s="98" t="str">
        <f t="shared" si="9"/>
        <v>-</v>
      </c>
      <c r="BW27" s="98" t="str">
        <f t="shared" si="10"/>
        <v>-</v>
      </c>
      <c r="BX27" s="98"/>
      <c r="BY27" s="98"/>
      <c r="BZ27" s="99" t="e">
        <f t="shared" si="88"/>
        <v>#DIV/0!</v>
      </c>
      <c r="CA27" s="99" t="e">
        <f t="shared" si="88"/>
        <v>#DIV/0!</v>
      </c>
      <c r="CB27" s="99" t="e">
        <f t="shared" si="88"/>
        <v>#DIV/0!</v>
      </c>
      <c r="CC27" s="99" t="e">
        <f t="shared" si="88"/>
        <v>#DIV/0!</v>
      </c>
      <c r="CD27" s="74" t="str">
        <f t="shared" si="11"/>
        <v>-</v>
      </c>
      <c r="CE27" s="74">
        <f t="shared" si="47"/>
        <v>0</v>
      </c>
      <c r="CF27" s="74">
        <f t="shared" si="48"/>
        <v>0</v>
      </c>
      <c r="CG27" s="98">
        <f t="shared" si="49"/>
        <v>0</v>
      </c>
      <c r="CH27" s="74">
        <f t="shared" si="12"/>
        <v>0</v>
      </c>
      <c r="CI27" s="74">
        <f t="shared" si="13"/>
        <v>0</v>
      </c>
      <c r="CJ27" s="74"/>
      <c r="CK27" s="74"/>
      <c r="CL27" s="74"/>
      <c r="CM27" s="74">
        <f t="shared" si="14"/>
        <v>0</v>
      </c>
      <c r="CN27" s="74">
        <f t="shared" si="50"/>
        <v>0</v>
      </c>
      <c r="CO27" s="98">
        <f t="shared" si="51"/>
        <v>0</v>
      </c>
      <c r="CP27" s="74">
        <f t="shared" si="15"/>
        <v>0</v>
      </c>
      <c r="CQ27" s="74">
        <f t="shared" si="16"/>
        <v>0</v>
      </c>
      <c r="CR27" s="74"/>
      <c r="CS27" s="74"/>
      <c r="CT27" s="74"/>
      <c r="CU27" s="74"/>
      <c r="CV27" s="98" t="str">
        <f t="shared" si="17"/>
        <v>-</v>
      </c>
      <c r="CW27" s="95" t="str">
        <f t="shared" si="18"/>
        <v>-</v>
      </c>
      <c r="CX27" s="74" t="str">
        <f t="shared" si="52"/>
        <v>-</v>
      </c>
      <c r="CY27" s="74" t="str">
        <f t="shared" si="19"/>
        <v>-</v>
      </c>
      <c r="CZ27" s="100" t="str">
        <f t="shared" si="20"/>
        <v>-</v>
      </c>
      <c r="DA27" s="58" t="str">
        <f t="shared" si="53"/>
        <v>-</v>
      </c>
      <c r="DB27" s="58" t="str">
        <f t="shared" si="54"/>
        <v>-</v>
      </c>
      <c r="DC27" s="58" t="str">
        <f t="shared" si="55"/>
        <v>-</v>
      </c>
      <c r="DD27" s="58" t="str">
        <f t="shared" si="56"/>
        <v>-</v>
      </c>
      <c r="DE27" s="74"/>
      <c r="DF27" s="74"/>
      <c r="DG27" s="74"/>
      <c r="DH27" s="98" t="str">
        <f t="shared" si="57"/>
        <v>-</v>
      </c>
      <c r="DI27" s="98" t="str">
        <f t="shared" si="58"/>
        <v>-</v>
      </c>
      <c r="DJ27" s="74" t="str">
        <f t="shared" si="59"/>
        <v>-</v>
      </c>
      <c r="DK27" s="74" t="str">
        <f t="shared" si="59"/>
        <v>-</v>
      </c>
      <c r="DL27" s="100" t="str">
        <f t="shared" si="22"/>
        <v>-</v>
      </c>
      <c r="DM27" s="58" t="str">
        <f t="shared" si="60"/>
        <v>-</v>
      </c>
      <c r="DN27" s="58" t="str">
        <f t="shared" si="61"/>
        <v>-</v>
      </c>
      <c r="DO27" s="58" t="str">
        <f t="shared" si="62"/>
        <v>-</v>
      </c>
      <c r="DP27" s="58" t="str">
        <f t="shared" si="63"/>
        <v>-</v>
      </c>
      <c r="DQ27" s="100"/>
      <c r="DR27" s="100"/>
      <c r="DS27" s="74"/>
      <c r="DT27" s="98" t="str">
        <f t="shared" si="86"/>
        <v>-</v>
      </c>
      <c r="DU27" s="98" t="str">
        <f t="shared" si="64"/>
        <v>-</v>
      </c>
      <c r="DV27" s="74" t="str">
        <f t="shared" si="65"/>
        <v>-</v>
      </c>
      <c r="DW27" s="74" t="str">
        <f t="shared" si="65"/>
        <v>-</v>
      </c>
      <c r="DX27" s="100" t="str">
        <f t="shared" si="24"/>
        <v>-</v>
      </c>
      <c r="DY27" s="58" t="str">
        <f t="shared" si="66"/>
        <v>-</v>
      </c>
      <c r="DZ27" s="58" t="str">
        <f t="shared" si="67"/>
        <v>-</v>
      </c>
      <c r="EA27" s="58" t="str">
        <f t="shared" si="68"/>
        <v>-</v>
      </c>
      <c r="EB27" s="58" t="str">
        <f t="shared" si="69"/>
        <v>-</v>
      </c>
      <c r="EC27" s="100"/>
      <c r="ED27" s="100"/>
      <c r="EE27" s="74"/>
      <c r="EF27" s="98" t="str">
        <f t="shared" si="70"/>
        <v>-</v>
      </c>
      <c r="EG27" s="98" t="str">
        <f t="shared" si="71"/>
        <v>-</v>
      </c>
      <c r="EH27" s="74" t="str">
        <f t="shared" si="72"/>
        <v>-</v>
      </c>
      <c r="EI27" s="74" t="str">
        <f t="shared" si="72"/>
        <v>-</v>
      </c>
      <c r="EJ27" s="100" t="str">
        <f t="shared" si="26"/>
        <v>-</v>
      </c>
      <c r="EK27" s="58" t="str">
        <f t="shared" si="73"/>
        <v>-</v>
      </c>
      <c r="EL27" s="58" t="str">
        <f t="shared" si="74"/>
        <v>-</v>
      </c>
      <c r="EM27" s="58" t="str">
        <f t="shared" si="75"/>
        <v>-</v>
      </c>
      <c r="EN27" s="58" t="str">
        <f t="shared" si="76"/>
        <v>-</v>
      </c>
      <c r="EO27" s="100"/>
      <c r="EP27" s="100"/>
      <c r="EQ27" s="74"/>
      <c r="ER27" s="98" t="str">
        <f t="shared" si="77"/>
        <v>-</v>
      </c>
      <c r="ES27" s="98" t="str">
        <f t="shared" si="78"/>
        <v>-</v>
      </c>
      <c r="ET27" s="98" t="str">
        <f t="shared" si="79"/>
        <v>-</v>
      </c>
      <c r="EU27" s="98" t="str">
        <f t="shared" si="80"/>
        <v>-</v>
      </c>
      <c r="EV27" s="74"/>
      <c r="EW27" s="74"/>
      <c r="EX27" s="74"/>
      <c r="EY27" s="74" t="str">
        <f>IF(E27=0,"-",LARGE(E6:E50,22))</f>
        <v>-</v>
      </c>
      <c r="EZ27" s="77" t="str">
        <f t="shared" si="81"/>
        <v>-</v>
      </c>
      <c r="FA27" s="77">
        <f t="shared" si="82"/>
        <v>0</v>
      </c>
      <c r="FB27" s="77" t="str">
        <f t="shared" si="83"/>
        <v>-</v>
      </c>
      <c r="FC27" s="77" t="str">
        <f>IF(FB27="-","-",SMALL(FB6:FB50,22))</f>
        <v>-</v>
      </c>
    </row>
    <row r="28" spans="1:159" s="77" customFormat="1">
      <c r="A28" s="74"/>
      <c r="B28" s="74"/>
      <c r="C28" s="95">
        <f>'1'!R25</f>
        <v>0</v>
      </c>
      <c r="D28" s="96">
        <f>'1'!J25</f>
        <v>0</v>
      </c>
      <c r="E28" s="96">
        <f>'1'!K25</f>
        <v>0</v>
      </c>
      <c r="F28" s="74"/>
      <c r="G28" s="74"/>
      <c r="H28" s="74"/>
      <c r="I28" s="74"/>
      <c r="J28" s="74"/>
      <c r="K28" s="74"/>
      <c r="L28" s="96">
        <f>'2'!R25</f>
        <v>0</v>
      </c>
      <c r="M28" s="77">
        <f>'2'!J25</f>
        <v>0</v>
      </c>
      <c r="N28" s="74">
        <f>'2'!K25</f>
        <v>0</v>
      </c>
      <c r="O28" s="74"/>
      <c r="P28" s="58"/>
      <c r="Q28" s="80" t="s">
        <v>20</v>
      </c>
      <c r="R28" s="58"/>
      <c r="S28" s="58"/>
      <c r="T28" s="58">
        <f>DQ11</f>
        <v>1</v>
      </c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95"/>
      <c r="AI28" s="74"/>
      <c r="AJ28" s="98" t="str">
        <f t="shared" si="27"/>
        <v>-</v>
      </c>
      <c r="AK28" s="98" t="str">
        <f t="shared" si="28"/>
        <v>-</v>
      </c>
      <c r="AL28" s="98" t="str">
        <f t="shared" si="0"/>
        <v>-</v>
      </c>
      <c r="AM28" s="98" t="str">
        <f t="shared" si="29"/>
        <v>-</v>
      </c>
      <c r="AN28" s="98" t="str">
        <f t="shared" si="30"/>
        <v>-</v>
      </c>
      <c r="AO28" s="98" t="str">
        <f t="shared" si="31"/>
        <v>-</v>
      </c>
      <c r="AP28" s="98" t="str">
        <f t="shared" si="32"/>
        <v>-</v>
      </c>
      <c r="AQ28" s="98" t="str">
        <f t="shared" si="33"/>
        <v>-</v>
      </c>
      <c r="AR28" s="98"/>
      <c r="AS28" s="98"/>
      <c r="AT28" s="99" t="e">
        <f t="shared" si="87"/>
        <v>#DIV/0!</v>
      </c>
      <c r="AU28" s="99" t="e">
        <f t="shared" si="87"/>
        <v>#DIV/0!</v>
      </c>
      <c r="AV28" s="99" t="e">
        <f t="shared" si="87"/>
        <v>#DIV/0!</v>
      </c>
      <c r="AW28" s="99" t="e">
        <f t="shared" si="87"/>
        <v>#DIV/0!</v>
      </c>
      <c r="AX28" s="74" t="str">
        <f t="shared" si="35"/>
        <v>-</v>
      </c>
      <c r="AY28" s="74">
        <f t="shared" si="36"/>
        <v>0</v>
      </c>
      <c r="AZ28" s="74">
        <f t="shared" si="37"/>
        <v>0</v>
      </c>
      <c r="BA28" s="98">
        <f t="shared" si="38"/>
        <v>0</v>
      </c>
      <c r="BB28" s="74">
        <f t="shared" si="1"/>
        <v>0</v>
      </c>
      <c r="BC28" s="74">
        <f t="shared" si="2"/>
        <v>0</v>
      </c>
      <c r="BD28" s="74"/>
      <c r="BE28" s="74"/>
      <c r="BF28" s="74"/>
      <c r="BG28" s="74">
        <f t="shared" si="39"/>
        <v>0</v>
      </c>
      <c r="BH28" s="74">
        <f t="shared" si="40"/>
        <v>0</v>
      </c>
      <c r="BI28" s="98">
        <f t="shared" si="41"/>
        <v>0</v>
      </c>
      <c r="BJ28" s="74">
        <f t="shared" si="3"/>
        <v>0</v>
      </c>
      <c r="BK28" s="74">
        <f t="shared" si="4"/>
        <v>0</v>
      </c>
      <c r="BL28" s="74"/>
      <c r="BM28" s="74"/>
      <c r="BN28" s="74">
        <f t="shared" si="42"/>
        <v>0</v>
      </c>
      <c r="BO28" s="74" t="str">
        <f t="shared" si="43"/>
        <v>-</v>
      </c>
      <c r="BP28" s="98" t="str">
        <f t="shared" si="44"/>
        <v>-</v>
      </c>
      <c r="BQ28" s="98" t="str">
        <f t="shared" si="45"/>
        <v>-</v>
      </c>
      <c r="BR28" s="98" t="str">
        <f t="shared" si="5"/>
        <v>-</v>
      </c>
      <c r="BS28" s="98" t="str">
        <f t="shared" si="6"/>
        <v>-</v>
      </c>
      <c r="BT28" s="98" t="str">
        <f t="shared" si="7"/>
        <v>-</v>
      </c>
      <c r="BU28" s="98" t="str">
        <f t="shared" si="8"/>
        <v>-</v>
      </c>
      <c r="BV28" s="98" t="str">
        <f t="shared" si="9"/>
        <v>-</v>
      </c>
      <c r="BW28" s="98" t="str">
        <f t="shared" si="10"/>
        <v>-</v>
      </c>
      <c r="BX28" s="98"/>
      <c r="BY28" s="98"/>
      <c r="BZ28" s="99" t="e">
        <f t="shared" si="88"/>
        <v>#DIV/0!</v>
      </c>
      <c r="CA28" s="99" t="e">
        <f t="shared" si="88"/>
        <v>#DIV/0!</v>
      </c>
      <c r="CB28" s="99" t="e">
        <f t="shared" si="88"/>
        <v>#DIV/0!</v>
      </c>
      <c r="CC28" s="99" t="e">
        <f t="shared" si="88"/>
        <v>#DIV/0!</v>
      </c>
      <c r="CD28" s="74" t="str">
        <f t="shared" si="11"/>
        <v>-</v>
      </c>
      <c r="CE28" s="74">
        <f t="shared" si="47"/>
        <v>0</v>
      </c>
      <c r="CF28" s="74">
        <f t="shared" si="48"/>
        <v>0</v>
      </c>
      <c r="CG28" s="98">
        <f t="shared" si="49"/>
        <v>0</v>
      </c>
      <c r="CH28" s="74">
        <f t="shared" si="12"/>
        <v>0</v>
      </c>
      <c r="CI28" s="74">
        <f t="shared" si="13"/>
        <v>0</v>
      </c>
      <c r="CJ28" s="74"/>
      <c r="CK28" s="74"/>
      <c r="CL28" s="74"/>
      <c r="CM28" s="74">
        <f t="shared" si="14"/>
        <v>0</v>
      </c>
      <c r="CN28" s="74">
        <f t="shared" si="50"/>
        <v>0</v>
      </c>
      <c r="CO28" s="98">
        <f t="shared" si="51"/>
        <v>0</v>
      </c>
      <c r="CP28" s="74">
        <f t="shared" si="15"/>
        <v>0</v>
      </c>
      <c r="CQ28" s="74">
        <f t="shared" si="16"/>
        <v>0</v>
      </c>
      <c r="CR28" s="74"/>
      <c r="CS28" s="74"/>
      <c r="CT28" s="74"/>
      <c r="CU28" s="74"/>
      <c r="CV28" s="98" t="str">
        <f t="shared" si="17"/>
        <v>-</v>
      </c>
      <c r="CW28" s="95" t="str">
        <f t="shared" si="18"/>
        <v>-</v>
      </c>
      <c r="CX28" s="74" t="str">
        <f t="shared" si="52"/>
        <v>-</v>
      </c>
      <c r="CY28" s="74" t="str">
        <f t="shared" si="19"/>
        <v>-</v>
      </c>
      <c r="CZ28" s="100" t="str">
        <f t="shared" si="20"/>
        <v>-</v>
      </c>
      <c r="DA28" s="58" t="str">
        <f t="shared" si="53"/>
        <v>-</v>
      </c>
      <c r="DB28" s="58" t="str">
        <f t="shared" si="54"/>
        <v>-</v>
      </c>
      <c r="DC28" s="58" t="str">
        <f t="shared" si="55"/>
        <v>-</v>
      </c>
      <c r="DD28" s="58" t="str">
        <f t="shared" si="56"/>
        <v>-</v>
      </c>
      <c r="DE28" s="74"/>
      <c r="DF28" s="74"/>
      <c r="DG28" s="74"/>
      <c r="DH28" s="98" t="str">
        <f t="shared" si="57"/>
        <v>-</v>
      </c>
      <c r="DI28" s="98" t="str">
        <f t="shared" si="58"/>
        <v>-</v>
      </c>
      <c r="DJ28" s="74" t="str">
        <f t="shared" si="59"/>
        <v>-</v>
      </c>
      <c r="DK28" s="74" t="str">
        <f t="shared" si="59"/>
        <v>-</v>
      </c>
      <c r="DL28" s="100" t="str">
        <f t="shared" si="22"/>
        <v>-</v>
      </c>
      <c r="DM28" s="58" t="str">
        <f t="shared" si="60"/>
        <v>-</v>
      </c>
      <c r="DN28" s="58" t="str">
        <f t="shared" si="61"/>
        <v>-</v>
      </c>
      <c r="DO28" s="58" t="str">
        <f t="shared" si="62"/>
        <v>-</v>
      </c>
      <c r="DP28" s="58" t="str">
        <f t="shared" si="63"/>
        <v>-</v>
      </c>
      <c r="DQ28" s="100"/>
      <c r="DR28" s="100"/>
      <c r="DS28" s="74"/>
      <c r="DT28" s="98" t="str">
        <f t="shared" si="86"/>
        <v>-</v>
      </c>
      <c r="DU28" s="98" t="str">
        <f t="shared" si="64"/>
        <v>-</v>
      </c>
      <c r="DV28" s="74" t="str">
        <f t="shared" si="65"/>
        <v>-</v>
      </c>
      <c r="DW28" s="74" t="str">
        <f t="shared" si="65"/>
        <v>-</v>
      </c>
      <c r="DX28" s="100" t="str">
        <f t="shared" si="24"/>
        <v>-</v>
      </c>
      <c r="DY28" s="58" t="str">
        <f t="shared" si="66"/>
        <v>-</v>
      </c>
      <c r="DZ28" s="58" t="str">
        <f t="shared" si="67"/>
        <v>-</v>
      </c>
      <c r="EA28" s="58" t="str">
        <f t="shared" si="68"/>
        <v>-</v>
      </c>
      <c r="EB28" s="58" t="str">
        <f t="shared" si="69"/>
        <v>-</v>
      </c>
      <c r="EC28" s="100"/>
      <c r="ED28" s="100"/>
      <c r="EE28" s="74"/>
      <c r="EF28" s="98" t="str">
        <f t="shared" si="70"/>
        <v>-</v>
      </c>
      <c r="EG28" s="98" t="str">
        <f t="shared" si="71"/>
        <v>-</v>
      </c>
      <c r="EH28" s="74" t="str">
        <f t="shared" si="72"/>
        <v>-</v>
      </c>
      <c r="EI28" s="74" t="str">
        <f t="shared" si="72"/>
        <v>-</v>
      </c>
      <c r="EJ28" s="100" t="str">
        <f t="shared" si="26"/>
        <v>-</v>
      </c>
      <c r="EK28" s="58" t="str">
        <f t="shared" si="73"/>
        <v>-</v>
      </c>
      <c r="EL28" s="58" t="str">
        <f t="shared" si="74"/>
        <v>-</v>
      </c>
      <c r="EM28" s="58" t="str">
        <f t="shared" si="75"/>
        <v>-</v>
      </c>
      <c r="EN28" s="58" t="str">
        <f t="shared" si="76"/>
        <v>-</v>
      </c>
      <c r="EO28" s="100"/>
      <c r="EP28" s="100"/>
      <c r="EQ28" s="74"/>
      <c r="ER28" s="98" t="str">
        <f t="shared" si="77"/>
        <v>-</v>
      </c>
      <c r="ES28" s="98" t="str">
        <f t="shared" si="78"/>
        <v>-</v>
      </c>
      <c r="ET28" s="98" t="str">
        <f t="shared" si="79"/>
        <v>-</v>
      </c>
      <c r="EU28" s="98" t="str">
        <f t="shared" si="80"/>
        <v>-</v>
      </c>
      <c r="EV28" s="74"/>
      <c r="EW28" s="74"/>
      <c r="EX28" s="74"/>
      <c r="EY28" s="74" t="str">
        <f>IF(E28=0,"-",LARGE(E6:E50,23))</f>
        <v>-</v>
      </c>
      <c r="EZ28" s="77" t="str">
        <f t="shared" si="81"/>
        <v>-</v>
      </c>
      <c r="FA28" s="77">
        <f t="shared" si="82"/>
        <v>0</v>
      </c>
      <c r="FB28" s="77" t="str">
        <f t="shared" si="83"/>
        <v>-</v>
      </c>
      <c r="FC28" s="77" t="str">
        <f>IF(FB28="-","-",SMALL(FB6:FB50,23))</f>
        <v>-</v>
      </c>
    </row>
    <row r="29" spans="1:159" s="77" customFormat="1">
      <c r="A29" s="74"/>
      <c r="C29" s="95">
        <f>'1'!R26</f>
        <v>0</v>
      </c>
      <c r="D29" s="96">
        <f>'1'!J26</f>
        <v>0</v>
      </c>
      <c r="E29" s="96">
        <f>'1'!K26</f>
        <v>0</v>
      </c>
      <c r="G29" s="74"/>
      <c r="H29" s="74"/>
      <c r="I29" s="74"/>
      <c r="J29" s="74"/>
      <c r="K29" s="74"/>
      <c r="L29" s="96">
        <f>'2'!R26</f>
        <v>0</v>
      </c>
      <c r="M29" s="77">
        <f>'2'!J26</f>
        <v>0</v>
      </c>
      <c r="N29" s="74">
        <f>'2'!K26</f>
        <v>0</v>
      </c>
      <c r="O29" s="74"/>
      <c r="P29" s="58"/>
      <c r="Q29" s="80" t="s">
        <v>19</v>
      </c>
      <c r="R29" s="58"/>
      <c r="S29" s="58"/>
      <c r="T29" s="101" t="e">
        <f>DR6</f>
        <v>#DIV/0!</v>
      </c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98" t="str">
        <f t="shared" si="27"/>
        <v>-</v>
      </c>
      <c r="AK29" s="98" t="str">
        <f t="shared" si="28"/>
        <v>-</v>
      </c>
      <c r="AL29" s="98" t="str">
        <f t="shared" si="0"/>
        <v>-</v>
      </c>
      <c r="AM29" s="98" t="str">
        <f t="shared" si="29"/>
        <v>-</v>
      </c>
      <c r="AN29" s="98" t="str">
        <f t="shared" si="30"/>
        <v>-</v>
      </c>
      <c r="AO29" s="98" t="str">
        <f t="shared" si="31"/>
        <v>-</v>
      </c>
      <c r="AP29" s="98" t="str">
        <f t="shared" si="32"/>
        <v>-</v>
      </c>
      <c r="AQ29" s="98" t="str">
        <f t="shared" si="33"/>
        <v>-</v>
      </c>
      <c r="AR29" s="98"/>
      <c r="AS29" s="98"/>
      <c r="AT29" s="99" t="e">
        <f t="shared" si="87"/>
        <v>#DIV/0!</v>
      </c>
      <c r="AU29" s="99" t="e">
        <f t="shared" si="87"/>
        <v>#DIV/0!</v>
      </c>
      <c r="AV29" s="99" t="e">
        <f t="shared" si="87"/>
        <v>#DIV/0!</v>
      </c>
      <c r="AW29" s="99" t="e">
        <f t="shared" si="87"/>
        <v>#DIV/0!</v>
      </c>
      <c r="AX29" s="74" t="str">
        <f t="shared" si="35"/>
        <v>-</v>
      </c>
      <c r="AY29" s="74">
        <f t="shared" si="36"/>
        <v>0</v>
      </c>
      <c r="AZ29" s="74">
        <f t="shared" si="37"/>
        <v>0</v>
      </c>
      <c r="BA29" s="98">
        <f t="shared" si="38"/>
        <v>0</v>
      </c>
      <c r="BB29" s="74">
        <f t="shared" si="1"/>
        <v>0</v>
      </c>
      <c r="BC29" s="74">
        <f t="shared" si="2"/>
        <v>0</v>
      </c>
      <c r="BD29" s="74"/>
      <c r="BE29" s="74"/>
      <c r="BF29" s="74"/>
      <c r="BG29" s="74">
        <f t="shared" si="39"/>
        <v>0</v>
      </c>
      <c r="BH29" s="74">
        <f t="shared" si="40"/>
        <v>0</v>
      </c>
      <c r="BI29" s="98">
        <f t="shared" si="41"/>
        <v>0</v>
      </c>
      <c r="BJ29" s="74">
        <f t="shared" si="3"/>
        <v>0</v>
      </c>
      <c r="BK29" s="74">
        <f t="shared" si="4"/>
        <v>0</v>
      </c>
      <c r="BL29" s="74"/>
      <c r="BM29" s="74"/>
      <c r="BN29" s="74">
        <f t="shared" si="42"/>
        <v>0</v>
      </c>
      <c r="BO29" s="74" t="str">
        <f t="shared" si="43"/>
        <v>-</v>
      </c>
      <c r="BP29" s="98" t="str">
        <f t="shared" si="44"/>
        <v>-</v>
      </c>
      <c r="BQ29" s="98" t="str">
        <f t="shared" si="45"/>
        <v>-</v>
      </c>
      <c r="BR29" s="98" t="str">
        <f t="shared" si="5"/>
        <v>-</v>
      </c>
      <c r="BS29" s="98" t="str">
        <f t="shared" si="6"/>
        <v>-</v>
      </c>
      <c r="BT29" s="98" t="str">
        <f t="shared" si="7"/>
        <v>-</v>
      </c>
      <c r="BU29" s="98" t="str">
        <f t="shared" si="8"/>
        <v>-</v>
      </c>
      <c r="BV29" s="98" t="str">
        <f t="shared" si="9"/>
        <v>-</v>
      </c>
      <c r="BW29" s="98" t="str">
        <f t="shared" si="10"/>
        <v>-</v>
      </c>
      <c r="BX29" s="98"/>
      <c r="BY29" s="98"/>
      <c r="BZ29" s="99" t="e">
        <f t="shared" si="88"/>
        <v>#DIV/0!</v>
      </c>
      <c r="CA29" s="99" t="e">
        <f t="shared" si="88"/>
        <v>#DIV/0!</v>
      </c>
      <c r="CB29" s="99" t="e">
        <f t="shared" si="88"/>
        <v>#DIV/0!</v>
      </c>
      <c r="CC29" s="99" t="e">
        <f t="shared" si="88"/>
        <v>#DIV/0!</v>
      </c>
      <c r="CD29" s="74" t="str">
        <f t="shared" si="11"/>
        <v>-</v>
      </c>
      <c r="CE29" s="74">
        <f t="shared" si="47"/>
        <v>0</v>
      </c>
      <c r="CF29" s="74">
        <f t="shared" si="48"/>
        <v>0</v>
      </c>
      <c r="CG29" s="98">
        <f t="shared" si="49"/>
        <v>0</v>
      </c>
      <c r="CH29" s="74">
        <f t="shared" si="12"/>
        <v>0</v>
      </c>
      <c r="CI29" s="74">
        <f t="shared" si="13"/>
        <v>0</v>
      </c>
      <c r="CJ29" s="74"/>
      <c r="CK29" s="74"/>
      <c r="CL29" s="74"/>
      <c r="CM29" s="74">
        <f t="shared" si="14"/>
        <v>0</v>
      </c>
      <c r="CN29" s="74">
        <f t="shared" si="50"/>
        <v>0</v>
      </c>
      <c r="CO29" s="98">
        <f t="shared" si="51"/>
        <v>0</v>
      </c>
      <c r="CP29" s="74">
        <f t="shared" si="15"/>
        <v>0</v>
      </c>
      <c r="CQ29" s="74">
        <f t="shared" si="16"/>
        <v>0</v>
      </c>
      <c r="CR29" s="74"/>
      <c r="CS29" s="74"/>
      <c r="CT29" s="74"/>
      <c r="CU29" s="74"/>
      <c r="CV29" s="98" t="str">
        <f t="shared" si="17"/>
        <v>-</v>
      </c>
      <c r="CW29" s="95" t="str">
        <f t="shared" si="18"/>
        <v>-</v>
      </c>
      <c r="CX29" s="74" t="str">
        <f t="shared" si="52"/>
        <v>-</v>
      </c>
      <c r="CY29" s="74" t="str">
        <f t="shared" si="19"/>
        <v>-</v>
      </c>
      <c r="CZ29" s="100" t="str">
        <f t="shared" si="20"/>
        <v>-</v>
      </c>
      <c r="DA29" s="58" t="str">
        <f t="shared" si="53"/>
        <v>-</v>
      </c>
      <c r="DB29" s="58" t="str">
        <f t="shared" si="54"/>
        <v>-</v>
      </c>
      <c r="DC29" s="58" t="str">
        <f t="shared" si="55"/>
        <v>-</v>
      </c>
      <c r="DD29" s="58" t="str">
        <f t="shared" si="56"/>
        <v>-</v>
      </c>
      <c r="DE29" s="74"/>
      <c r="DF29" s="74"/>
      <c r="DG29" s="74"/>
      <c r="DH29" s="98" t="str">
        <f t="shared" si="57"/>
        <v>-</v>
      </c>
      <c r="DI29" s="98" t="str">
        <f t="shared" si="58"/>
        <v>-</v>
      </c>
      <c r="DJ29" s="74" t="str">
        <f t="shared" si="59"/>
        <v>-</v>
      </c>
      <c r="DK29" s="74" t="str">
        <f t="shared" si="59"/>
        <v>-</v>
      </c>
      <c r="DL29" s="100" t="str">
        <f t="shared" si="22"/>
        <v>-</v>
      </c>
      <c r="DM29" s="58" t="str">
        <f t="shared" si="60"/>
        <v>-</v>
      </c>
      <c r="DN29" s="58" t="str">
        <f t="shared" si="61"/>
        <v>-</v>
      </c>
      <c r="DO29" s="58" t="str">
        <f t="shared" si="62"/>
        <v>-</v>
      </c>
      <c r="DP29" s="58" t="str">
        <f t="shared" si="63"/>
        <v>-</v>
      </c>
      <c r="DQ29" s="100"/>
      <c r="DR29" s="100"/>
      <c r="DS29" s="74"/>
      <c r="DT29" s="98" t="str">
        <f t="shared" si="86"/>
        <v>-</v>
      </c>
      <c r="DU29" s="98" t="str">
        <f t="shared" si="64"/>
        <v>-</v>
      </c>
      <c r="DV29" s="74" t="str">
        <f t="shared" si="65"/>
        <v>-</v>
      </c>
      <c r="DW29" s="74" t="str">
        <f t="shared" si="65"/>
        <v>-</v>
      </c>
      <c r="DX29" s="100" t="str">
        <f t="shared" si="24"/>
        <v>-</v>
      </c>
      <c r="DY29" s="58" t="str">
        <f t="shared" si="66"/>
        <v>-</v>
      </c>
      <c r="DZ29" s="58" t="str">
        <f t="shared" si="67"/>
        <v>-</v>
      </c>
      <c r="EA29" s="58" t="str">
        <f t="shared" si="68"/>
        <v>-</v>
      </c>
      <c r="EB29" s="58" t="str">
        <f t="shared" si="69"/>
        <v>-</v>
      </c>
      <c r="EC29" s="100"/>
      <c r="ED29" s="100"/>
      <c r="EE29" s="74"/>
      <c r="EF29" s="98" t="str">
        <f t="shared" si="70"/>
        <v>-</v>
      </c>
      <c r="EG29" s="98" t="str">
        <f t="shared" si="71"/>
        <v>-</v>
      </c>
      <c r="EH29" s="74" t="str">
        <f t="shared" si="72"/>
        <v>-</v>
      </c>
      <c r="EI29" s="74" t="str">
        <f t="shared" si="72"/>
        <v>-</v>
      </c>
      <c r="EJ29" s="100" t="str">
        <f t="shared" si="26"/>
        <v>-</v>
      </c>
      <c r="EK29" s="58" t="str">
        <f t="shared" si="73"/>
        <v>-</v>
      </c>
      <c r="EL29" s="58" t="str">
        <f t="shared" si="74"/>
        <v>-</v>
      </c>
      <c r="EM29" s="58" t="str">
        <f t="shared" si="75"/>
        <v>-</v>
      </c>
      <c r="EN29" s="58" t="str">
        <f t="shared" si="76"/>
        <v>-</v>
      </c>
      <c r="EO29" s="100"/>
      <c r="EP29" s="100"/>
      <c r="EQ29" s="74"/>
      <c r="ER29" s="98" t="str">
        <f t="shared" si="77"/>
        <v>-</v>
      </c>
      <c r="ES29" s="98" t="str">
        <f t="shared" si="78"/>
        <v>-</v>
      </c>
      <c r="ET29" s="98" t="str">
        <f t="shared" si="79"/>
        <v>-</v>
      </c>
      <c r="EU29" s="98" t="str">
        <f t="shared" si="80"/>
        <v>-</v>
      </c>
      <c r="EV29" s="74"/>
      <c r="EW29" s="74"/>
      <c r="EX29" s="74"/>
      <c r="EY29" s="74" t="str">
        <f>IF(E29=0,"-",LARGE(E6:E50,24))</f>
        <v>-</v>
      </c>
      <c r="EZ29" s="77" t="str">
        <f t="shared" si="81"/>
        <v>-</v>
      </c>
      <c r="FA29" s="77">
        <f t="shared" si="82"/>
        <v>0</v>
      </c>
      <c r="FB29" s="77" t="str">
        <f t="shared" si="83"/>
        <v>-</v>
      </c>
      <c r="FC29" s="77" t="str">
        <f>IF(FB29="-","-",SMALL(FB6:FB50,24))</f>
        <v>-</v>
      </c>
    </row>
    <row r="30" spans="1:159" s="77" customFormat="1">
      <c r="A30" s="74"/>
      <c r="C30" s="95">
        <f>'1'!R27</f>
        <v>0</v>
      </c>
      <c r="D30" s="96">
        <f>'1'!J27</f>
        <v>0</v>
      </c>
      <c r="E30" s="96">
        <f>'1'!K27</f>
        <v>0</v>
      </c>
      <c r="G30" s="74"/>
      <c r="H30" s="74"/>
      <c r="I30" s="74"/>
      <c r="J30" s="74"/>
      <c r="K30" s="74"/>
      <c r="L30" s="96">
        <f>'2'!R27</f>
        <v>0</v>
      </c>
      <c r="M30" s="77">
        <f>'2'!J27</f>
        <v>0</v>
      </c>
      <c r="N30" s="74">
        <f>'2'!K27</f>
        <v>0</v>
      </c>
      <c r="O30" s="74"/>
      <c r="P30" s="58"/>
      <c r="Q30" s="80" t="s">
        <v>30</v>
      </c>
      <c r="R30" s="29"/>
      <c r="S30" s="29"/>
      <c r="T30" s="58">
        <f>EO11</f>
        <v>1</v>
      </c>
      <c r="AB30" s="74"/>
      <c r="AC30" s="74"/>
      <c r="AE30" s="74"/>
      <c r="AJ30" s="98" t="str">
        <f t="shared" si="27"/>
        <v>-</v>
      </c>
      <c r="AK30" s="98" t="str">
        <f t="shared" si="28"/>
        <v>-</v>
      </c>
      <c r="AL30" s="98" t="str">
        <f t="shared" si="0"/>
        <v>-</v>
      </c>
      <c r="AM30" s="98" t="str">
        <f t="shared" si="29"/>
        <v>-</v>
      </c>
      <c r="AN30" s="98" t="str">
        <f t="shared" si="30"/>
        <v>-</v>
      </c>
      <c r="AO30" s="98" t="str">
        <f t="shared" si="31"/>
        <v>-</v>
      </c>
      <c r="AP30" s="98" t="str">
        <f t="shared" si="32"/>
        <v>-</v>
      </c>
      <c r="AQ30" s="98" t="str">
        <f t="shared" si="33"/>
        <v>-</v>
      </c>
      <c r="AR30" s="98"/>
      <c r="AS30" s="98"/>
      <c r="AT30" s="103" t="e">
        <f t="shared" si="87"/>
        <v>#DIV/0!</v>
      </c>
      <c r="AU30" s="103" t="e">
        <f t="shared" si="87"/>
        <v>#DIV/0!</v>
      </c>
      <c r="AV30" s="103" t="e">
        <f t="shared" si="87"/>
        <v>#DIV/0!</v>
      </c>
      <c r="AW30" s="103" t="e">
        <f t="shared" si="87"/>
        <v>#DIV/0!</v>
      </c>
      <c r="AX30" s="74" t="str">
        <f t="shared" si="35"/>
        <v>-</v>
      </c>
      <c r="AY30" s="74">
        <f t="shared" si="36"/>
        <v>0</v>
      </c>
      <c r="AZ30" s="74">
        <f t="shared" si="37"/>
        <v>0</v>
      </c>
      <c r="BA30" s="98">
        <f t="shared" si="38"/>
        <v>0</v>
      </c>
      <c r="BB30" s="74">
        <f t="shared" si="1"/>
        <v>0</v>
      </c>
      <c r="BC30" s="74">
        <f t="shared" si="2"/>
        <v>0</v>
      </c>
      <c r="BG30" s="74">
        <f t="shared" si="39"/>
        <v>0</v>
      </c>
      <c r="BH30" s="74">
        <f t="shared" si="40"/>
        <v>0</v>
      </c>
      <c r="BI30" s="98">
        <f t="shared" si="41"/>
        <v>0</v>
      </c>
      <c r="BJ30" s="74">
        <f t="shared" si="3"/>
        <v>0</v>
      </c>
      <c r="BK30" s="74">
        <f t="shared" si="4"/>
        <v>0</v>
      </c>
      <c r="BN30" s="74">
        <f t="shared" si="42"/>
        <v>0</v>
      </c>
      <c r="BO30" s="74" t="str">
        <f t="shared" si="43"/>
        <v>-</v>
      </c>
      <c r="BP30" s="98" t="str">
        <f t="shared" si="44"/>
        <v>-</v>
      </c>
      <c r="BQ30" s="98" t="str">
        <f t="shared" si="45"/>
        <v>-</v>
      </c>
      <c r="BR30" s="98" t="str">
        <f t="shared" si="5"/>
        <v>-</v>
      </c>
      <c r="BS30" s="98" t="str">
        <f t="shared" si="6"/>
        <v>-</v>
      </c>
      <c r="BT30" s="98" t="str">
        <f t="shared" si="7"/>
        <v>-</v>
      </c>
      <c r="BU30" s="98" t="str">
        <f t="shared" si="8"/>
        <v>-</v>
      </c>
      <c r="BV30" s="98" t="str">
        <f t="shared" si="9"/>
        <v>-</v>
      </c>
      <c r="BW30" s="98" t="str">
        <f t="shared" si="10"/>
        <v>-</v>
      </c>
      <c r="BX30" s="98"/>
      <c r="BY30" s="98"/>
      <c r="BZ30" s="103" t="e">
        <f t="shared" si="88"/>
        <v>#DIV/0!</v>
      </c>
      <c r="CA30" s="103" t="e">
        <f t="shared" si="88"/>
        <v>#DIV/0!</v>
      </c>
      <c r="CB30" s="103" t="e">
        <f t="shared" si="88"/>
        <v>#DIV/0!</v>
      </c>
      <c r="CC30" s="103" t="e">
        <f t="shared" si="88"/>
        <v>#DIV/0!</v>
      </c>
      <c r="CD30" s="74" t="str">
        <f t="shared" si="11"/>
        <v>-</v>
      </c>
      <c r="CE30" s="74">
        <f t="shared" si="47"/>
        <v>0</v>
      </c>
      <c r="CF30" s="74">
        <f t="shared" si="48"/>
        <v>0</v>
      </c>
      <c r="CG30" s="98">
        <f t="shared" si="49"/>
        <v>0</v>
      </c>
      <c r="CH30" s="74">
        <f t="shared" si="12"/>
        <v>0</v>
      </c>
      <c r="CI30" s="74">
        <f t="shared" si="13"/>
        <v>0</v>
      </c>
      <c r="CM30" s="74">
        <f t="shared" si="14"/>
        <v>0</v>
      </c>
      <c r="CN30" s="74">
        <f t="shared" si="50"/>
        <v>0</v>
      </c>
      <c r="CO30" s="98">
        <f t="shared" si="51"/>
        <v>0</v>
      </c>
      <c r="CP30" s="74">
        <f t="shared" si="15"/>
        <v>0</v>
      </c>
      <c r="CQ30" s="74">
        <f t="shared" si="16"/>
        <v>0</v>
      </c>
      <c r="CV30" s="98" t="str">
        <f t="shared" si="17"/>
        <v>-</v>
      </c>
      <c r="CW30" s="95" t="str">
        <f t="shared" si="18"/>
        <v>-</v>
      </c>
      <c r="CX30" s="74" t="str">
        <f t="shared" si="52"/>
        <v>-</v>
      </c>
      <c r="CY30" s="74" t="str">
        <f t="shared" si="19"/>
        <v>-</v>
      </c>
      <c r="CZ30" s="100" t="str">
        <f t="shared" si="20"/>
        <v>-</v>
      </c>
      <c r="DA30" s="58" t="str">
        <f t="shared" si="53"/>
        <v>-</v>
      </c>
      <c r="DB30" s="58" t="str">
        <f t="shared" si="54"/>
        <v>-</v>
      </c>
      <c r="DC30" s="58" t="str">
        <f t="shared" si="55"/>
        <v>-</v>
      </c>
      <c r="DD30" s="58" t="str">
        <f t="shared" si="56"/>
        <v>-</v>
      </c>
      <c r="DH30" s="98" t="str">
        <f t="shared" si="57"/>
        <v>-</v>
      </c>
      <c r="DI30" s="98" t="str">
        <f t="shared" si="58"/>
        <v>-</v>
      </c>
      <c r="DJ30" s="74" t="str">
        <f t="shared" si="59"/>
        <v>-</v>
      </c>
      <c r="DK30" s="74" t="str">
        <f t="shared" si="59"/>
        <v>-</v>
      </c>
      <c r="DL30" s="100" t="str">
        <f t="shared" si="22"/>
        <v>-</v>
      </c>
      <c r="DM30" s="58" t="str">
        <f t="shared" si="60"/>
        <v>-</v>
      </c>
      <c r="DN30" s="58" t="str">
        <f t="shared" si="61"/>
        <v>-</v>
      </c>
      <c r="DO30" s="58" t="str">
        <f t="shared" si="62"/>
        <v>-</v>
      </c>
      <c r="DP30" s="58" t="str">
        <f t="shared" si="63"/>
        <v>-</v>
      </c>
      <c r="DQ30" s="100"/>
      <c r="DR30" s="100"/>
      <c r="DT30" s="98" t="str">
        <f t="shared" si="86"/>
        <v>-</v>
      </c>
      <c r="DU30" s="98" t="str">
        <f t="shared" si="64"/>
        <v>-</v>
      </c>
      <c r="DV30" s="74" t="str">
        <f t="shared" si="65"/>
        <v>-</v>
      </c>
      <c r="DW30" s="74" t="str">
        <f t="shared" si="65"/>
        <v>-</v>
      </c>
      <c r="DX30" s="100" t="str">
        <f t="shared" si="24"/>
        <v>-</v>
      </c>
      <c r="DY30" s="58" t="str">
        <f t="shared" si="66"/>
        <v>-</v>
      </c>
      <c r="DZ30" s="58" t="str">
        <f t="shared" si="67"/>
        <v>-</v>
      </c>
      <c r="EA30" s="58" t="str">
        <f t="shared" si="68"/>
        <v>-</v>
      </c>
      <c r="EB30" s="58" t="str">
        <f t="shared" si="69"/>
        <v>-</v>
      </c>
      <c r="EC30" s="100"/>
      <c r="ED30" s="100"/>
      <c r="EF30" s="98" t="str">
        <f t="shared" si="70"/>
        <v>-</v>
      </c>
      <c r="EG30" s="98" t="str">
        <f t="shared" si="71"/>
        <v>-</v>
      </c>
      <c r="EH30" s="74" t="str">
        <f t="shared" si="72"/>
        <v>-</v>
      </c>
      <c r="EI30" s="74" t="str">
        <f t="shared" si="72"/>
        <v>-</v>
      </c>
      <c r="EJ30" s="100" t="str">
        <f t="shared" si="26"/>
        <v>-</v>
      </c>
      <c r="EK30" s="58" t="str">
        <f t="shared" si="73"/>
        <v>-</v>
      </c>
      <c r="EL30" s="58" t="str">
        <f t="shared" si="74"/>
        <v>-</v>
      </c>
      <c r="EM30" s="58" t="str">
        <f t="shared" si="75"/>
        <v>-</v>
      </c>
      <c r="EN30" s="58" t="str">
        <f t="shared" si="76"/>
        <v>-</v>
      </c>
      <c r="EO30" s="100"/>
      <c r="EP30" s="100"/>
      <c r="ER30" s="79" t="str">
        <f t="shared" si="77"/>
        <v>-</v>
      </c>
      <c r="ES30" s="79" t="str">
        <f t="shared" si="78"/>
        <v>-</v>
      </c>
      <c r="ET30" s="79" t="str">
        <f t="shared" si="79"/>
        <v>-</v>
      </c>
      <c r="EU30" s="79" t="str">
        <f t="shared" si="80"/>
        <v>-</v>
      </c>
      <c r="EY30" s="74" t="str">
        <f>IF(E30=0,"-",LARGE(E6:E50,25))</f>
        <v>-</v>
      </c>
      <c r="EZ30" s="77" t="str">
        <f t="shared" si="81"/>
        <v>-</v>
      </c>
      <c r="FA30" s="77">
        <f t="shared" si="82"/>
        <v>0</v>
      </c>
      <c r="FB30" s="77" t="str">
        <f t="shared" si="83"/>
        <v>-</v>
      </c>
      <c r="FC30" s="77" t="str">
        <f>IF(FB30="-","-",SMALL(FB6:FB50,25))</f>
        <v>-</v>
      </c>
    </row>
    <row r="31" spans="1:159" s="77" customFormat="1">
      <c r="A31" s="74"/>
      <c r="C31" s="95">
        <f>'1'!R28</f>
        <v>0</v>
      </c>
      <c r="D31" s="96">
        <f>'1'!J28</f>
        <v>0</v>
      </c>
      <c r="E31" s="96">
        <f>'1'!K28</f>
        <v>0</v>
      </c>
      <c r="G31" s="74"/>
      <c r="H31" s="74"/>
      <c r="I31" s="74"/>
      <c r="J31" s="74"/>
      <c r="K31" s="74"/>
      <c r="L31" s="96">
        <f>'2'!R28</f>
        <v>0</v>
      </c>
      <c r="M31" s="77">
        <f>'2'!J28</f>
        <v>0</v>
      </c>
      <c r="N31" s="74">
        <f>'2'!K28</f>
        <v>0</v>
      </c>
      <c r="O31" s="74"/>
      <c r="P31" s="58"/>
      <c r="Q31" s="80" t="s">
        <v>31</v>
      </c>
      <c r="R31" s="29"/>
      <c r="S31" s="29"/>
      <c r="T31" s="101" t="e">
        <f>EP6</f>
        <v>#DIV/0!</v>
      </c>
      <c r="AB31" s="74"/>
      <c r="AC31" s="74"/>
      <c r="AE31" s="74"/>
      <c r="AJ31" s="98" t="str">
        <f t="shared" si="27"/>
        <v>-</v>
      </c>
      <c r="AK31" s="98" t="str">
        <f t="shared" si="28"/>
        <v>-</v>
      </c>
      <c r="AL31" s="98" t="str">
        <f t="shared" si="0"/>
        <v>-</v>
      </c>
      <c r="AM31" s="98" t="str">
        <f t="shared" si="29"/>
        <v>-</v>
      </c>
      <c r="AN31" s="98" t="str">
        <f t="shared" si="30"/>
        <v>-</v>
      </c>
      <c r="AO31" s="98" t="str">
        <f t="shared" si="31"/>
        <v>-</v>
      </c>
      <c r="AP31" s="98" t="str">
        <f t="shared" si="32"/>
        <v>-</v>
      </c>
      <c r="AQ31" s="98" t="str">
        <f t="shared" si="33"/>
        <v>-</v>
      </c>
      <c r="AR31" s="98"/>
      <c r="AS31" s="98"/>
      <c r="AT31" s="103" t="e">
        <f t="shared" si="87"/>
        <v>#DIV/0!</v>
      </c>
      <c r="AU31" s="103" t="e">
        <f t="shared" si="87"/>
        <v>#DIV/0!</v>
      </c>
      <c r="AV31" s="103" t="e">
        <f t="shared" si="87"/>
        <v>#DIV/0!</v>
      </c>
      <c r="AW31" s="103" t="e">
        <f t="shared" si="87"/>
        <v>#DIV/0!</v>
      </c>
      <c r="AX31" s="74" t="str">
        <f t="shared" si="35"/>
        <v>-</v>
      </c>
      <c r="AY31" s="74">
        <f t="shared" si="36"/>
        <v>0</v>
      </c>
      <c r="AZ31" s="74">
        <f t="shared" si="37"/>
        <v>0</v>
      </c>
      <c r="BA31" s="98">
        <f t="shared" si="38"/>
        <v>0</v>
      </c>
      <c r="BB31" s="74">
        <f t="shared" si="1"/>
        <v>0</v>
      </c>
      <c r="BC31" s="74">
        <f t="shared" si="2"/>
        <v>0</v>
      </c>
      <c r="BG31" s="74">
        <f t="shared" si="39"/>
        <v>0</v>
      </c>
      <c r="BH31" s="74">
        <f t="shared" si="40"/>
        <v>0</v>
      </c>
      <c r="BI31" s="98">
        <f t="shared" si="41"/>
        <v>0</v>
      </c>
      <c r="BJ31" s="74">
        <f t="shared" si="3"/>
        <v>0</v>
      </c>
      <c r="BK31" s="74">
        <f t="shared" si="4"/>
        <v>0</v>
      </c>
      <c r="BN31" s="74">
        <f t="shared" si="42"/>
        <v>0</v>
      </c>
      <c r="BO31" s="74" t="str">
        <f t="shared" si="43"/>
        <v>-</v>
      </c>
      <c r="BP31" s="98" t="str">
        <f t="shared" si="44"/>
        <v>-</v>
      </c>
      <c r="BQ31" s="98" t="str">
        <f t="shared" si="45"/>
        <v>-</v>
      </c>
      <c r="BR31" s="98" t="str">
        <f t="shared" si="5"/>
        <v>-</v>
      </c>
      <c r="BS31" s="98" t="str">
        <f t="shared" si="6"/>
        <v>-</v>
      </c>
      <c r="BT31" s="98" t="str">
        <f t="shared" si="7"/>
        <v>-</v>
      </c>
      <c r="BU31" s="98" t="str">
        <f t="shared" si="8"/>
        <v>-</v>
      </c>
      <c r="BV31" s="98" t="str">
        <f t="shared" si="9"/>
        <v>-</v>
      </c>
      <c r="BW31" s="98" t="str">
        <f t="shared" si="10"/>
        <v>-</v>
      </c>
      <c r="BX31" s="98"/>
      <c r="BY31" s="98"/>
      <c r="BZ31" s="103" t="e">
        <f t="shared" si="88"/>
        <v>#DIV/0!</v>
      </c>
      <c r="CA31" s="103" t="e">
        <f t="shared" si="88"/>
        <v>#DIV/0!</v>
      </c>
      <c r="CB31" s="103" t="e">
        <f t="shared" si="88"/>
        <v>#DIV/0!</v>
      </c>
      <c r="CC31" s="103" t="e">
        <f t="shared" si="88"/>
        <v>#DIV/0!</v>
      </c>
      <c r="CD31" s="74" t="str">
        <f t="shared" si="11"/>
        <v>-</v>
      </c>
      <c r="CE31" s="74">
        <f t="shared" si="47"/>
        <v>0</v>
      </c>
      <c r="CF31" s="74">
        <f t="shared" si="48"/>
        <v>0</v>
      </c>
      <c r="CG31" s="98">
        <f t="shared" si="49"/>
        <v>0</v>
      </c>
      <c r="CH31" s="74">
        <f t="shared" si="12"/>
        <v>0</v>
      </c>
      <c r="CI31" s="74">
        <f t="shared" si="13"/>
        <v>0</v>
      </c>
      <c r="CM31" s="74">
        <f t="shared" si="14"/>
        <v>0</v>
      </c>
      <c r="CN31" s="74">
        <f t="shared" si="50"/>
        <v>0</v>
      </c>
      <c r="CO31" s="98">
        <f t="shared" si="51"/>
        <v>0</v>
      </c>
      <c r="CP31" s="74">
        <f t="shared" si="15"/>
        <v>0</v>
      </c>
      <c r="CQ31" s="74">
        <f t="shared" si="16"/>
        <v>0</v>
      </c>
      <c r="CV31" s="98" t="str">
        <f t="shared" si="17"/>
        <v>-</v>
      </c>
      <c r="CW31" s="95" t="str">
        <f t="shared" si="18"/>
        <v>-</v>
      </c>
      <c r="CX31" s="74" t="str">
        <f t="shared" si="52"/>
        <v>-</v>
      </c>
      <c r="CY31" s="74" t="str">
        <f t="shared" si="19"/>
        <v>-</v>
      </c>
      <c r="CZ31" s="100" t="str">
        <f t="shared" si="20"/>
        <v>-</v>
      </c>
      <c r="DA31" s="58" t="str">
        <f t="shared" si="53"/>
        <v>-</v>
      </c>
      <c r="DB31" s="58" t="str">
        <f t="shared" si="54"/>
        <v>-</v>
      </c>
      <c r="DC31" s="58" t="str">
        <f t="shared" si="55"/>
        <v>-</v>
      </c>
      <c r="DD31" s="58" t="str">
        <f t="shared" si="56"/>
        <v>-</v>
      </c>
      <c r="DH31" s="98" t="str">
        <f t="shared" si="57"/>
        <v>-</v>
      </c>
      <c r="DI31" s="98" t="str">
        <f t="shared" si="58"/>
        <v>-</v>
      </c>
      <c r="DJ31" s="74" t="str">
        <f t="shared" si="59"/>
        <v>-</v>
      </c>
      <c r="DK31" s="74" t="str">
        <f t="shared" si="59"/>
        <v>-</v>
      </c>
      <c r="DL31" s="100" t="str">
        <f t="shared" si="22"/>
        <v>-</v>
      </c>
      <c r="DM31" s="58" t="str">
        <f t="shared" si="60"/>
        <v>-</v>
      </c>
      <c r="DN31" s="58" t="str">
        <f t="shared" si="61"/>
        <v>-</v>
      </c>
      <c r="DO31" s="58" t="str">
        <f t="shared" si="62"/>
        <v>-</v>
      </c>
      <c r="DP31" s="58" t="str">
        <f t="shared" si="63"/>
        <v>-</v>
      </c>
      <c r="DQ31" s="100"/>
      <c r="DR31" s="100"/>
      <c r="DT31" s="98" t="str">
        <f t="shared" si="86"/>
        <v>-</v>
      </c>
      <c r="DU31" s="98" t="str">
        <f t="shared" si="64"/>
        <v>-</v>
      </c>
      <c r="DV31" s="74" t="str">
        <f t="shared" si="65"/>
        <v>-</v>
      </c>
      <c r="DW31" s="74" t="str">
        <f t="shared" si="65"/>
        <v>-</v>
      </c>
      <c r="DX31" s="100" t="str">
        <f t="shared" si="24"/>
        <v>-</v>
      </c>
      <c r="DY31" s="58" t="str">
        <f t="shared" si="66"/>
        <v>-</v>
      </c>
      <c r="DZ31" s="58" t="str">
        <f t="shared" si="67"/>
        <v>-</v>
      </c>
      <c r="EA31" s="58" t="str">
        <f t="shared" si="68"/>
        <v>-</v>
      </c>
      <c r="EB31" s="58" t="str">
        <f t="shared" si="69"/>
        <v>-</v>
      </c>
      <c r="EC31" s="100"/>
      <c r="ED31" s="100"/>
      <c r="EF31" s="98" t="str">
        <f t="shared" si="70"/>
        <v>-</v>
      </c>
      <c r="EG31" s="98" t="str">
        <f t="shared" si="71"/>
        <v>-</v>
      </c>
      <c r="EH31" s="74" t="str">
        <f t="shared" si="72"/>
        <v>-</v>
      </c>
      <c r="EI31" s="74" t="str">
        <f t="shared" si="72"/>
        <v>-</v>
      </c>
      <c r="EJ31" s="100" t="str">
        <f t="shared" si="26"/>
        <v>-</v>
      </c>
      <c r="EK31" s="58" t="str">
        <f t="shared" si="73"/>
        <v>-</v>
      </c>
      <c r="EL31" s="58" t="str">
        <f t="shared" si="74"/>
        <v>-</v>
      </c>
      <c r="EM31" s="58" t="str">
        <f t="shared" si="75"/>
        <v>-</v>
      </c>
      <c r="EN31" s="58" t="str">
        <f t="shared" si="76"/>
        <v>-</v>
      </c>
      <c r="EO31" s="100"/>
      <c r="EP31" s="100"/>
      <c r="ER31" s="79" t="str">
        <f t="shared" si="77"/>
        <v>-</v>
      </c>
      <c r="ES31" s="79" t="str">
        <f t="shared" si="78"/>
        <v>-</v>
      </c>
      <c r="ET31" s="79" t="str">
        <f t="shared" si="79"/>
        <v>-</v>
      </c>
      <c r="EU31" s="79" t="str">
        <f t="shared" si="80"/>
        <v>-</v>
      </c>
      <c r="EY31" s="74" t="str">
        <f>IF(E31=0,"-",LARGE(E6:E50,26))</f>
        <v>-</v>
      </c>
      <c r="EZ31" s="77" t="str">
        <f t="shared" si="81"/>
        <v>-</v>
      </c>
      <c r="FA31" s="77">
        <f t="shared" si="82"/>
        <v>0</v>
      </c>
      <c r="FB31" s="77" t="str">
        <f t="shared" si="83"/>
        <v>-</v>
      </c>
      <c r="FC31" s="77" t="str">
        <f>IF(FB31="-","-",SMALL(FB6:FB50,26))</f>
        <v>-</v>
      </c>
    </row>
    <row r="32" spans="1:159" s="77" customFormat="1">
      <c r="A32" s="74"/>
      <c r="C32" s="95">
        <f>'1'!R29</f>
        <v>0</v>
      </c>
      <c r="D32" s="96">
        <f>'1'!J29</f>
        <v>0</v>
      </c>
      <c r="E32" s="96">
        <f>'1'!K29</f>
        <v>0</v>
      </c>
      <c r="G32" s="74"/>
      <c r="H32" s="74"/>
      <c r="I32" s="74"/>
      <c r="J32" s="74"/>
      <c r="K32" s="74"/>
      <c r="L32" s="96">
        <f>'2'!R29</f>
        <v>0</v>
      </c>
      <c r="M32" s="77">
        <f>'2'!J29</f>
        <v>0</v>
      </c>
      <c r="N32" s="74">
        <f>'2'!K29</f>
        <v>0</v>
      </c>
      <c r="O32" s="74"/>
      <c r="P32" s="74"/>
      <c r="Q32" s="74" t="s">
        <v>32</v>
      </c>
      <c r="T32" s="74" t="e">
        <f>DE15</f>
        <v>#DIV/0!</v>
      </c>
      <c r="AB32" s="74"/>
      <c r="AC32" s="74"/>
      <c r="AE32" s="74"/>
      <c r="AJ32" s="98" t="str">
        <f t="shared" si="27"/>
        <v>-</v>
      </c>
      <c r="AK32" s="98" t="str">
        <f t="shared" si="28"/>
        <v>-</v>
      </c>
      <c r="AL32" s="98" t="str">
        <f t="shared" si="0"/>
        <v>-</v>
      </c>
      <c r="AM32" s="98" t="str">
        <f t="shared" si="29"/>
        <v>-</v>
      </c>
      <c r="AN32" s="98" t="str">
        <f t="shared" si="30"/>
        <v>-</v>
      </c>
      <c r="AO32" s="98" t="str">
        <f t="shared" si="31"/>
        <v>-</v>
      </c>
      <c r="AP32" s="98" t="str">
        <f t="shared" si="32"/>
        <v>-</v>
      </c>
      <c r="AQ32" s="98" t="str">
        <f t="shared" si="33"/>
        <v>-</v>
      </c>
      <c r="AR32" s="98"/>
      <c r="AS32" s="98"/>
      <c r="AT32" s="103" t="e">
        <f t="shared" si="87"/>
        <v>#DIV/0!</v>
      </c>
      <c r="AU32" s="103" t="e">
        <f t="shared" si="87"/>
        <v>#DIV/0!</v>
      </c>
      <c r="AV32" s="103" t="e">
        <f t="shared" si="87"/>
        <v>#DIV/0!</v>
      </c>
      <c r="AW32" s="103" t="e">
        <f t="shared" si="87"/>
        <v>#DIV/0!</v>
      </c>
      <c r="AX32" s="74" t="str">
        <f t="shared" si="35"/>
        <v>-</v>
      </c>
      <c r="AY32" s="74">
        <f t="shared" si="36"/>
        <v>0</v>
      </c>
      <c r="AZ32" s="74">
        <f t="shared" si="37"/>
        <v>0</v>
      </c>
      <c r="BA32" s="98">
        <f t="shared" si="38"/>
        <v>0</v>
      </c>
      <c r="BB32" s="74">
        <f t="shared" si="1"/>
        <v>0</v>
      </c>
      <c r="BC32" s="74">
        <f t="shared" si="2"/>
        <v>0</v>
      </c>
      <c r="BG32" s="74">
        <f t="shared" si="39"/>
        <v>0</v>
      </c>
      <c r="BH32" s="74">
        <f t="shared" si="40"/>
        <v>0</v>
      </c>
      <c r="BI32" s="98">
        <f t="shared" si="41"/>
        <v>0</v>
      </c>
      <c r="BJ32" s="74">
        <f t="shared" si="3"/>
        <v>0</v>
      </c>
      <c r="BK32" s="74">
        <f t="shared" si="4"/>
        <v>0</v>
      </c>
      <c r="BN32" s="74">
        <f t="shared" si="42"/>
        <v>0</v>
      </c>
      <c r="BO32" s="74" t="str">
        <f t="shared" si="43"/>
        <v>-</v>
      </c>
      <c r="BP32" s="98" t="str">
        <f t="shared" si="44"/>
        <v>-</v>
      </c>
      <c r="BQ32" s="98" t="str">
        <f t="shared" si="45"/>
        <v>-</v>
      </c>
      <c r="BR32" s="98" t="str">
        <f t="shared" si="5"/>
        <v>-</v>
      </c>
      <c r="BS32" s="98" t="str">
        <f t="shared" si="6"/>
        <v>-</v>
      </c>
      <c r="BT32" s="98" t="str">
        <f t="shared" si="7"/>
        <v>-</v>
      </c>
      <c r="BU32" s="98" t="str">
        <f t="shared" si="8"/>
        <v>-</v>
      </c>
      <c r="BV32" s="98" t="str">
        <f t="shared" si="9"/>
        <v>-</v>
      </c>
      <c r="BW32" s="98" t="str">
        <f t="shared" si="10"/>
        <v>-</v>
      </c>
      <c r="BX32" s="98"/>
      <c r="BY32" s="98"/>
      <c r="BZ32" s="103" t="e">
        <f t="shared" si="88"/>
        <v>#DIV/0!</v>
      </c>
      <c r="CA32" s="103" t="e">
        <f t="shared" si="88"/>
        <v>#DIV/0!</v>
      </c>
      <c r="CB32" s="103" t="e">
        <f t="shared" si="88"/>
        <v>#DIV/0!</v>
      </c>
      <c r="CC32" s="103" t="e">
        <f t="shared" si="88"/>
        <v>#DIV/0!</v>
      </c>
      <c r="CD32" s="74" t="str">
        <f t="shared" si="11"/>
        <v>-</v>
      </c>
      <c r="CE32" s="74">
        <f t="shared" si="47"/>
        <v>0</v>
      </c>
      <c r="CF32" s="74">
        <f t="shared" si="48"/>
        <v>0</v>
      </c>
      <c r="CG32" s="98">
        <f t="shared" si="49"/>
        <v>0</v>
      </c>
      <c r="CH32" s="74">
        <f t="shared" si="12"/>
        <v>0</v>
      </c>
      <c r="CI32" s="74">
        <f t="shared" si="13"/>
        <v>0</v>
      </c>
      <c r="CM32" s="74">
        <f t="shared" si="14"/>
        <v>0</v>
      </c>
      <c r="CN32" s="74">
        <f t="shared" si="50"/>
        <v>0</v>
      </c>
      <c r="CO32" s="98">
        <f t="shared" si="51"/>
        <v>0</v>
      </c>
      <c r="CP32" s="74">
        <f t="shared" si="15"/>
        <v>0</v>
      </c>
      <c r="CQ32" s="74">
        <f t="shared" si="16"/>
        <v>0</v>
      </c>
      <c r="CV32" s="98" t="str">
        <f t="shared" si="17"/>
        <v>-</v>
      </c>
      <c r="CW32" s="95" t="str">
        <f t="shared" si="18"/>
        <v>-</v>
      </c>
      <c r="CX32" s="74" t="str">
        <f t="shared" si="52"/>
        <v>-</v>
      </c>
      <c r="CY32" s="74" t="str">
        <f t="shared" si="19"/>
        <v>-</v>
      </c>
      <c r="CZ32" s="100" t="str">
        <f t="shared" si="20"/>
        <v>-</v>
      </c>
      <c r="DA32" s="58" t="str">
        <f t="shared" si="53"/>
        <v>-</v>
      </c>
      <c r="DB32" s="58" t="str">
        <f t="shared" si="54"/>
        <v>-</v>
      </c>
      <c r="DC32" s="58" t="str">
        <f t="shared" si="55"/>
        <v>-</v>
      </c>
      <c r="DD32" s="58" t="str">
        <f t="shared" si="56"/>
        <v>-</v>
      </c>
      <c r="DH32" s="98" t="str">
        <f t="shared" si="57"/>
        <v>-</v>
      </c>
      <c r="DI32" s="98" t="str">
        <f t="shared" si="58"/>
        <v>-</v>
      </c>
      <c r="DJ32" s="74" t="str">
        <f t="shared" si="59"/>
        <v>-</v>
      </c>
      <c r="DK32" s="74" t="str">
        <f t="shared" si="59"/>
        <v>-</v>
      </c>
      <c r="DL32" s="100" t="str">
        <f t="shared" si="22"/>
        <v>-</v>
      </c>
      <c r="DM32" s="58" t="str">
        <f t="shared" si="60"/>
        <v>-</v>
      </c>
      <c r="DN32" s="58" t="str">
        <f t="shared" si="61"/>
        <v>-</v>
      </c>
      <c r="DO32" s="58" t="str">
        <f t="shared" si="62"/>
        <v>-</v>
      </c>
      <c r="DP32" s="58" t="str">
        <f t="shared" si="63"/>
        <v>-</v>
      </c>
      <c r="DQ32" s="100"/>
      <c r="DR32" s="100"/>
      <c r="DT32" s="98" t="str">
        <f t="shared" si="86"/>
        <v>-</v>
      </c>
      <c r="DU32" s="98" t="str">
        <f t="shared" si="64"/>
        <v>-</v>
      </c>
      <c r="DV32" s="74" t="str">
        <f t="shared" si="65"/>
        <v>-</v>
      </c>
      <c r="DW32" s="74" t="str">
        <f t="shared" si="65"/>
        <v>-</v>
      </c>
      <c r="DX32" s="100" t="str">
        <f t="shared" si="24"/>
        <v>-</v>
      </c>
      <c r="DY32" s="58" t="str">
        <f t="shared" si="66"/>
        <v>-</v>
      </c>
      <c r="DZ32" s="58" t="str">
        <f t="shared" si="67"/>
        <v>-</v>
      </c>
      <c r="EA32" s="58" t="str">
        <f t="shared" si="68"/>
        <v>-</v>
      </c>
      <c r="EB32" s="58" t="str">
        <f t="shared" si="69"/>
        <v>-</v>
      </c>
      <c r="EC32" s="100"/>
      <c r="ED32" s="100"/>
      <c r="EF32" s="98" t="str">
        <f t="shared" si="70"/>
        <v>-</v>
      </c>
      <c r="EG32" s="98" t="str">
        <f t="shared" si="71"/>
        <v>-</v>
      </c>
      <c r="EH32" s="74" t="str">
        <f t="shared" si="72"/>
        <v>-</v>
      </c>
      <c r="EI32" s="74" t="str">
        <f t="shared" si="72"/>
        <v>-</v>
      </c>
      <c r="EJ32" s="100" t="str">
        <f t="shared" si="26"/>
        <v>-</v>
      </c>
      <c r="EK32" s="58" t="str">
        <f t="shared" si="73"/>
        <v>-</v>
      </c>
      <c r="EL32" s="58" t="str">
        <f t="shared" si="74"/>
        <v>-</v>
      </c>
      <c r="EM32" s="58" t="str">
        <f t="shared" si="75"/>
        <v>-</v>
      </c>
      <c r="EN32" s="58" t="str">
        <f t="shared" si="76"/>
        <v>-</v>
      </c>
      <c r="EO32" s="100"/>
      <c r="EP32" s="100"/>
      <c r="ER32" s="79" t="str">
        <f t="shared" si="77"/>
        <v>-</v>
      </c>
      <c r="ES32" s="79" t="str">
        <f t="shared" si="78"/>
        <v>-</v>
      </c>
      <c r="ET32" s="79" t="str">
        <f t="shared" si="79"/>
        <v>-</v>
      </c>
      <c r="EU32" s="79" t="str">
        <f t="shared" si="80"/>
        <v>-</v>
      </c>
      <c r="EY32" s="74" t="str">
        <f>IF(E32=0,"-",LARGE(E6:E50,27))</f>
        <v>-</v>
      </c>
      <c r="EZ32" s="77" t="str">
        <f t="shared" si="81"/>
        <v>-</v>
      </c>
      <c r="FA32" s="77">
        <f t="shared" si="82"/>
        <v>0</v>
      </c>
      <c r="FB32" s="77" t="str">
        <f t="shared" si="83"/>
        <v>-</v>
      </c>
      <c r="FC32" s="77" t="str">
        <f>IF(FB32="-","-",SMALL(FB6:FB50,27))</f>
        <v>-</v>
      </c>
    </row>
    <row r="33" spans="1:159" s="77" customFormat="1">
      <c r="A33" s="74"/>
      <c r="C33" s="95">
        <f>'1'!R30</f>
        <v>0</v>
      </c>
      <c r="D33" s="96">
        <f>'1'!J30</f>
        <v>0</v>
      </c>
      <c r="E33" s="96">
        <f>'1'!K30</f>
        <v>0</v>
      </c>
      <c r="G33" s="74"/>
      <c r="H33" s="74"/>
      <c r="I33" s="74"/>
      <c r="J33" s="74"/>
      <c r="K33" s="74"/>
      <c r="L33" s="96">
        <f>'2'!R30</f>
        <v>0</v>
      </c>
      <c r="M33" s="77">
        <f>'2'!J30</f>
        <v>0</v>
      </c>
      <c r="N33" s="74">
        <f>'2'!K30</f>
        <v>0</v>
      </c>
      <c r="O33" s="74"/>
      <c r="P33" s="74"/>
      <c r="Q33" s="74" t="s">
        <v>33</v>
      </c>
      <c r="T33" s="74" t="e">
        <f>DE16</f>
        <v>#DIV/0!</v>
      </c>
      <c r="AB33" s="74"/>
      <c r="AC33" s="74"/>
      <c r="AE33" s="74"/>
      <c r="AJ33" s="98" t="str">
        <f t="shared" si="27"/>
        <v>-</v>
      </c>
      <c r="AK33" s="98" t="str">
        <f t="shared" si="28"/>
        <v>-</v>
      </c>
      <c r="AL33" s="98" t="str">
        <f t="shared" si="0"/>
        <v>-</v>
      </c>
      <c r="AM33" s="98" t="str">
        <f t="shared" si="29"/>
        <v>-</v>
      </c>
      <c r="AN33" s="98" t="str">
        <f t="shared" si="30"/>
        <v>-</v>
      </c>
      <c r="AO33" s="98" t="str">
        <f t="shared" si="31"/>
        <v>-</v>
      </c>
      <c r="AP33" s="98" t="str">
        <f t="shared" si="32"/>
        <v>-</v>
      </c>
      <c r="AQ33" s="98" t="str">
        <f t="shared" si="33"/>
        <v>-</v>
      </c>
      <c r="AR33" s="98"/>
      <c r="AS33" s="98"/>
      <c r="AT33" s="103" t="e">
        <f t="shared" si="87"/>
        <v>#DIV/0!</v>
      </c>
      <c r="AU33" s="103" t="e">
        <f t="shared" si="87"/>
        <v>#DIV/0!</v>
      </c>
      <c r="AV33" s="103" t="e">
        <f t="shared" si="87"/>
        <v>#DIV/0!</v>
      </c>
      <c r="AW33" s="103" t="e">
        <f t="shared" si="87"/>
        <v>#DIV/0!</v>
      </c>
      <c r="AX33" s="74" t="str">
        <f t="shared" si="35"/>
        <v>-</v>
      </c>
      <c r="AY33" s="74">
        <f t="shared" si="36"/>
        <v>0</v>
      </c>
      <c r="AZ33" s="74">
        <f t="shared" si="37"/>
        <v>0</v>
      </c>
      <c r="BA33" s="98">
        <f t="shared" si="38"/>
        <v>0</v>
      </c>
      <c r="BB33" s="74">
        <f t="shared" si="1"/>
        <v>0</v>
      </c>
      <c r="BC33" s="74">
        <f t="shared" si="2"/>
        <v>0</v>
      </c>
      <c r="BG33" s="74">
        <f t="shared" si="39"/>
        <v>0</v>
      </c>
      <c r="BH33" s="74">
        <f t="shared" si="40"/>
        <v>0</v>
      </c>
      <c r="BI33" s="98">
        <f t="shared" si="41"/>
        <v>0</v>
      </c>
      <c r="BJ33" s="74">
        <f t="shared" si="3"/>
        <v>0</v>
      </c>
      <c r="BK33" s="74">
        <f t="shared" si="4"/>
        <v>0</v>
      </c>
      <c r="BN33" s="74">
        <f t="shared" si="42"/>
        <v>0</v>
      </c>
      <c r="BO33" s="74" t="str">
        <f t="shared" si="43"/>
        <v>-</v>
      </c>
      <c r="BP33" s="98" t="str">
        <f t="shared" si="44"/>
        <v>-</v>
      </c>
      <c r="BQ33" s="98" t="str">
        <f t="shared" si="45"/>
        <v>-</v>
      </c>
      <c r="BR33" s="98" t="str">
        <f t="shared" si="5"/>
        <v>-</v>
      </c>
      <c r="BS33" s="98" t="str">
        <f t="shared" si="6"/>
        <v>-</v>
      </c>
      <c r="BT33" s="98" t="str">
        <f t="shared" si="7"/>
        <v>-</v>
      </c>
      <c r="BU33" s="98" t="str">
        <f t="shared" si="8"/>
        <v>-</v>
      </c>
      <c r="BV33" s="98" t="str">
        <f t="shared" si="9"/>
        <v>-</v>
      </c>
      <c r="BW33" s="98" t="str">
        <f t="shared" si="10"/>
        <v>-</v>
      </c>
      <c r="BX33" s="98"/>
      <c r="BY33" s="98"/>
      <c r="BZ33" s="103" t="e">
        <f t="shared" si="88"/>
        <v>#DIV/0!</v>
      </c>
      <c r="CA33" s="103" t="e">
        <f t="shared" si="88"/>
        <v>#DIV/0!</v>
      </c>
      <c r="CB33" s="103" t="e">
        <f t="shared" si="88"/>
        <v>#DIV/0!</v>
      </c>
      <c r="CC33" s="103" t="e">
        <f t="shared" si="88"/>
        <v>#DIV/0!</v>
      </c>
      <c r="CD33" s="74" t="str">
        <f t="shared" si="11"/>
        <v>-</v>
      </c>
      <c r="CE33" s="74">
        <f t="shared" si="47"/>
        <v>0</v>
      </c>
      <c r="CF33" s="74">
        <f t="shared" si="48"/>
        <v>0</v>
      </c>
      <c r="CG33" s="98">
        <f t="shared" si="49"/>
        <v>0</v>
      </c>
      <c r="CH33" s="74">
        <f t="shared" si="12"/>
        <v>0</v>
      </c>
      <c r="CI33" s="74">
        <f t="shared" si="13"/>
        <v>0</v>
      </c>
      <c r="CM33" s="74">
        <f t="shared" si="14"/>
        <v>0</v>
      </c>
      <c r="CN33" s="74">
        <f t="shared" si="50"/>
        <v>0</v>
      </c>
      <c r="CO33" s="98">
        <f t="shared" si="51"/>
        <v>0</v>
      </c>
      <c r="CP33" s="74">
        <f t="shared" si="15"/>
        <v>0</v>
      </c>
      <c r="CQ33" s="74">
        <f t="shared" si="16"/>
        <v>0</v>
      </c>
      <c r="CV33" s="98" t="str">
        <f t="shared" si="17"/>
        <v>-</v>
      </c>
      <c r="CW33" s="95" t="str">
        <f t="shared" si="18"/>
        <v>-</v>
      </c>
      <c r="CX33" s="74" t="str">
        <f t="shared" si="52"/>
        <v>-</v>
      </c>
      <c r="CY33" s="74" t="str">
        <f t="shared" si="19"/>
        <v>-</v>
      </c>
      <c r="CZ33" s="100" t="str">
        <f t="shared" si="20"/>
        <v>-</v>
      </c>
      <c r="DA33" s="58" t="str">
        <f t="shared" si="53"/>
        <v>-</v>
      </c>
      <c r="DB33" s="58" t="str">
        <f t="shared" si="54"/>
        <v>-</v>
      </c>
      <c r="DC33" s="58" t="str">
        <f t="shared" si="55"/>
        <v>-</v>
      </c>
      <c r="DD33" s="58" t="str">
        <f t="shared" si="56"/>
        <v>-</v>
      </c>
      <c r="DH33" s="98" t="str">
        <f t="shared" si="57"/>
        <v>-</v>
      </c>
      <c r="DI33" s="98" t="str">
        <f t="shared" si="58"/>
        <v>-</v>
      </c>
      <c r="DJ33" s="74" t="str">
        <f t="shared" si="59"/>
        <v>-</v>
      </c>
      <c r="DK33" s="74" t="str">
        <f t="shared" si="59"/>
        <v>-</v>
      </c>
      <c r="DL33" s="100" t="str">
        <f t="shared" si="22"/>
        <v>-</v>
      </c>
      <c r="DM33" s="58" t="str">
        <f t="shared" si="60"/>
        <v>-</v>
      </c>
      <c r="DN33" s="58" t="str">
        <f t="shared" si="61"/>
        <v>-</v>
      </c>
      <c r="DO33" s="58" t="str">
        <f t="shared" si="62"/>
        <v>-</v>
      </c>
      <c r="DP33" s="58" t="str">
        <f t="shared" si="63"/>
        <v>-</v>
      </c>
      <c r="DQ33" s="100"/>
      <c r="DR33" s="100"/>
      <c r="DT33" s="98" t="str">
        <f t="shared" si="86"/>
        <v>-</v>
      </c>
      <c r="DU33" s="98" t="str">
        <f t="shared" si="64"/>
        <v>-</v>
      </c>
      <c r="DV33" s="74" t="str">
        <f t="shared" si="65"/>
        <v>-</v>
      </c>
      <c r="DW33" s="74" t="str">
        <f t="shared" si="65"/>
        <v>-</v>
      </c>
      <c r="DX33" s="100" t="str">
        <f t="shared" si="24"/>
        <v>-</v>
      </c>
      <c r="DY33" s="58" t="str">
        <f t="shared" si="66"/>
        <v>-</v>
      </c>
      <c r="DZ33" s="58" t="str">
        <f t="shared" si="67"/>
        <v>-</v>
      </c>
      <c r="EA33" s="58" t="str">
        <f t="shared" si="68"/>
        <v>-</v>
      </c>
      <c r="EB33" s="58" t="str">
        <f t="shared" si="69"/>
        <v>-</v>
      </c>
      <c r="EC33" s="100"/>
      <c r="ED33" s="100"/>
      <c r="EF33" s="98" t="str">
        <f t="shared" si="70"/>
        <v>-</v>
      </c>
      <c r="EG33" s="98" t="str">
        <f t="shared" si="71"/>
        <v>-</v>
      </c>
      <c r="EH33" s="74" t="str">
        <f t="shared" si="72"/>
        <v>-</v>
      </c>
      <c r="EI33" s="74" t="str">
        <f t="shared" si="72"/>
        <v>-</v>
      </c>
      <c r="EJ33" s="100" t="str">
        <f t="shared" si="26"/>
        <v>-</v>
      </c>
      <c r="EK33" s="58" t="str">
        <f t="shared" si="73"/>
        <v>-</v>
      </c>
      <c r="EL33" s="58" t="str">
        <f t="shared" si="74"/>
        <v>-</v>
      </c>
      <c r="EM33" s="58" t="str">
        <f t="shared" si="75"/>
        <v>-</v>
      </c>
      <c r="EN33" s="58" t="str">
        <f t="shared" si="76"/>
        <v>-</v>
      </c>
      <c r="EO33" s="100"/>
      <c r="EP33" s="100"/>
      <c r="ER33" s="79" t="str">
        <f t="shared" si="77"/>
        <v>-</v>
      </c>
      <c r="ES33" s="79" t="str">
        <f t="shared" si="78"/>
        <v>-</v>
      </c>
      <c r="ET33" s="79" t="str">
        <f t="shared" si="79"/>
        <v>-</v>
      </c>
      <c r="EU33" s="79" t="str">
        <f t="shared" si="80"/>
        <v>-</v>
      </c>
      <c r="EY33" s="74" t="str">
        <f>IF(E33=0,"-",LARGE(E6:E50,28))</f>
        <v>-</v>
      </c>
      <c r="EZ33" s="77" t="str">
        <f t="shared" si="81"/>
        <v>-</v>
      </c>
      <c r="FA33" s="77">
        <f t="shared" si="82"/>
        <v>0</v>
      </c>
      <c r="FB33" s="77" t="str">
        <f t="shared" si="83"/>
        <v>-</v>
      </c>
      <c r="FC33" s="77" t="str">
        <f>IF(FB33="-","-",SMALL(FB6:FB50,28))</f>
        <v>-</v>
      </c>
    </row>
    <row r="34" spans="1:159" s="77" customFormat="1">
      <c r="A34" s="74"/>
      <c r="C34" s="95">
        <f>'1'!R31</f>
        <v>0</v>
      </c>
      <c r="D34" s="96">
        <f>'1'!J31</f>
        <v>0</v>
      </c>
      <c r="E34" s="96">
        <f>'1'!K31</f>
        <v>0</v>
      </c>
      <c r="G34" s="74"/>
      <c r="H34" s="74"/>
      <c r="I34" s="74"/>
      <c r="J34" s="74"/>
      <c r="K34" s="74"/>
      <c r="L34" s="96">
        <f>'2'!R31</f>
        <v>0</v>
      </c>
      <c r="M34" s="77">
        <f>'2'!J31</f>
        <v>0</v>
      </c>
      <c r="N34" s="74">
        <f>'2'!K31</f>
        <v>0</v>
      </c>
      <c r="O34" s="74"/>
      <c r="P34" s="74"/>
      <c r="Q34" s="74" t="s">
        <v>34</v>
      </c>
      <c r="T34" s="74" t="e">
        <f>DE17</f>
        <v>#DIV/0!</v>
      </c>
      <c r="AB34" s="74"/>
      <c r="AC34" s="74"/>
      <c r="AE34" s="74"/>
      <c r="AJ34" s="98" t="str">
        <f t="shared" si="27"/>
        <v>-</v>
      </c>
      <c r="AK34" s="98" t="str">
        <f t="shared" si="28"/>
        <v>-</v>
      </c>
      <c r="AL34" s="98" t="str">
        <f t="shared" si="0"/>
        <v>-</v>
      </c>
      <c r="AM34" s="98" t="str">
        <f t="shared" si="29"/>
        <v>-</v>
      </c>
      <c r="AN34" s="98" t="str">
        <f t="shared" si="30"/>
        <v>-</v>
      </c>
      <c r="AO34" s="98" t="str">
        <f t="shared" si="31"/>
        <v>-</v>
      </c>
      <c r="AP34" s="98" t="str">
        <f t="shared" si="32"/>
        <v>-</v>
      </c>
      <c r="AQ34" s="98" t="str">
        <f t="shared" si="33"/>
        <v>-</v>
      </c>
      <c r="AR34" s="98"/>
      <c r="AS34" s="98"/>
      <c r="AT34" s="103" t="e">
        <f t="shared" si="87"/>
        <v>#DIV/0!</v>
      </c>
      <c r="AU34" s="103" t="e">
        <f t="shared" si="87"/>
        <v>#DIV/0!</v>
      </c>
      <c r="AV34" s="103" t="e">
        <f t="shared" si="87"/>
        <v>#DIV/0!</v>
      </c>
      <c r="AW34" s="103" t="e">
        <f t="shared" si="87"/>
        <v>#DIV/0!</v>
      </c>
      <c r="AX34" s="74" t="str">
        <f t="shared" si="35"/>
        <v>-</v>
      </c>
      <c r="AY34" s="74">
        <f t="shared" si="36"/>
        <v>0</v>
      </c>
      <c r="AZ34" s="74">
        <f t="shared" si="37"/>
        <v>0</v>
      </c>
      <c r="BA34" s="98">
        <f t="shared" si="38"/>
        <v>0</v>
      </c>
      <c r="BB34" s="74">
        <f t="shared" si="1"/>
        <v>0</v>
      </c>
      <c r="BC34" s="74">
        <f t="shared" si="2"/>
        <v>0</v>
      </c>
      <c r="BG34" s="74">
        <f t="shared" si="39"/>
        <v>0</v>
      </c>
      <c r="BH34" s="74">
        <f t="shared" si="40"/>
        <v>0</v>
      </c>
      <c r="BI34" s="98">
        <f t="shared" si="41"/>
        <v>0</v>
      </c>
      <c r="BJ34" s="74">
        <f t="shared" si="3"/>
        <v>0</v>
      </c>
      <c r="BK34" s="74">
        <f t="shared" si="4"/>
        <v>0</v>
      </c>
      <c r="BN34" s="74">
        <f t="shared" si="42"/>
        <v>0</v>
      </c>
      <c r="BO34" s="74" t="str">
        <f t="shared" si="43"/>
        <v>-</v>
      </c>
      <c r="BP34" s="98" t="str">
        <f t="shared" si="44"/>
        <v>-</v>
      </c>
      <c r="BQ34" s="98" t="str">
        <f t="shared" si="45"/>
        <v>-</v>
      </c>
      <c r="BR34" s="98" t="str">
        <f t="shared" si="5"/>
        <v>-</v>
      </c>
      <c r="BS34" s="98" t="str">
        <f t="shared" si="6"/>
        <v>-</v>
      </c>
      <c r="BT34" s="98" t="str">
        <f t="shared" si="7"/>
        <v>-</v>
      </c>
      <c r="BU34" s="98" t="str">
        <f t="shared" si="8"/>
        <v>-</v>
      </c>
      <c r="BV34" s="98" t="str">
        <f t="shared" si="9"/>
        <v>-</v>
      </c>
      <c r="BW34" s="98" t="str">
        <f t="shared" si="10"/>
        <v>-</v>
      </c>
      <c r="BX34" s="98"/>
      <c r="BY34" s="98"/>
      <c r="BZ34" s="103" t="e">
        <f t="shared" si="88"/>
        <v>#DIV/0!</v>
      </c>
      <c r="CA34" s="103" t="e">
        <f t="shared" si="88"/>
        <v>#DIV/0!</v>
      </c>
      <c r="CB34" s="103" t="e">
        <f t="shared" si="88"/>
        <v>#DIV/0!</v>
      </c>
      <c r="CC34" s="103" t="e">
        <f t="shared" si="88"/>
        <v>#DIV/0!</v>
      </c>
      <c r="CD34" s="74" t="str">
        <f t="shared" si="11"/>
        <v>-</v>
      </c>
      <c r="CE34" s="74">
        <f t="shared" si="47"/>
        <v>0</v>
      </c>
      <c r="CF34" s="74">
        <f t="shared" si="48"/>
        <v>0</v>
      </c>
      <c r="CG34" s="98">
        <f t="shared" si="49"/>
        <v>0</v>
      </c>
      <c r="CH34" s="74">
        <f t="shared" si="12"/>
        <v>0</v>
      </c>
      <c r="CI34" s="74">
        <f t="shared" si="13"/>
        <v>0</v>
      </c>
      <c r="CM34" s="74">
        <f t="shared" si="14"/>
        <v>0</v>
      </c>
      <c r="CN34" s="74">
        <f t="shared" si="50"/>
        <v>0</v>
      </c>
      <c r="CO34" s="98">
        <f t="shared" si="51"/>
        <v>0</v>
      </c>
      <c r="CP34" s="74">
        <f t="shared" si="15"/>
        <v>0</v>
      </c>
      <c r="CQ34" s="74">
        <f t="shared" si="16"/>
        <v>0</v>
      </c>
      <c r="CV34" s="98" t="str">
        <f t="shared" si="17"/>
        <v>-</v>
      </c>
      <c r="CW34" s="95" t="str">
        <f t="shared" si="18"/>
        <v>-</v>
      </c>
      <c r="CX34" s="74" t="str">
        <f t="shared" si="52"/>
        <v>-</v>
      </c>
      <c r="CY34" s="74" t="str">
        <f t="shared" si="19"/>
        <v>-</v>
      </c>
      <c r="CZ34" s="100" t="str">
        <f t="shared" si="20"/>
        <v>-</v>
      </c>
      <c r="DA34" s="58" t="str">
        <f t="shared" si="53"/>
        <v>-</v>
      </c>
      <c r="DB34" s="58" t="str">
        <f t="shared" si="54"/>
        <v>-</v>
      </c>
      <c r="DC34" s="58" t="str">
        <f t="shared" si="55"/>
        <v>-</v>
      </c>
      <c r="DD34" s="58" t="str">
        <f t="shared" si="56"/>
        <v>-</v>
      </c>
      <c r="DH34" s="98" t="str">
        <f t="shared" si="57"/>
        <v>-</v>
      </c>
      <c r="DI34" s="98" t="str">
        <f t="shared" si="58"/>
        <v>-</v>
      </c>
      <c r="DJ34" s="74" t="str">
        <f t="shared" si="59"/>
        <v>-</v>
      </c>
      <c r="DK34" s="74" t="str">
        <f t="shared" si="59"/>
        <v>-</v>
      </c>
      <c r="DL34" s="100" t="str">
        <f t="shared" si="22"/>
        <v>-</v>
      </c>
      <c r="DM34" s="58" t="str">
        <f t="shared" si="60"/>
        <v>-</v>
      </c>
      <c r="DN34" s="58" t="str">
        <f t="shared" si="61"/>
        <v>-</v>
      </c>
      <c r="DO34" s="58" t="str">
        <f t="shared" si="62"/>
        <v>-</v>
      </c>
      <c r="DP34" s="58" t="str">
        <f t="shared" si="63"/>
        <v>-</v>
      </c>
      <c r="DQ34" s="100"/>
      <c r="DR34" s="100"/>
      <c r="DT34" s="98" t="str">
        <f t="shared" si="86"/>
        <v>-</v>
      </c>
      <c r="DU34" s="98" t="str">
        <f t="shared" si="64"/>
        <v>-</v>
      </c>
      <c r="DV34" s="74" t="str">
        <f t="shared" si="65"/>
        <v>-</v>
      </c>
      <c r="DW34" s="74" t="str">
        <f t="shared" si="65"/>
        <v>-</v>
      </c>
      <c r="DX34" s="100" t="str">
        <f t="shared" si="24"/>
        <v>-</v>
      </c>
      <c r="DY34" s="58" t="str">
        <f t="shared" si="66"/>
        <v>-</v>
      </c>
      <c r="DZ34" s="58" t="str">
        <f t="shared" si="67"/>
        <v>-</v>
      </c>
      <c r="EA34" s="58" t="str">
        <f t="shared" si="68"/>
        <v>-</v>
      </c>
      <c r="EB34" s="58" t="str">
        <f t="shared" si="69"/>
        <v>-</v>
      </c>
      <c r="EC34" s="100"/>
      <c r="ED34" s="100"/>
      <c r="EF34" s="98" t="str">
        <f t="shared" si="70"/>
        <v>-</v>
      </c>
      <c r="EG34" s="98" t="str">
        <f t="shared" si="71"/>
        <v>-</v>
      </c>
      <c r="EH34" s="74" t="str">
        <f t="shared" si="72"/>
        <v>-</v>
      </c>
      <c r="EI34" s="74" t="str">
        <f t="shared" si="72"/>
        <v>-</v>
      </c>
      <c r="EJ34" s="100" t="str">
        <f t="shared" si="26"/>
        <v>-</v>
      </c>
      <c r="EK34" s="58" t="str">
        <f t="shared" si="73"/>
        <v>-</v>
      </c>
      <c r="EL34" s="58" t="str">
        <f t="shared" si="74"/>
        <v>-</v>
      </c>
      <c r="EM34" s="58" t="str">
        <f t="shared" si="75"/>
        <v>-</v>
      </c>
      <c r="EN34" s="58" t="str">
        <f t="shared" si="76"/>
        <v>-</v>
      </c>
      <c r="EO34" s="100"/>
      <c r="EP34" s="100"/>
      <c r="ER34" s="79" t="str">
        <f t="shared" si="77"/>
        <v>-</v>
      </c>
      <c r="ES34" s="79" t="str">
        <f t="shared" si="78"/>
        <v>-</v>
      </c>
      <c r="ET34" s="79" t="str">
        <f t="shared" si="79"/>
        <v>-</v>
      </c>
      <c r="EU34" s="79" t="str">
        <f t="shared" si="80"/>
        <v>-</v>
      </c>
      <c r="EY34" s="74" t="str">
        <f>IF(E34=0,"-",LARGE(E6:E50,29))</f>
        <v>-</v>
      </c>
      <c r="EZ34" s="77" t="str">
        <f t="shared" si="81"/>
        <v>-</v>
      </c>
      <c r="FA34" s="77">
        <f t="shared" si="82"/>
        <v>0</v>
      </c>
      <c r="FB34" s="77" t="str">
        <f t="shared" si="83"/>
        <v>-</v>
      </c>
      <c r="FC34" s="77" t="str">
        <f>IF(FB34="-","-",SMALL(FB6:FB50,29))</f>
        <v>-</v>
      </c>
    </row>
    <row r="35" spans="1:159" s="77" customFormat="1">
      <c r="C35" s="95">
        <f>'1'!R32</f>
        <v>0</v>
      </c>
      <c r="D35" s="96">
        <f>'1'!J32</f>
        <v>0</v>
      </c>
      <c r="E35" s="96">
        <f>'1'!K32</f>
        <v>0</v>
      </c>
      <c r="L35" s="96">
        <f>'2'!R32</f>
        <v>0</v>
      </c>
      <c r="M35" s="77">
        <f>'2'!J32</f>
        <v>0</v>
      </c>
      <c r="N35" s="74">
        <f>'2'!K32</f>
        <v>0</v>
      </c>
      <c r="O35" s="74"/>
      <c r="Q35" s="74" t="s">
        <v>35</v>
      </c>
      <c r="T35" s="74" t="e">
        <f>DE18</f>
        <v>#DIV/0!</v>
      </c>
      <c r="AB35" s="74"/>
      <c r="AC35" s="74"/>
      <c r="AE35" s="74"/>
      <c r="AJ35" s="98" t="str">
        <f t="shared" si="27"/>
        <v>-</v>
      </c>
      <c r="AK35" s="98" t="str">
        <f t="shared" si="28"/>
        <v>-</v>
      </c>
      <c r="AL35" s="98" t="str">
        <f t="shared" si="0"/>
        <v>-</v>
      </c>
      <c r="AM35" s="98" t="str">
        <f t="shared" si="29"/>
        <v>-</v>
      </c>
      <c r="AN35" s="98" t="str">
        <f t="shared" si="30"/>
        <v>-</v>
      </c>
      <c r="AO35" s="98" t="str">
        <f t="shared" si="31"/>
        <v>-</v>
      </c>
      <c r="AP35" s="98" t="str">
        <f t="shared" si="32"/>
        <v>-</v>
      </c>
      <c r="AQ35" s="98" t="str">
        <f t="shared" si="33"/>
        <v>-</v>
      </c>
      <c r="AR35" s="98"/>
      <c r="AS35" s="98"/>
      <c r="AT35" s="103" t="e">
        <f t="shared" si="87"/>
        <v>#DIV/0!</v>
      </c>
      <c r="AU35" s="103" t="e">
        <f t="shared" si="87"/>
        <v>#DIV/0!</v>
      </c>
      <c r="AV35" s="103" t="e">
        <f t="shared" si="87"/>
        <v>#DIV/0!</v>
      </c>
      <c r="AW35" s="103" t="e">
        <f t="shared" si="87"/>
        <v>#DIV/0!</v>
      </c>
      <c r="AX35" s="74" t="str">
        <f t="shared" si="35"/>
        <v>-</v>
      </c>
      <c r="AY35" s="74">
        <f t="shared" si="36"/>
        <v>0</v>
      </c>
      <c r="AZ35" s="74">
        <f t="shared" si="37"/>
        <v>0</v>
      </c>
      <c r="BA35" s="98">
        <f t="shared" si="38"/>
        <v>0</v>
      </c>
      <c r="BB35" s="74">
        <f t="shared" si="1"/>
        <v>0</v>
      </c>
      <c r="BC35" s="74">
        <f t="shared" si="2"/>
        <v>0</v>
      </c>
      <c r="BE35" s="79"/>
      <c r="BG35" s="74">
        <f t="shared" si="39"/>
        <v>0</v>
      </c>
      <c r="BH35" s="74">
        <f t="shared" si="40"/>
        <v>0</v>
      </c>
      <c r="BI35" s="98">
        <f t="shared" si="41"/>
        <v>0</v>
      </c>
      <c r="BJ35" s="74">
        <f t="shared" si="3"/>
        <v>0</v>
      </c>
      <c r="BK35" s="74">
        <f t="shared" si="4"/>
        <v>0</v>
      </c>
      <c r="BM35" s="79"/>
      <c r="BN35" s="74">
        <f t="shared" si="42"/>
        <v>0</v>
      </c>
      <c r="BO35" s="74" t="str">
        <f t="shared" si="43"/>
        <v>-</v>
      </c>
      <c r="BP35" s="98" t="str">
        <f t="shared" si="44"/>
        <v>-</v>
      </c>
      <c r="BQ35" s="98" t="str">
        <f t="shared" si="45"/>
        <v>-</v>
      </c>
      <c r="BR35" s="98" t="str">
        <f t="shared" si="5"/>
        <v>-</v>
      </c>
      <c r="BS35" s="98" t="str">
        <f t="shared" si="6"/>
        <v>-</v>
      </c>
      <c r="BT35" s="98" t="str">
        <f t="shared" si="7"/>
        <v>-</v>
      </c>
      <c r="BU35" s="98" t="str">
        <f t="shared" si="8"/>
        <v>-</v>
      </c>
      <c r="BV35" s="98" t="str">
        <f t="shared" si="9"/>
        <v>-</v>
      </c>
      <c r="BW35" s="98" t="str">
        <f t="shared" si="10"/>
        <v>-</v>
      </c>
      <c r="BX35" s="98"/>
      <c r="BY35" s="98"/>
      <c r="BZ35" s="103" t="e">
        <f t="shared" si="88"/>
        <v>#DIV/0!</v>
      </c>
      <c r="CA35" s="103" t="e">
        <f t="shared" si="88"/>
        <v>#DIV/0!</v>
      </c>
      <c r="CB35" s="103" t="e">
        <f t="shared" si="88"/>
        <v>#DIV/0!</v>
      </c>
      <c r="CC35" s="103" t="e">
        <f t="shared" si="88"/>
        <v>#DIV/0!</v>
      </c>
      <c r="CD35" s="74" t="str">
        <f t="shared" si="11"/>
        <v>-</v>
      </c>
      <c r="CE35" s="74">
        <f t="shared" si="47"/>
        <v>0</v>
      </c>
      <c r="CF35" s="74">
        <f t="shared" si="48"/>
        <v>0</v>
      </c>
      <c r="CG35" s="98">
        <f t="shared" si="49"/>
        <v>0</v>
      </c>
      <c r="CH35" s="74">
        <f t="shared" si="12"/>
        <v>0</v>
      </c>
      <c r="CI35" s="74">
        <f t="shared" si="13"/>
        <v>0</v>
      </c>
      <c r="CK35" s="79"/>
      <c r="CM35" s="74">
        <f t="shared" si="14"/>
        <v>0</v>
      </c>
      <c r="CN35" s="74">
        <f t="shared" si="50"/>
        <v>0</v>
      </c>
      <c r="CO35" s="98">
        <f t="shared" si="51"/>
        <v>0</v>
      </c>
      <c r="CP35" s="74">
        <f t="shared" si="15"/>
        <v>0</v>
      </c>
      <c r="CQ35" s="74">
        <f t="shared" si="16"/>
        <v>0</v>
      </c>
      <c r="CS35" s="79"/>
      <c r="CV35" s="98" t="str">
        <f t="shared" si="17"/>
        <v>-</v>
      </c>
      <c r="CW35" s="95" t="str">
        <f t="shared" si="18"/>
        <v>-</v>
      </c>
      <c r="CX35" s="74" t="str">
        <f t="shared" si="52"/>
        <v>-</v>
      </c>
      <c r="CY35" s="74" t="str">
        <f t="shared" si="19"/>
        <v>-</v>
      </c>
      <c r="CZ35" s="100" t="str">
        <f t="shared" si="20"/>
        <v>-</v>
      </c>
      <c r="DA35" s="58" t="str">
        <f t="shared" si="53"/>
        <v>-</v>
      </c>
      <c r="DB35" s="58" t="str">
        <f t="shared" si="54"/>
        <v>-</v>
      </c>
      <c r="DC35" s="58" t="str">
        <f t="shared" si="55"/>
        <v>-</v>
      </c>
      <c r="DD35" s="58" t="str">
        <f t="shared" si="56"/>
        <v>-</v>
      </c>
      <c r="DH35" s="98" t="str">
        <f t="shared" si="57"/>
        <v>-</v>
      </c>
      <c r="DI35" s="98" t="str">
        <f t="shared" si="58"/>
        <v>-</v>
      </c>
      <c r="DJ35" s="74" t="str">
        <f t="shared" si="59"/>
        <v>-</v>
      </c>
      <c r="DK35" s="74" t="str">
        <f t="shared" si="59"/>
        <v>-</v>
      </c>
      <c r="DL35" s="100" t="str">
        <f t="shared" si="22"/>
        <v>-</v>
      </c>
      <c r="DM35" s="58" t="str">
        <f t="shared" si="60"/>
        <v>-</v>
      </c>
      <c r="DN35" s="58" t="str">
        <f t="shared" si="61"/>
        <v>-</v>
      </c>
      <c r="DO35" s="58" t="str">
        <f t="shared" si="62"/>
        <v>-</v>
      </c>
      <c r="DP35" s="58" t="str">
        <f t="shared" si="63"/>
        <v>-</v>
      </c>
      <c r="DQ35" s="100"/>
      <c r="DR35" s="100"/>
      <c r="DT35" s="98" t="str">
        <f t="shared" si="86"/>
        <v>-</v>
      </c>
      <c r="DU35" s="98" t="str">
        <f t="shared" si="64"/>
        <v>-</v>
      </c>
      <c r="DV35" s="74" t="str">
        <f t="shared" si="65"/>
        <v>-</v>
      </c>
      <c r="DW35" s="74" t="str">
        <f t="shared" si="65"/>
        <v>-</v>
      </c>
      <c r="DX35" s="100" t="str">
        <f t="shared" si="24"/>
        <v>-</v>
      </c>
      <c r="DY35" s="58" t="str">
        <f t="shared" si="66"/>
        <v>-</v>
      </c>
      <c r="DZ35" s="58" t="str">
        <f t="shared" si="67"/>
        <v>-</v>
      </c>
      <c r="EA35" s="58" t="str">
        <f t="shared" si="68"/>
        <v>-</v>
      </c>
      <c r="EB35" s="58" t="str">
        <f t="shared" si="69"/>
        <v>-</v>
      </c>
      <c r="EC35" s="100"/>
      <c r="ED35" s="100"/>
      <c r="EF35" s="98" t="str">
        <f t="shared" si="70"/>
        <v>-</v>
      </c>
      <c r="EG35" s="98" t="str">
        <f t="shared" si="71"/>
        <v>-</v>
      </c>
      <c r="EH35" s="74" t="str">
        <f t="shared" si="72"/>
        <v>-</v>
      </c>
      <c r="EI35" s="74" t="str">
        <f t="shared" si="72"/>
        <v>-</v>
      </c>
      <c r="EJ35" s="100" t="str">
        <f t="shared" si="26"/>
        <v>-</v>
      </c>
      <c r="EK35" s="58" t="str">
        <f t="shared" si="73"/>
        <v>-</v>
      </c>
      <c r="EL35" s="58" t="str">
        <f t="shared" si="74"/>
        <v>-</v>
      </c>
      <c r="EM35" s="58" t="str">
        <f t="shared" si="75"/>
        <v>-</v>
      </c>
      <c r="EN35" s="58" t="str">
        <f t="shared" si="76"/>
        <v>-</v>
      </c>
      <c r="EO35" s="100"/>
      <c r="EP35" s="100"/>
      <c r="ER35" s="79" t="str">
        <f t="shared" si="77"/>
        <v>-</v>
      </c>
      <c r="ES35" s="79" t="str">
        <f t="shared" si="78"/>
        <v>-</v>
      </c>
      <c r="ET35" s="79" t="str">
        <f t="shared" si="79"/>
        <v>-</v>
      </c>
      <c r="EU35" s="79" t="str">
        <f t="shared" si="80"/>
        <v>-</v>
      </c>
      <c r="EY35" s="74" t="str">
        <f>IF(E35=0,"-",LARGE(E6:E50,30))</f>
        <v>-</v>
      </c>
      <c r="EZ35" s="77" t="str">
        <f t="shared" si="81"/>
        <v>-</v>
      </c>
      <c r="FA35" s="77">
        <f t="shared" si="82"/>
        <v>0</v>
      </c>
      <c r="FB35" s="77" t="str">
        <f t="shared" si="83"/>
        <v>-</v>
      </c>
      <c r="FC35" s="77" t="str">
        <f>IF(FB35="-","-",SMALL(FB6:FB50,30))</f>
        <v>-</v>
      </c>
    </row>
    <row r="36" spans="1:159" s="77" customFormat="1">
      <c r="C36" s="95">
        <f>'1'!R33</f>
        <v>0</v>
      </c>
      <c r="D36" s="96">
        <f>'1'!J33</f>
        <v>0</v>
      </c>
      <c r="E36" s="96">
        <f>'1'!K33</f>
        <v>0</v>
      </c>
      <c r="L36" s="96">
        <f>'2'!R33</f>
        <v>0</v>
      </c>
      <c r="M36" s="77">
        <f>'2'!J33</f>
        <v>0</v>
      </c>
      <c r="N36" s="74">
        <f>'2'!K33</f>
        <v>0</v>
      </c>
      <c r="Q36" s="74" t="s">
        <v>36</v>
      </c>
      <c r="T36" s="74" t="e">
        <f>EC15</f>
        <v>#DIV/0!</v>
      </c>
      <c r="AJ36" s="98" t="str">
        <f t="shared" si="27"/>
        <v>-</v>
      </c>
      <c r="AK36" s="98" t="str">
        <f t="shared" si="28"/>
        <v>-</v>
      </c>
      <c r="AL36" s="98" t="str">
        <f t="shared" si="0"/>
        <v>-</v>
      </c>
      <c r="AM36" s="98" t="str">
        <f t="shared" si="29"/>
        <v>-</v>
      </c>
      <c r="AN36" s="98" t="str">
        <f t="shared" si="30"/>
        <v>-</v>
      </c>
      <c r="AO36" s="98" t="str">
        <f t="shared" si="31"/>
        <v>-</v>
      </c>
      <c r="AP36" s="98" t="str">
        <f t="shared" si="32"/>
        <v>-</v>
      </c>
      <c r="AQ36" s="98" t="str">
        <f t="shared" si="33"/>
        <v>-</v>
      </c>
      <c r="AT36" s="103" t="e">
        <f t="shared" si="87"/>
        <v>#DIV/0!</v>
      </c>
      <c r="AU36" s="103" t="e">
        <f t="shared" si="87"/>
        <v>#DIV/0!</v>
      </c>
      <c r="AV36" s="103" t="e">
        <f t="shared" si="87"/>
        <v>#DIV/0!</v>
      </c>
      <c r="AW36" s="103" t="e">
        <f t="shared" si="87"/>
        <v>#DIV/0!</v>
      </c>
      <c r="AX36" s="74" t="str">
        <f t="shared" si="35"/>
        <v>-</v>
      </c>
      <c r="AY36" s="74">
        <f t="shared" si="36"/>
        <v>0</v>
      </c>
      <c r="AZ36" s="74">
        <f t="shared" si="37"/>
        <v>0</v>
      </c>
      <c r="BA36" s="98">
        <f t="shared" si="38"/>
        <v>0</v>
      </c>
      <c r="BB36" s="74">
        <f t="shared" si="1"/>
        <v>0</v>
      </c>
      <c r="BC36" s="74">
        <f t="shared" si="2"/>
        <v>0</v>
      </c>
      <c r="BG36" s="74">
        <f t="shared" si="39"/>
        <v>0</v>
      </c>
      <c r="BH36" s="74">
        <f t="shared" si="40"/>
        <v>0</v>
      </c>
      <c r="BI36" s="98">
        <f t="shared" si="41"/>
        <v>0</v>
      </c>
      <c r="BJ36" s="74">
        <f t="shared" si="3"/>
        <v>0</v>
      </c>
      <c r="BK36" s="74">
        <f t="shared" si="4"/>
        <v>0</v>
      </c>
      <c r="BN36" s="74">
        <f t="shared" si="42"/>
        <v>0</v>
      </c>
      <c r="BO36" s="74" t="str">
        <f t="shared" si="43"/>
        <v>-</v>
      </c>
      <c r="BP36" s="98" t="str">
        <f t="shared" si="44"/>
        <v>-</v>
      </c>
      <c r="BQ36" s="98" t="str">
        <f t="shared" si="45"/>
        <v>-</v>
      </c>
      <c r="BR36" s="98" t="str">
        <f t="shared" si="5"/>
        <v>-</v>
      </c>
      <c r="BS36" s="98" t="str">
        <f t="shared" si="6"/>
        <v>-</v>
      </c>
      <c r="BT36" s="98" t="str">
        <f t="shared" si="7"/>
        <v>-</v>
      </c>
      <c r="BU36" s="98" t="str">
        <f t="shared" si="8"/>
        <v>-</v>
      </c>
      <c r="BV36" s="98" t="str">
        <f t="shared" si="9"/>
        <v>-</v>
      </c>
      <c r="BW36" s="98" t="str">
        <f t="shared" si="10"/>
        <v>-</v>
      </c>
      <c r="BZ36" s="103" t="e">
        <f t="shared" si="88"/>
        <v>#DIV/0!</v>
      </c>
      <c r="CA36" s="103" t="e">
        <f t="shared" si="88"/>
        <v>#DIV/0!</v>
      </c>
      <c r="CB36" s="103" t="e">
        <f t="shared" si="88"/>
        <v>#DIV/0!</v>
      </c>
      <c r="CC36" s="103" t="e">
        <f t="shared" si="88"/>
        <v>#DIV/0!</v>
      </c>
      <c r="CD36" s="74" t="str">
        <f t="shared" si="11"/>
        <v>-</v>
      </c>
      <c r="CE36" s="74">
        <f t="shared" si="47"/>
        <v>0</v>
      </c>
      <c r="CF36" s="74">
        <f t="shared" si="48"/>
        <v>0</v>
      </c>
      <c r="CG36" s="98">
        <f t="shared" si="49"/>
        <v>0</v>
      </c>
      <c r="CH36" s="74">
        <f t="shared" si="12"/>
        <v>0</v>
      </c>
      <c r="CI36" s="74">
        <f t="shared" si="13"/>
        <v>0</v>
      </c>
      <c r="CM36" s="74">
        <f t="shared" si="14"/>
        <v>0</v>
      </c>
      <c r="CN36" s="74">
        <f t="shared" si="50"/>
        <v>0</v>
      </c>
      <c r="CO36" s="98">
        <f t="shared" si="51"/>
        <v>0</v>
      </c>
      <c r="CP36" s="74">
        <f t="shared" si="15"/>
        <v>0</v>
      </c>
      <c r="CQ36" s="74">
        <f t="shared" si="16"/>
        <v>0</v>
      </c>
      <c r="CV36" s="98" t="str">
        <f t="shared" si="17"/>
        <v>-</v>
      </c>
      <c r="CW36" s="95" t="str">
        <f t="shared" si="18"/>
        <v>-</v>
      </c>
      <c r="CX36" s="74" t="str">
        <f t="shared" si="52"/>
        <v>-</v>
      </c>
      <c r="CY36" s="74" t="str">
        <f t="shared" si="19"/>
        <v>-</v>
      </c>
      <c r="CZ36" s="100" t="str">
        <f t="shared" si="20"/>
        <v>-</v>
      </c>
      <c r="DA36" s="58" t="str">
        <f t="shared" si="53"/>
        <v>-</v>
      </c>
      <c r="DB36" s="58" t="str">
        <f t="shared" si="54"/>
        <v>-</v>
      </c>
      <c r="DC36" s="58" t="str">
        <f t="shared" si="55"/>
        <v>-</v>
      </c>
      <c r="DD36" s="58" t="str">
        <f t="shared" si="56"/>
        <v>-</v>
      </c>
      <c r="DH36" s="98" t="str">
        <f t="shared" si="57"/>
        <v>-</v>
      </c>
      <c r="DI36" s="98" t="str">
        <f t="shared" si="58"/>
        <v>-</v>
      </c>
      <c r="DJ36" s="74" t="str">
        <f t="shared" ref="DJ36:DK50" si="89">CX36</f>
        <v>-</v>
      </c>
      <c r="DK36" s="74" t="str">
        <f t="shared" si="89"/>
        <v>-</v>
      </c>
      <c r="DL36" s="100" t="str">
        <f t="shared" si="22"/>
        <v>-</v>
      </c>
      <c r="DM36" s="58" t="str">
        <f t="shared" si="60"/>
        <v>-</v>
      </c>
      <c r="DN36" s="58" t="str">
        <f t="shared" si="61"/>
        <v>-</v>
      </c>
      <c r="DO36" s="58" t="str">
        <f t="shared" si="62"/>
        <v>-</v>
      </c>
      <c r="DP36" s="58" t="str">
        <f t="shared" si="63"/>
        <v>-</v>
      </c>
      <c r="DQ36" s="100"/>
      <c r="DR36" s="100"/>
      <c r="DT36" s="98" t="str">
        <f t="shared" si="86"/>
        <v>-</v>
      </c>
      <c r="DU36" s="98" t="str">
        <f t="shared" si="64"/>
        <v>-</v>
      </c>
      <c r="DV36" s="74" t="str">
        <f t="shared" ref="DV36:DW50" si="90">DJ36</f>
        <v>-</v>
      </c>
      <c r="DW36" s="74" t="str">
        <f t="shared" si="90"/>
        <v>-</v>
      </c>
      <c r="DX36" s="100" t="str">
        <f t="shared" si="24"/>
        <v>-</v>
      </c>
      <c r="DY36" s="58" t="str">
        <f t="shared" si="66"/>
        <v>-</v>
      </c>
      <c r="DZ36" s="58" t="str">
        <f t="shared" si="67"/>
        <v>-</v>
      </c>
      <c r="EA36" s="58" t="str">
        <f t="shared" si="68"/>
        <v>-</v>
      </c>
      <c r="EB36" s="58" t="str">
        <f t="shared" si="69"/>
        <v>-</v>
      </c>
      <c r="EC36" s="100"/>
      <c r="ED36" s="100"/>
      <c r="EF36" s="98" t="str">
        <f t="shared" si="70"/>
        <v>-</v>
      </c>
      <c r="EG36" s="98" t="str">
        <f t="shared" si="71"/>
        <v>-</v>
      </c>
      <c r="EH36" s="74" t="str">
        <f t="shared" ref="EH36:EI50" si="91">DV36</f>
        <v>-</v>
      </c>
      <c r="EI36" s="74" t="str">
        <f t="shared" si="91"/>
        <v>-</v>
      </c>
      <c r="EJ36" s="100" t="str">
        <f t="shared" si="26"/>
        <v>-</v>
      </c>
      <c r="EK36" s="58" t="str">
        <f t="shared" si="73"/>
        <v>-</v>
      </c>
      <c r="EL36" s="58" t="str">
        <f t="shared" si="74"/>
        <v>-</v>
      </c>
      <c r="EM36" s="58" t="str">
        <f t="shared" si="75"/>
        <v>-</v>
      </c>
      <c r="EN36" s="58" t="str">
        <f t="shared" si="76"/>
        <v>-</v>
      </c>
      <c r="EO36" s="100"/>
      <c r="EP36" s="100"/>
      <c r="ER36" s="79" t="str">
        <f t="shared" si="77"/>
        <v>-</v>
      </c>
      <c r="ES36" s="79" t="str">
        <f t="shared" si="78"/>
        <v>-</v>
      </c>
      <c r="ET36" s="79" t="str">
        <f t="shared" si="79"/>
        <v>-</v>
      </c>
      <c r="EU36" s="79" t="str">
        <f t="shared" si="80"/>
        <v>-</v>
      </c>
      <c r="EY36" s="74" t="str">
        <f>IF(E36=0,"-",LARGE(E6:E50,31))</f>
        <v>-</v>
      </c>
      <c r="EZ36" s="77" t="str">
        <f t="shared" si="81"/>
        <v>-</v>
      </c>
      <c r="FB36" s="77" t="str">
        <f t="shared" si="83"/>
        <v>-</v>
      </c>
      <c r="FC36" s="77" t="str">
        <f>IF(FB36="-","-",SMALL(FB6:FB50,31))</f>
        <v>-</v>
      </c>
    </row>
    <row r="37" spans="1:159" s="77" customFormat="1">
      <c r="C37" s="95">
        <f>'1'!R34</f>
        <v>0</v>
      </c>
      <c r="D37" s="96">
        <f>'1'!J34</f>
        <v>0</v>
      </c>
      <c r="E37" s="96">
        <f>'1'!K34</f>
        <v>0</v>
      </c>
      <c r="L37" s="96">
        <f>'2'!R34</f>
        <v>0</v>
      </c>
      <c r="M37" s="77">
        <f>'2'!J34</f>
        <v>0</v>
      </c>
      <c r="N37" s="74">
        <f>'2'!K34</f>
        <v>0</v>
      </c>
      <c r="Q37" s="74" t="s">
        <v>37</v>
      </c>
      <c r="T37" s="95" t="e">
        <f t="shared" ref="T37:T39" si="92">EC16</f>
        <v>#DIV/0!</v>
      </c>
      <c r="AJ37" s="98" t="str">
        <f t="shared" si="27"/>
        <v>-</v>
      </c>
      <c r="AK37" s="98" t="str">
        <f t="shared" si="28"/>
        <v>-</v>
      </c>
      <c r="AL37" s="98" t="str">
        <f t="shared" si="0"/>
        <v>-</v>
      </c>
      <c r="AM37" s="98" t="str">
        <f t="shared" si="29"/>
        <v>-</v>
      </c>
      <c r="AN37" s="98" t="str">
        <f t="shared" si="30"/>
        <v>-</v>
      </c>
      <c r="AO37" s="98" t="str">
        <f t="shared" si="31"/>
        <v>-</v>
      </c>
      <c r="AP37" s="98" t="str">
        <f t="shared" si="32"/>
        <v>-</v>
      </c>
      <c r="AQ37" s="98" t="str">
        <f t="shared" si="33"/>
        <v>-</v>
      </c>
      <c r="AT37" s="103" t="e">
        <f t="shared" si="87"/>
        <v>#DIV/0!</v>
      </c>
      <c r="AU37" s="103" t="e">
        <f t="shared" si="87"/>
        <v>#DIV/0!</v>
      </c>
      <c r="AV37" s="103" t="e">
        <f t="shared" si="87"/>
        <v>#DIV/0!</v>
      </c>
      <c r="AW37" s="103" t="e">
        <f t="shared" si="87"/>
        <v>#DIV/0!</v>
      </c>
      <c r="AX37" s="74" t="str">
        <f t="shared" si="35"/>
        <v>-</v>
      </c>
      <c r="AY37" s="74">
        <f t="shared" si="36"/>
        <v>0</v>
      </c>
      <c r="AZ37" s="74">
        <f t="shared" si="37"/>
        <v>0</v>
      </c>
      <c r="BA37" s="98">
        <f t="shared" si="38"/>
        <v>0</v>
      </c>
      <c r="BB37" s="74">
        <f t="shared" si="1"/>
        <v>0</v>
      </c>
      <c r="BC37" s="74">
        <f t="shared" si="2"/>
        <v>0</v>
      </c>
      <c r="BG37" s="74">
        <f t="shared" si="39"/>
        <v>0</v>
      </c>
      <c r="BH37" s="74">
        <f t="shared" si="40"/>
        <v>0</v>
      </c>
      <c r="BI37" s="98">
        <f t="shared" si="41"/>
        <v>0</v>
      </c>
      <c r="BJ37" s="74">
        <f t="shared" si="3"/>
        <v>0</v>
      </c>
      <c r="BK37" s="74">
        <f t="shared" si="4"/>
        <v>0</v>
      </c>
      <c r="BN37" s="74">
        <f t="shared" si="42"/>
        <v>0</v>
      </c>
      <c r="BO37" s="74" t="str">
        <f t="shared" si="43"/>
        <v>-</v>
      </c>
      <c r="BP37" s="98" t="str">
        <f t="shared" si="44"/>
        <v>-</v>
      </c>
      <c r="BQ37" s="98" t="str">
        <f t="shared" si="45"/>
        <v>-</v>
      </c>
      <c r="BR37" s="98" t="str">
        <f t="shared" si="5"/>
        <v>-</v>
      </c>
      <c r="BS37" s="98" t="str">
        <f t="shared" si="6"/>
        <v>-</v>
      </c>
      <c r="BT37" s="98" t="str">
        <f t="shared" si="7"/>
        <v>-</v>
      </c>
      <c r="BU37" s="98" t="str">
        <f t="shared" si="8"/>
        <v>-</v>
      </c>
      <c r="BV37" s="98" t="str">
        <f t="shared" si="9"/>
        <v>-</v>
      </c>
      <c r="BW37" s="98" t="str">
        <f t="shared" si="10"/>
        <v>-</v>
      </c>
      <c r="BZ37" s="103" t="e">
        <f t="shared" si="88"/>
        <v>#DIV/0!</v>
      </c>
      <c r="CA37" s="103" t="e">
        <f t="shared" si="88"/>
        <v>#DIV/0!</v>
      </c>
      <c r="CB37" s="103" t="e">
        <f t="shared" si="88"/>
        <v>#DIV/0!</v>
      </c>
      <c r="CC37" s="103" t="e">
        <f t="shared" si="88"/>
        <v>#DIV/0!</v>
      </c>
      <c r="CD37" s="74" t="str">
        <f t="shared" si="11"/>
        <v>-</v>
      </c>
      <c r="CE37" s="74">
        <f t="shared" si="47"/>
        <v>0</v>
      </c>
      <c r="CF37" s="74">
        <f t="shared" si="48"/>
        <v>0</v>
      </c>
      <c r="CG37" s="98">
        <f t="shared" si="49"/>
        <v>0</v>
      </c>
      <c r="CH37" s="74">
        <f t="shared" si="12"/>
        <v>0</v>
      </c>
      <c r="CI37" s="74">
        <f t="shared" si="13"/>
        <v>0</v>
      </c>
      <c r="CM37" s="74">
        <f t="shared" si="14"/>
        <v>0</v>
      </c>
      <c r="CN37" s="74">
        <f t="shared" si="50"/>
        <v>0</v>
      </c>
      <c r="CO37" s="98">
        <f t="shared" si="51"/>
        <v>0</v>
      </c>
      <c r="CP37" s="74">
        <f t="shared" si="15"/>
        <v>0</v>
      </c>
      <c r="CQ37" s="74">
        <f t="shared" si="16"/>
        <v>0</v>
      </c>
      <c r="CV37" s="98" t="str">
        <f t="shared" si="17"/>
        <v>-</v>
      </c>
      <c r="CW37" s="95" t="str">
        <f t="shared" si="18"/>
        <v>-</v>
      </c>
      <c r="CX37" s="74" t="str">
        <f t="shared" si="52"/>
        <v>-</v>
      </c>
      <c r="CY37" s="74" t="str">
        <f t="shared" si="19"/>
        <v>-</v>
      </c>
      <c r="CZ37" s="100" t="str">
        <f t="shared" si="20"/>
        <v>-</v>
      </c>
      <c r="DA37" s="58" t="str">
        <f t="shared" si="53"/>
        <v>-</v>
      </c>
      <c r="DB37" s="58" t="str">
        <f t="shared" si="54"/>
        <v>-</v>
      </c>
      <c r="DC37" s="58" t="str">
        <f t="shared" si="55"/>
        <v>-</v>
      </c>
      <c r="DD37" s="58" t="str">
        <f t="shared" si="56"/>
        <v>-</v>
      </c>
      <c r="DH37" s="98" t="str">
        <f t="shared" si="57"/>
        <v>-</v>
      </c>
      <c r="DI37" s="98" t="str">
        <f t="shared" si="58"/>
        <v>-</v>
      </c>
      <c r="DJ37" s="74" t="str">
        <f t="shared" si="89"/>
        <v>-</v>
      </c>
      <c r="DK37" s="74" t="str">
        <f t="shared" si="89"/>
        <v>-</v>
      </c>
      <c r="DL37" s="100" t="str">
        <f t="shared" si="22"/>
        <v>-</v>
      </c>
      <c r="DM37" s="58" t="str">
        <f t="shared" si="60"/>
        <v>-</v>
      </c>
      <c r="DN37" s="58" t="str">
        <f t="shared" si="61"/>
        <v>-</v>
      </c>
      <c r="DO37" s="58" t="str">
        <f t="shared" si="62"/>
        <v>-</v>
      </c>
      <c r="DP37" s="58" t="str">
        <f t="shared" si="63"/>
        <v>-</v>
      </c>
      <c r="DQ37" s="100"/>
      <c r="DR37" s="100"/>
      <c r="DT37" s="98" t="str">
        <f t="shared" si="86"/>
        <v>-</v>
      </c>
      <c r="DU37" s="98" t="str">
        <f t="shared" si="64"/>
        <v>-</v>
      </c>
      <c r="DV37" s="74" t="str">
        <f t="shared" si="90"/>
        <v>-</v>
      </c>
      <c r="DW37" s="74" t="str">
        <f t="shared" si="90"/>
        <v>-</v>
      </c>
      <c r="DX37" s="100" t="str">
        <f t="shared" si="24"/>
        <v>-</v>
      </c>
      <c r="DY37" s="58" t="str">
        <f t="shared" si="66"/>
        <v>-</v>
      </c>
      <c r="DZ37" s="58" t="str">
        <f t="shared" si="67"/>
        <v>-</v>
      </c>
      <c r="EA37" s="58" t="str">
        <f t="shared" si="68"/>
        <v>-</v>
      </c>
      <c r="EB37" s="58" t="str">
        <f t="shared" si="69"/>
        <v>-</v>
      </c>
      <c r="EC37" s="100"/>
      <c r="ED37" s="100"/>
      <c r="EF37" s="98" t="str">
        <f t="shared" si="70"/>
        <v>-</v>
      </c>
      <c r="EG37" s="98" t="str">
        <f t="shared" si="71"/>
        <v>-</v>
      </c>
      <c r="EH37" s="74" t="str">
        <f t="shared" si="91"/>
        <v>-</v>
      </c>
      <c r="EI37" s="74" t="str">
        <f t="shared" si="91"/>
        <v>-</v>
      </c>
      <c r="EJ37" s="100" t="str">
        <f t="shared" si="26"/>
        <v>-</v>
      </c>
      <c r="EK37" s="58" t="str">
        <f t="shared" si="73"/>
        <v>-</v>
      </c>
      <c r="EL37" s="58" t="str">
        <f t="shared" si="74"/>
        <v>-</v>
      </c>
      <c r="EM37" s="58" t="str">
        <f t="shared" si="75"/>
        <v>-</v>
      </c>
      <c r="EN37" s="58" t="str">
        <f t="shared" si="76"/>
        <v>-</v>
      </c>
      <c r="EO37" s="100"/>
      <c r="EP37" s="100"/>
      <c r="ER37" s="79" t="str">
        <f t="shared" si="77"/>
        <v>-</v>
      </c>
      <c r="ES37" s="79" t="str">
        <f t="shared" si="78"/>
        <v>-</v>
      </c>
      <c r="ET37" s="79" t="str">
        <f t="shared" si="79"/>
        <v>-</v>
      </c>
      <c r="EU37" s="79" t="str">
        <f t="shared" si="80"/>
        <v>-</v>
      </c>
      <c r="EY37" s="74" t="str">
        <f>IF(E37=0,"-",LARGE(E6:E50,32))</f>
        <v>-</v>
      </c>
      <c r="EZ37" s="77" t="str">
        <f t="shared" si="81"/>
        <v>-</v>
      </c>
      <c r="FB37" s="77" t="str">
        <f t="shared" si="83"/>
        <v>-</v>
      </c>
      <c r="FC37" s="77" t="str">
        <f>IF(FB37="-","-",SMALL(FB6:FB50,32))</f>
        <v>-</v>
      </c>
    </row>
    <row r="38" spans="1:159" s="77" customFormat="1">
      <c r="C38" s="95">
        <f>'1'!R35</f>
        <v>0</v>
      </c>
      <c r="D38" s="96">
        <f>'1'!J35</f>
        <v>0</v>
      </c>
      <c r="E38" s="96">
        <f>'1'!K35</f>
        <v>0</v>
      </c>
      <c r="L38" s="96">
        <f>'2'!R35</f>
        <v>0</v>
      </c>
      <c r="M38" s="77">
        <f>'2'!J35</f>
        <v>0</v>
      </c>
      <c r="N38" s="74">
        <f>'2'!K35</f>
        <v>0</v>
      </c>
      <c r="Q38" s="74" t="s">
        <v>38</v>
      </c>
      <c r="T38" s="95" t="e">
        <f t="shared" si="92"/>
        <v>#DIV/0!</v>
      </c>
      <c r="AJ38" s="98" t="str">
        <f t="shared" si="27"/>
        <v>-</v>
      </c>
      <c r="AK38" s="98" t="str">
        <f t="shared" si="28"/>
        <v>-</v>
      </c>
      <c r="AL38" s="98" t="str">
        <f t="shared" si="0"/>
        <v>-</v>
      </c>
      <c r="AM38" s="98" t="str">
        <f t="shared" si="29"/>
        <v>-</v>
      </c>
      <c r="AN38" s="98" t="str">
        <f t="shared" si="30"/>
        <v>-</v>
      </c>
      <c r="AO38" s="98" t="str">
        <f t="shared" si="31"/>
        <v>-</v>
      </c>
      <c r="AP38" s="98" t="str">
        <f t="shared" si="32"/>
        <v>-</v>
      </c>
      <c r="AQ38" s="98" t="str">
        <f t="shared" si="33"/>
        <v>-</v>
      </c>
      <c r="AT38" s="103" t="e">
        <f t="shared" si="87"/>
        <v>#DIV/0!</v>
      </c>
      <c r="AU38" s="103" t="e">
        <f t="shared" si="87"/>
        <v>#DIV/0!</v>
      </c>
      <c r="AV38" s="103" t="e">
        <f t="shared" si="87"/>
        <v>#DIV/0!</v>
      </c>
      <c r="AW38" s="103" t="e">
        <f t="shared" si="87"/>
        <v>#DIV/0!</v>
      </c>
      <c r="AX38" s="74" t="str">
        <f t="shared" si="35"/>
        <v>-</v>
      </c>
      <c r="AY38" s="74">
        <f t="shared" si="36"/>
        <v>0</v>
      </c>
      <c r="AZ38" s="74">
        <f t="shared" si="37"/>
        <v>0</v>
      </c>
      <c r="BA38" s="98">
        <f t="shared" si="38"/>
        <v>0</v>
      </c>
      <c r="BB38" s="74">
        <f t="shared" si="1"/>
        <v>0</v>
      </c>
      <c r="BC38" s="74">
        <f t="shared" si="2"/>
        <v>0</v>
      </c>
      <c r="BG38" s="74">
        <f t="shared" si="39"/>
        <v>0</v>
      </c>
      <c r="BH38" s="74">
        <f t="shared" si="40"/>
        <v>0</v>
      </c>
      <c r="BI38" s="98">
        <f t="shared" si="41"/>
        <v>0</v>
      </c>
      <c r="BJ38" s="74">
        <f t="shared" si="3"/>
        <v>0</v>
      </c>
      <c r="BK38" s="74">
        <f t="shared" si="4"/>
        <v>0</v>
      </c>
      <c r="BN38" s="74">
        <f t="shared" si="42"/>
        <v>0</v>
      </c>
      <c r="BO38" s="74" t="str">
        <f t="shared" si="43"/>
        <v>-</v>
      </c>
      <c r="BP38" s="98" t="str">
        <f t="shared" si="44"/>
        <v>-</v>
      </c>
      <c r="BQ38" s="98" t="str">
        <f t="shared" si="45"/>
        <v>-</v>
      </c>
      <c r="BR38" s="98" t="str">
        <f t="shared" si="5"/>
        <v>-</v>
      </c>
      <c r="BS38" s="98" t="str">
        <f t="shared" si="6"/>
        <v>-</v>
      </c>
      <c r="BT38" s="98" t="str">
        <f t="shared" si="7"/>
        <v>-</v>
      </c>
      <c r="BU38" s="98" t="str">
        <f t="shared" si="8"/>
        <v>-</v>
      </c>
      <c r="BV38" s="98" t="str">
        <f t="shared" si="9"/>
        <v>-</v>
      </c>
      <c r="BW38" s="98" t="str">
        <f t="shared" si="10"/>
        <v>-</v>
      </c>
      <c r="BZ38" s="103" t="e">
        <f t="shared" si="88"/>
        <v>#DIV/0!</v>
      </c>
      <c r="CA38" s="103" t="e">
        <f t="shared" si="88"/>
        <v>#DIV/0!</v>
      </c>
      <c r="CB38" s="103" t="e">
        <f t="shared" si="88"/>
        <v>#DIV/0!</v>
      </c>
      <c r="CC38" s="103" t="e">
        <f t="shared" si="88"/>
        <v>#DIV/0!</v>
      </c>
      <c r="CD38" s="74" t="str">
        <f t="shared" si="11"/>
        <v>-</v>
      </c>
      <c r="CE38" s="74">
        <f t="shared" si="47"/>
        <v>0</v>
      </c>
      <c r="CF38" s="74">
        <f t="shared" si="48"/>
        <v>0</v>
      </c>
      <c r="CG38" s="98">
        <f t="shared" si="49"/>
        <v>0</v>
      </c>
      <c r="CH38" s="74">
        <f t="shared" si="12"/>
        <v>0</v>
      </c>
      <c r="CI38" s="74">
        <f t="shared" si="13"/>
        <v>0</v>
      </c>
      <c r="CM38" s="74">
        <f t="shared" si="14"/>
        <v>0</v>
      </c>
      <c r="CN38" s="74">
        <f t="shared" si="50"/>
        <v>0</v>
      </c>
      <c r="CO38" s="98">
        <f t="shared" si="51"/>
        <v>0</v>
      </c>
      <c r="CP38" s="74">
        <f t="shared" si="15"/>
        <v>0</v>
      </c>
      <c r="CQ38" s="74">
        <f t="shared" si="16"/>
        <v>0</v>
      </c>
      <c r="CV38" s="98" t="str">
        <f t="shared" si="17"/>
        <v>-</v>
      </c>
      <c r="CW38" s="95" t="str">
        <f t="shared" si="18"/>
        <v>-</v>
      </c>
      <c r="CX38" s="74" t="str">
        <f t="shared" si="52"/>
        <v>-</v>
      </c>
      <c r="CY38" s="74" t="str">
        <f t="shared" si="19"/>
        <v>-</v>
      </c>
      <c r="CZ38" s="100" t="str">
        <f t="shared" si="20"/>
        <v>-</v>
      </c>
      <c r="DA38" s="58" t="str">
        <f t="shared" si="53"/>
        <v>-</v>
      </c>
      <c r="DB38" s="58" t="str">
        <f t="shared" si="54"/>
        <v>-</v>
      </c>
      <c r="DC38" s="58" t="str">
        <f t="shared" si="55"/>
        <v>-</v>
      </c>
      <c r="DD38" s="58" t="str">
        <f t="shared" si="56"/>
        <v>-</v>
      </c>
      <c r="DH38" s="98" t="str">
        <f t="shared" si="57"/>
        <v>-</v>
      </c>
      <c r="DI38" s="98" t="str">
        <f t="shared" si="58"/>
        <v>-</v>
      </c>
      <c r="DJ38" s="74" t="str">
        <f t="shared" si="89"/>
        <v>-</v>
      </c>
      <c r="DK38" s="74" t="str">
        <f t="shared" si="89"/>
        <v>-</v>
      </c>
      <c r="DL38" s="100" t="str">
        <f t="shared" si="22"/>
        <v>-</v>
      </c>
      <c r="DM38" s="58" t="str">
        <f t="shared" si="60"/>
        <v>-</v>
      </c>
      <c r="DN38" s="58" t="str">
        <f t="shared" si="61"/>
        <v>-</v>
      </c>
      <c r="DO38" s="58" t="str">
        <f t="shared" si="62"/>
        <v>-</v>
      </c>
      <c r="DP38" s="58" t="str">
        <f t="shared" si="63"/>
        <v>-</v>
      </c>
      <c r="DQ38" s="100"/>
      <c r="DR38" s="100"/>
      <c r="DT38" s="98" t="str">
        <f t="shared" si="86"/>
        <v>-</v>
      </c>
      <c r="DU38" s="98" t="str">
        <f t="shared" si="64"/>
        <v>-</v>
      </c>
      <c r="DV38" s="74" t="str">
        <f t="shared" si="90"/>
        <v>-</v>
      </c>
      <c r="DW38" s="74" t="str">
        <f t="shared" si="90"/>
        <v>-</v>
      </c>
      <c r="DX38" s="100" t="str">
        <f t="shared" si="24"/>
        <v>-</v>
      </c>
      <c r="DY38" s="58" t="str">
        <f t="shared" si="66"/>
        <v>-</v>
      </c>
      <c r="DZ38" s="58" t="str">
        <f t="shared" si="67"/>
        <v>-</v>
      </c>
      <c r="EA38" s="58" t="str">
        <f t="shared" si="68"/>
        <v>-</v>
      </c>
      <c r="EB38" s="58" t="str">
        <f t="shared" si="69"/>
        <v>-</v>
      </c>
      <c r="EC38" s="100"/>
      <c r="ED38" s="100"/>
      <c r="EF38" s="98" t="str">
        <f t="shared" si="70"/>
        <v>-</v>
      </c>
      <c r="EG38" s="98" t="str">
        <f t="shared" si="71"/>
        <v>-</v>
      </c>
      <c r="EH38" s="74" t="str">
        <f t="shared" si="91"/>
        <v>-</v>
      </c>
      <c r="EI38" s="74" t="str">
        <f t="shared" si="91"/>
        <v>-</v>
      </c>
      <c r="EJ38" s="100" t="str">
        <f t="shared" si="26"/>
        <v>-</v>
      </c>
      <c r="EK38" s="58" t="str">
        <f t="shared" si="73"/>
        <v>-</v>
      </c>
      <c r="EL38" s="58" t="str">
        <f t="shared" si="74"/>
        <v>-</v>
      </c>
      <c r="EM38" s="58" t="str">
        <f t="shared" si="75"/>
        <v>-</v>
      </c>
      <c r="EN38" s="58" t="str">
        <f t="shared" si="76"/>
        <v>-</v>
      </c>
      <c r="EO38" s="100"/>
      <c r="EP38" s="100"/>
      <c r="ER38" s="79" t="str">
        <f t="shared" si="77"/>
        <v>-</v>
      </c>
      <c r="ES38" s="79" t="str">
        <f t="shared" si="78"/>
        <v>-</v>
      </c>
      <c r="ET38" s="79" t="str">
        <f t="shared" si="79"/>
        <v>-</v>
      </c>
      <c r="EU38" s="79" t="str">
        <f t="shared" si="80"/>
        <v>-</v>
      </c>
      <c r="EY38" s="74" t="str">
        <f>IF(E38=0,"-",LARGE(E6:E50,33))</f>
        <v>-</v>
      </c>
      <c r="EZ38" s="77" t="str">
        <f t="shared" si="81"/>
        <v>-</v>
      </c>
      <c r="FB38" s="77" t="str">
        <f t="shared" si="83"/>
        <v>-</v>
      </c>
      <c r="FC38" s="77" t="str">
        <f>IF(FB38="-","-",SMALL(FB6:FB50,33))</f>
        <v>-</v>
      </c>
    </row>
    <row r="39" spans="1:159" s="77" customFormat="1">
      <c r="C39" s="95">
        <f>'1'!R36</f>
        <v>0</v>
      </c>
      <c r="D39" s="96">
        <f>'1'!J36</f>
        <v>0</v>
      </c>
      <c r="E39" s="96">
        <f>'1'!K36</f>
        <v>0</v>
      </c>
      <c r="L39" s="96">
        <f>'2'!R36</f>
        <v>0</v>
      </c>
      <c r="M39" s="77">
        <f>'2'!J36</f>
        <v>0</v>
      </c>
      <c r="N39" s="74">
        <f>'2'!K36</f>
        <v>0</v>
      </c>
      <c r="Q39" s="74" t="s">
        <v>39</v>
      </c>
      <c r="T39" s="95" t="e">
        <f t="shared" si="92"/>
        <v>#DIV/0!</v>
      </c>
      <c r="AJ39" s="98" t="str">
        <f t="shared" si="27"/>
        <v>-</v>
      </c>
      <c r="AK39" s="98" t="str">
        <f t="shared" si="28"/>
        <v>-</v>
      </c>
      <c r="AL39" s="98" t="str">
        <f t="shared" si="0"/>
        <v>-</v>
      </c>
      <c r="AM39" s="98" t="str">
        <f t="shared" si="29"/>
        <v>-</v>
      </c>
      <c r="AN39" s="98" t="str">
        <f t="shared" si="30"/>
        <v>-</v>
      </c>
      <c r="AO39" s="98" t="str">
        <f t="shared" si="31"/>
        <v>-</v>
      </c>
      <c r="AP39" s="98" t="str">
        <f t="shared" si="32"/>
        <v>-</v>
      </c>
      <c r="AQ39" s="98" t="str">
        <f t="shared" si="33"/>
        <v>-</v>
      </c>
      <c r="AT39" s="103" t="e">
        <f t="shared" si="87"/>
        <v>#DIV/0!</v>
      </c>
      <c r="AU39" s="103" t="e">
        <f t="shared" si="87"/>
        <v>#DIV/0!</v>
      </c>
      <c r="AV39" s="103" t="e">
        <f t="shared" si="87"/>
        <v>#DIV/0!</v>
      </c>
      <c r="AW39" s="103" t="e">
        <f t="shared" si="87"/>
        <v>#DIV/0!</v>
      </c>
      <c r="AX39" s="74" t="str">
        <f t="shared" si="35"/>
        <v>-</v>
      </c>
      <c r="AY39" s="74">
        <f t="shared" si="36"/>
        <v>0</v>
      </c>
      <c r="AZ39" s="74">
        <f t="shared" si="37"/>
        <v>0</v>
      </c>
      <c r="BA39" s="98">
        <f t="shared" si="38"/>
        <v>0</v>
      </c>
      <c r="BB39" s="74">
        <f t="shared" si="1"/>
        <v>0</v>
      </c>
      <c r="BC39" s="74">
        <f t="shared" si="2"/>
        <v>0</v>
      </c>
      <c r="BG39" s="74">
        <f t="shared" si="39"/>
        <v>0</v>
      </c>
      <c r="BH39" s="74">
        <f t="shared" si="40"/>
        <v>0</v>
      </c>
      <c r="BI39" s="98">
        <f t="shared" si="41"/>
        <v>0</v>
      </c>
      <c r="BJ39" s="74">
        <f t="shared" si="3"/>
        <v>0</v>
      </c>
      <c r="BK39" s="74">
        <f t="shared" si="4"/>
        <v>0</v>
      </c>
      <c r="BN39" s="74">
        <f t="shared" si="42"/>
        <v>0</v>
      </c>
      <c r="BO39" s="74" t="str">
        <f t="shared" si="43"/>
        <v>-</v>
      </c>
      <c r="BP39" s="98" t="str">
        <f t="shared" si="44"/>
        <v>-</v>
      </c>
      <c r="BQ39" s="98" t="str">
        <f t="shared" si="45"/>
        <v>-</v>
      </c>
      <c r="BR39" s="98" t="str">
        <f t="shared" si="5"/>
        <v>-</v>
      </c>
      <c r="BS39" s="98" t="str">
        <f t="shared" si="6"/>
        <v>-</v>
      </c>
      <c r="BT39" s="98" t="str">
        <f t="shared" si="7"/>
        <v>-</v>
      </c>
      <c r="BU39" s="98" t="str">
        <f t="shared" si="8"/>
        <v>-</v>
      </c>
      <c r="BV39" s="98" t="str">
        <f t="shared" si="9"/>
        <v>-</v>
      </c>
      <c r="BW39" s="98" t="str">
        <f t="shared" si="10"/>
        <v>-</v>
      </c>
      <c r="BZ39" s="103" t="e">
        <f t="shared" si="88"/>
        <v>#DIV/0!</v>
      </c>
      <c r="CA39" s="103" t="e">
        <f t="shared" si="88"/>
        <v>#DIV/0!</v>
      </c>
      <c r="CB39" s="103" t="e">
        <f t="shared" si="88"/>
        <v>#DIV/0!</v>
      </c>
      <c r="CC39" s="103" t="e">
        <f t="shared" si="88"/>
        <v>#DIV/0!</v>
      </c>
      <c r="CD39" s="74" t="str">
        <f t="shared" si="11"/>
        <v>-</v>
      </c>
      <c r="CE39" s="74">
        <f t="shared" si="47"/>
        <v>0</v>
      </c>
      <c r="CF39" s="74">
        <f t="shared" si="48"/>
        <v>0</v>
      </c>
      <c r="CG39" s="98">
        <f t="shared" si="49"/>
        <v>0</v>
      </c>
      <c r="CH39" s="74">
        <f t="shared" si="12"/>
        <v>0</v>
      </c>
      <c r="CI39" s="74">
        <f t="shared" si="13"/>
        <v>0</v>
      </c>
      <c r="CM39" s="74">
        <f t="shared" si="14"/>
        <v>0</v>
      </c>
      <c r="CN39" s="74">
        <f t="shared" si="50"/>
        <v>0</v>
      </c>
      <c r="CO39" s="98">
        <f t="shared" si="51"/>
        <v>0</v>
      </c>
      <c r="CP39" s="74">
        <f t="shared" si="15"/>
        <v>0</v>
      </c>
      <c r="CQ39" s="74">
        <f t="shared" si="16"/>
        <v>0</v>
      </c>
      <c r="CV39" s="98" t="str">
        <f t="shared" si="17"/>
        <v>-</v>
      </c>
      <c r="CW39" s="95" t="str">
        <f t="shared" si="18"/>
        <v>-</v>
      </c>
      <c r="CX39" s="74" t="str">
        <f t="shared" si="52"/>
        <v>-</v>
      </c>
      <c r="CY39" s="74" t="str">
        <f t="shared" si="19"/>
        <v>-</v>
      </c>
      <c r="CZ39" s="100" t="str">
        <f t="shared" si="20"/>
        <v>-</v>
      </c>
      <c r="DA39" s="58" t="str">
        <f t="shared" si="53"/>
        <v>-</v>
      </c>
      <c r="DB39" s="58" t="str">
        <f t="shared" si="54"/>
        <v>-</v>
      </c>
      <c r="DC39" s="58" t="str">
        <f t="shared" si="55"/>
        <v>-</v>
      </c>
      <c r="DD39" s="58" t="str">
        <f t="shared" si="56"/>
        <v>-</v>
      </c>
      <c r="DH39" s="98" t="str">
        <f t="shared" si="57"/>
        <v>-</v>
      </c>
      <c r="DI39" s="98" t="str">
        <f t="shared" si="58"/>
        <v>-</v>
      </c>
      <c r="DJ39" s="74" t="str">
        <f t="shared" si="89"/>
        <v>-</v>
      </c>
      <c r="DK39" s="74" t="str">
        <f t="shared" si="89"/>
        <v>-</v>
      </c>
      <c r="DL39" s="100" t="str">
        <f t="shared" si="22"/>
        <v>-</v>
      </c>
      <c r="DM39" s="58" t="str">
        <f t="shared" si="60"/>
        <v>-</v>
      </c>
      <c r="DN39" s="58" t="str">
        <f t="shared" si="61"/>
        <v>-</v>
      </c>
      <c r="DO39" s="58" t="str">
        <f t="shared" si="62"/>
        <v>-</v>
      </c>
      <c r="DP39" s="58" t="str">
        <f t="shared" si="63"/>
        <v>-</v>
      </c>
      <c r="DQ39" s="100"/>
      <c r="DR39" s="100"/>
      <c r="DT39" s="98" t="str">
        <f t="shared" si="86"/>
        <v>-</v>
      </c>
      <c r="DU39" s="98" t="str">
        <f t="shared" si="64"/>
        <v>-</v>
      </c>
      <c r="DV39" s="74" t="str">
        <f t="shared" si="90"/>
        <v>-</v>
      </c>
      <c r="DW39" s="74" t="str">
        <f t="shared" si="90"/>
        <v>-</v>
      </c>
      <c r="DX39" s="100" t="str">
        <f t="shared" si="24"/>
        <v>-</v>
      </c>
      <c r="DY39" s="58" t="str">
        <f t="shared" si="66"/>
        <v>-</v>
      </c>
      <c r="DZ39" s="58" t="str">
        <f t="shared" si="67"/>
        <v>-</v>
      </c>
      <c r="EA39" s="58" t="str">
        <f t="shared" si="68"/>
        <v>-</v>
      </c>
      <c r="EB39" s="58" t="str">
        <f t="shared" si="69"/>
        <v>-</v>
      </c>
      <c r="EC39" s="100"/>
      <c r="ED39" s="100"/>
      <c r="EF39" s="98" t="str">
        <f t="shared" si="70"/>
        <v>-</v>
      </c>
      <c r="EG39" s="98" t="str">
        <f t="shared" si="71"/>
        <v>-</v>
      </c>
      <c r="EH39" s="74" t="str">
        <f t="shared" si="91"/>
        <v>-</v>
      </c>
      <c r="EI39" s="74" t="str">
        <f t="shared" si="91"/>
        <v>-</v>
      </c>
      <c r="EJ39" s="100" t="str">
        <f t="shared" si="26"/>
        <v>-</v>
      </c>
      <c r="EK39" s="58" t="str">
        <f t="shared" si="73"/>
        <v>-</v>
      </c>
      <c r="EL39" s="58" t="str">
        <f t="shared" si="74"/>
        <v>-</v>
      </c>
      <c r="EM39" s="58" t="str">
        <f t="shared" si="75"/>
        <v>-</v>
      </c>
      <c r="EN39" s="58" t="str">
        <f t="shared" si="76"/>
        <v>-</v>
      </c>
      <c r="EO39" s="100"/>
      <c r="EP39" s="100"/>
      <c r="ER39" s="79" t="str">
        <f t="shared" si="77"/>
        <v>-</v>
      </c>
      <c r="ES39" s="79" t="str">
        <f t="shared" si="78"/>
        <v>-</v>
      </c>
      <c r="ET39" s="79" t="str">
        <f t="shared" si="79"/>
        <v>-</v>
      </c>
      <c r="EU39" s="79" t="str">
        <f t="shared" si="80"/>
        <v>-</v>
      </c>
      <c r="EY39" s="74" t="str">
        <f>IF(E39=0,"-",LARGE(E6:E50,34))</f>
        <v>-</v>
      </c>
      <c r="EZ39" s="77" t="str">
        <f t="shared" si="81"/>
        <v>-</v>
      </c>
      <c r="FB39" s="77" t="str">
        <f t="shared" si="83"/>
        <v>-</v>
      </c>
      <c r="FC39" s="77" t="str">
        <f>IF(FB39="-","-",SMALL(FB6:FB50,34))</f>
        <v>-</v>
      </c>
    </row>
    <row r="40" spans="1:159" s="77" customFormat="1">
      <c r="C40" s="95">
        <f>'1'!R37</f>
        <v>0</v>
      </c>
      <c r="D40" s="96">
        <f>'1'!J37</f>
        <v>0</v>
      </c>
      <c r="E40" s="96">
        <f>'1'!K37</f>
        <v>0</v>
      </c>
      <c r="L40" s="96">
        <f>'2'!R37</f>
        <v>0</v>
      </c>
      <c r="M40" s="77">
        <f>'2'!J37</f>
        <v>0</v>
      </c>
      <c r="N40" s="74">
        <f>'2'!K37</f>
        <v>0</v>
      </c>
      <c r="Q40" s="74" t="s">
        <v>40</v>
      </c>
      <c r="T40" s="95" t="e">
        <f>DQ15</f>
        <v>#DIV/0!</v>
      </c>
      <c r="AJ40" s="98" t="str">
        <f t="shared" si="27"/>
        <v>-</v>
      </c>
      <c r="AK40" s="98" t="str">
        <f t="shared" si="28"/>
        <v>-</v>
      </c>
      <c r="AL40" s="98" t="str">
        <f t="shared" si="0"/>
        <v>-</v>
      </c>
      <c r="AM40" s="98" t="str">
        <f t="shared" si="29"/>
        <v>-</v>
      </c>
      <c r="AN40" s="98" t="str">
        <f t="shared" si="30"/>
        <v>-</v>
      </c>
      <c r="AO40" s="98" t="str">
        <f t="shared" si="31"/>
        <v>-</v>
      </c>
      <c r="AP40" s="98" t="str">
        <f t="shared" si="32"/>
        <v>-</v>
      </c>
      <c r="AQ40" s="98" t="str">
        <f t="shared" si="33"/>
        <v>-</v>
      </c>
      <c r="AT40" s="103" t="e">
        <f t="shared" ref="AT40:AW50" si="93">AT39</f>
        <v>#DIV/0!</v>
      </c>
      <c r="AU40" s="103" t="e">
        <f t="shared" si="93"/>
        <v>#DIV/0!</v>
      </c>
      <c r="AV40" s="103" t="e">
        <f t="shared" si="93"/>
        <v>#DIV/0!</v>
      </c>
      <c r="AW40" s="103" t="e">
        <f t="shared" si="93"/>
        <v>#DIV/0!</v>
      </c>
      <c r="AX40" s="74" t="str">
        <f t="shared" si="35"/>
        <v>-</v>
      </c>
      <c r="AY40" s="74">
        <f t="shared" si="36"/>
        <v>0</v>
      </c>
      <c r="AZ40" s="74">
        <f t="shared" si="37"/>
        <v>0</v>
      </c>
      <c r="BA40" s="98">
        <f t="shared" si="38"/>
        <v>0</v>
      </c>
      <c r="BB40" s="74">
        <f t="shared" si="1"/>
        <v>0</v>
      </c>
      <c r="BC40" s="74">
        <f t="shared" si="2"/>
        <v>0</v>
      </c>
      <c r="BG40" s="74">
        <f t="shared" si="39"/>
        <v>0</v>
      </c>
      <c r="BH40" s="74">
        <f t="shared" si="40"/>
        <v>0</v>
      </c>
      <c r="BI40" s="98">
        <f t="shared" si="41"/>
        <v>0</v>
      </c>
      <c r="BJ40" s="74">
        <f t="shared" si="3"/>
        <v>0</v>
      </c>
      <c r="BK40" s="74">
        <f t="shared" si="4"/>
        <v>0</v>
      </c>
      <c r="BN40" s="74">
        <f t="shared" si="42"/>
        <v>0</v>
      </c>
      <c r="BO40" s="74" t="str">
        <f t="shared" si="43"/>
        <v>-</v>
      </c>
      <c r="BP40" s="98" t="str">
        <f t="shared" si="44"/>
        <v>-</v>
      </c>
      <c r="BQ40" s="98" t="str">
        <f t="shared" si="45"/>
        <v>-</v>
      </c>
      <c r="BR40" s="98" t="str">
        <f t="shared" si="5"/>
        <v>-</v>
      </c>
      <c r="BS40" s="98" t="str">
        <f t="shared" si="6"/>
        <v>-</v>
      </c>
      <c r="BT40" s="98" t="str">
        <f t="shared" si="7"/>
        <v>-</v>
      </c>
      <c r="BU40" s="98" t="str">
        <f t="shared" si="8"/>
        <v>-</v>
      </c>
      <c r="BV40" s="98" t="str">
        <f t="shared" si="9"/>
        <v>-</v>
      </c>
      <c r="BW40" s="98" t="str">
        <f t="shared" si="10"/>
        <v>-</v>
      </c>
      <c r="BZ40" s="103" t="e">
        <f t="shared" ref="BZ40:CC50" si="94">BZ39</f>
        <v>#DIV/0!</v>
      </c>
      <c r="CA40" s="103" t="e">
        <f t="shared" si="94"/>
        <v>#DIV/0!</v>
      </c>
      <c r="CB40" s="103" t="e">
        <f t="shared" si="94"/>
        <v>#DIV/0!</v>
      </c>
      <c r="CC40" s="103" t="e">
        <f t="shared" si="94"/>
        <v>#DIV/0!</v>
      </c>
      <c r="CD40" s="74" t="str">
        <f t="shared" si="11"/>
        <v>-</v>
      </c>
      <c r="CE40" s="74">
        <f t="shared" si="47"/>
        <v>0</v>
      </c>
      <c r="CF40" s="74">
        <f t="shared" si="48"/>
        <v>0</v>
      </c>
      <c r="CG40" s="98">
        <f t="shared" si="49"/>
        <v>0</v>
      </c>
      <c r="CH40" s="74">
        <f t="shared" si="12"/>
        <v>0</v>
      </c>
      <c r="CI40" s="74">
        <f t="shared" si="13"/>
        <v>0</v>
      </c>
      <c r="CM40" s="74">
        <f t="shared" si="14"/>
        <v>0</v>
      </c>
      <c r="CN40" s="74">
        <f t="shared" si="50"/>
        <v>0</v>
      </c>
      <c r="CO40" s="98">
        <f t="shared" si="51"/>
        <v>0</v>
      </c>
      <c r="CP40" s="74">
        <f t="shared" si="15"/>
        <v>0</v>
      </c>
      <c r="CQ40" s="74">
        <f t="shared" si="16"/>
        <v>0</v>
      </c>
      <c r="CV40" s="98" t="str">
        <f t="shared" si="17"/>
        <v>-</v>
      </c>
      <c r="CW40" s="95" t="str">
        <f t="shared" si="18"/>
        <v>-</v>
      </c>
      <c r="CX40" s="74" t="str">
        <f t="shared" si="52"/>
        <v>-</v>
      </c>
      <c r="CY40" s="74" t="str">
        <f t="shared" si="19"/>
        <v>-</v>
      </c>
      <c r="CZ40" s="100" t="str">
        <f t="shared" si="20"/>
        <v>-</v>
      </c>
      <c r="DA40" s="58" t="str">
        <f t="shared" si="53"/>
        <v>-</v>
      </c>
      <c r="DB40" s="58" t="str">
        <f t="shared" si="54"/>
        <v>-</v>
      </c>
      <c r="DC40" s="58" t="str">
        <f t="shared" si="55"/>
        <v>-</v>
      </c>
      <c r="DD40" s="58" t="str">
        <f t="shared" si="56"/>
        <v>-</v>
      </c>
      <c r="DH40" s="98" t="str">
        <f t="shared" si="57"/>
        <v>-</v>
      </c>
      <c r="DI40" s="98" t="str">
        <f t="shared" si="58"/>
        <v>-</v>
      </c>
      <c r="DJ40" s="74" t="str">
        <f t="shared" si="89"/>
        <v>-</v>
      </c>
      <c r="DK40" s="74" t="str">
        <f t="shared" si="89"/>
        <v>-</v>
      </c>
      <c r="DL40" s="100" t="str">
        <f t="shared" si="22"/>
        <v>-</v>
      </c>
      <c r="DM40" s="58" t="str">
        <f t="shared" si="60"/>
        <v>-</v>
      </c>
      <c r="DN40" s="58" t="str">
        <f t="shared" si="61"/>
        <v>-</v>
      </c>
      <c r="DO40" s="58" t="str">
        <f t="shared" si="62"/>
        <v>-</v>
      </c>
      <c r="DP40" s="58" t="str">
        <f t="shared" si="63"/>
        <v>-</v>
      </c>
      <c r="DQ40" s="100"/>
      <c r="DR40" s="100"/>
      <c r="DT40" s="98" t="str">
        <f t="shared" si="86"/>
        <v>-</v>
      </c>
      <c r="DU40" s="98" t="str">
        <f t="shared" si="64"/>
        <v>-</v>
      </c>
      <c r="DV40" s="74" t="str">
        <f t="shared" si="90"/>
        <v>-</v>
      </c>
      <c r="DW40" s="74" t="str">
        <f t="shared" si="90"/>
        <v>-</v>
      </c>
      <c r="DX40" s="100" t="str">
        <f t="shared" si="24"/>
        <v>-</v>
      </c>
      <c r="DY40" s="58" t="str">
        <f t="shared" si="66"/>
        <v>-</v>
      </c>
      <c r="DZ40" s="58" t="str">
        <f t="shared" si="67"/>
        <v>-</v>
      </c>
      <c r="EA40" s="58" t="str">
        <f t="shared" si="68"/>
        <v>-</v>
      </c>
      <c r="EB40" s="58" t="str">
        <f t="shared" si="69"/>
        <v>-</v>
      </c>
      <c r="EC40" s="100"/>
      <c r="ED40" s="100"/>
      <c r="EF40" s="98" t="str">
        <f t="shared" si="70"/>
        <v>-</v>
      </c>
      <c r="EG40" s="98" t="str">
        <f t="shared" si="71"/>
        <v>-</v>
      </c>
      <c r="EH40" s="74" t="str">
        <f t="shared" si="91"/>
        <v>-</v>
      </c>
      <c r="EI40" s="74" t="str">
        <f t="shared" si="91"/>
        <v>-</v>
      </c>
      <c r="EJ40" s="100" t="str">
        <f t="shared" si="26"/>
        <v>-</v>
      </c>
      <c r="EK40" s="58" t="str">
        <f t="shared" si="73"/>
        <v>-</v>
      </c>
      <c r="EL40" s="58" t="str">
        <f t="shared" si="74"/>
        <v>-</v>
      </c>
      <c r="EM40" s="58" t="str">
        <f t="shared" si="75"/>
        <v>-</v>
      </c>
      <c r="EN40" s="58" t="str">
        <f t="shared" si="76"/>
        <v>-</v>
      </c>
      <c r="EO40" s="100"/>
      <c r="EP40" s="100"/>
      <c r="ER40" s="79" t="str">
        <f t="shared" si="77"/>
        <v>-</v>
      </c>
      <c r="ES40" s="79" t="str">
        <f t="shared" si="78"/>
        <v>-</v>
      </c>
      <c r="ET40" s="79" t="str">
        <f t="shared" si="79"/>
        <v>-</v>
      </c>
      <c r="EU40" s="79" t="str">
        <f t="shared" si="80"/>
        <v>-</v>
      </c>
      <c r="EY40" s="74" t="str">
        <f>IF(E40=0,"-",LARGE(E6:E50,35))</f>
        <v>-</v>
      </c>
      <c r="EZ40" s="77" t="str">
        <f t="shared" si="81"/>
        <v>-</v>
      </c>
      <c r="FB40" s="77" t="str">
        <f t="shared" si="83"/>
        <v>-</v>
      </c>
      <c r="FC40" s="77" t="str">
        <f>IF(FB40="-","-",SMALL(FB6:FB50,35))</f>
        <v>-</v>
      </c>
    </row>
    <row r="41" spans="1:159" s="77" customFormat="1">
      <c r="C41" s="95">
        <f>'1'!R38</f>
        <v>0</v>
      </c>
      <c r="D41" s="96">
        <f>'1'!J38</f>
        <v>0</v>
      </c>
      <c r="E41" s="96">
        <f>'1'!K38</f>
        <v>0</v>
      </c>
      <c r="L41" s="96">
        <f>'2'!R38</f>
        <v>0</v>
      </c>
      <c r="M41" s="77">
        <f>'2'!J38</f>
        <v>0</v>
      </c>
      <c r="N41" s="74">
        <f>'2'!K38</f>
        <v>0</v>
      </c>
      <c r="Q41" s="74" t="s">
        <v>41</v>
      </c>
      <c r="T41" s="95" t="e">
        <f>DQ16</f>
        <v>#DIV/0!</v>
      </c>
      <c r="AJ41" s="98" t="str">
        <f t="shared" si="27"/>
        <v>-</v>
      </c>
      <c r="AK41" s="98" t="str">
        <f t="shared" si="28"/>
        <v>-</v>
      </c>
      <c r="AL41" s="98" t="str">
        <f t="shared" si="0"/>
        <v>-</v>
      </c>
      <c r="AM41" s="98" t="str">
        <f t="shared" si="29"/>
        <v>-</v>
      </c>
      <c r="AN41" s="98" t="str">
        <f t="shared" si="30"/>
        <v>-</v>
      </c>
      <c r="AO41" s="98" t="str">
        <f t="shared" si="31"/>
        <v>-</v>
      </c>
      <c r="AP41" s="98" t="str">
        <f t="shared" si="32"/>
        <v>-</v>
      </c>
      <c r="AQ41" s="98" t="str">
        <f t="shared" si="33"/>
        <v>-</v>
      </c>
      <c r="AT41" s="103" t="e">
        <f t="shared" si="93"/>
        <v>#DIV/0!</v>
      </c>
      <c r="AU41" s="103" t="e">
        <f t="shared" si="93"/>
        <v>#DIV/0!</v>
      </c>
      <c r="AV41" s="103" t="e">
        <f t="shared" si="93"/>
        <v>#DIV/0!</v>
      </c>
      <c r="AW41" s="103" t="e">
        <f t="shared" si="93"/>
        <v>#DIV/0!</v>
      </c>
      <c r="AX41" s="74" t="str">
        <f t="shared" si="35"/>
        <v>-</v>
      </c>
      <c r="AY41" s="74">
        <f t="shared" si="36"/>
        <v>0</v>
      </c>
      <c r="AZ41" s="74">
        <f t="shared" si="37"/>
        <v>0</v>
      </c>
      <c r="BA41" s="98">
        <f t="shared" si="38"/>
        <v>0</v>
      </c>
      <c r="BB41" s="74">
        <f t="shared" si="1"/>
        <v>0</v>
      </c>
      <c r="BC41" s="74">
        <f t="shared" si="2"/>
        <v>0</v>
      </c>
      <c r="BG41" s="74">
        <f t="shared" si="39"/>
        <v>0</v>
      </c>
      <c r="BH41" s="74">
        <f t="shared" si="40"/>
        <v>0</v>
      </c>
      <c r="BI41" s="98">
        <f t="shared" si="41"/>
        <v>0</v>
      </c>
      <c r="BJ41" s="74">
        <f t="shared" si="3"/>
        <v>0</v>
      </c>
      <c r="BK41" s="74">
        <f t="shared" si="4"/>
        <v>0</v>
      </c>
      <c r="BN41" s="74">
        <f t="shared" si="42"/>
        <v>0</v>
      </c>
      <c r="BO41" s="74" t="str">
        <f t="shared" si="43"/>
        <v>-</v>
      </c>
      <c r="BP41" s="98" t="str">
        <f t="shared" si="44"/>
        <v>-</v>
      </c>
      <c r="BQ41" s="98" t="str">
        <f t="shared" si="45"/>
        <v>-</v>
      </c>
      <c r="BR41" s="98" t="str">
        <f t="shared" si="5"/>
        <v>-</v>
      </c>
      <c r="BS41" s="98" t="str">
        <f t="shared" si="6"/>
        <v>-</v>
      </c>
      <c r="BT41" s="98" t="str">
        <f t="shared" si="7"/>
        <v>-</v>
      </c>
      <c r="BU41" s="98" t="str">
        <f t="shared" si="8"/>
        <v>-</v>
      </c>
      <c r="BV41" s="98" t="str">
        <f t="shared" si="9"/>
        <v>-</v>
      </c>
      <c r="BW41" s="98" t="str">
        <f t="shared" si="10"/>
        <v>-</v>
      </c>
      <c r="BZ41" s="103" t="e">
        <f t="shared" si="94"/>
        <v>#DIV/0!</v>
      </c>
      <c r="CA41" s="103" t="e">
        <f t="shared" si="94"/>
        <v>#DIV/0!</v>
      </c>
      <c r="CB41" s="103" t="e">
        <f t="shared" si="94"/>
        <v>#DIV/0!</v>
      </c>
      <c r="CC41" s="103" t="e">
        <f t="shared" si="94"/>
        <v>#DIV/0!</v>
      </c>
      <c r="CD41" s="74" t="str">
        <f t="shared" si="11"/>
        <v>-</v>
      </c>
      <c r="CE41" s="74">
        <f t="shared" si="47"/>
        <v>0</v>
      </c>
      <c r="CF41" s="74">
        <f t="shared" si="48"/>
        <v>0</v>
      </c>
      <c r="CG41" s="98">
        <f t="shared" si="49"/>
        <v>0</v>
      </c>
      <c r="CH41" s="74">
        <f t="shared" si="12"/>
        <v>0</v>
      </c>
      <c r="CI41" s="74">
        <f t="shared" si="13"/>
        <v>0</v>
      </c>
      <c r="CM41" s="74">
        <f t="shared" si="14"/>
        <v>0</v>
      </c>
      <c r="CN41" s="74">
        <f t="shared" si="50"/>
        <v>0</v>
      </c>
      <c r="CO41" s="98">
        <f t="shared" si="51"/>
        <v>0</v>
      </c>
      <c r="CP41" s="74">
        <f t="shared" si="15"/>
        <v>0</v>
      </c>
      <c r="CQ41" s="74">
        <f t="shared" si="16"/>
        <v>0</v>
      </c>
      <c r="CV41" s="98" t="str">
        <f t="shared" si="17"/>
        <v>-</v>
      </c>
      <c r="CW41" s="95" t="str">
        <f t="shared" si="18"/>
        <v>-</v>
      </c>
      <c r="CX41" s="74" t="str">
        <f t="shared" si="52"/>
        <v>-</v>
      </c>
      <c r="CY41" s="74" t="str">
        <f t="shared" si="19"/>
        <v>-</v>
      </c>
      <c r="CZ41" s="100" t="str">
        <f t="shared" si="20"/>
        <v>-</v>
      </c>
      <c r="DA41" s="58" t="str">
        <f t="shared" si="53"/>
        <v>-</v>
      </c>
      <c r="DB41" s="58" t="str">
        <f t="shared" si="54"/>
        <v>-</v>
      </c>
      <c r="DC41" s="58" t="str">
        <f t="shared" si="55"/>
        <v>-</v>
      </c>
      <c r="DD41" s="58" t="str">
        <f t="shared" si="56"/>
        <v>-</v>
      </c>
      <c r="DH41" s="98" t="str">
        <f t="shared" si="57"/>
        <v>-</v>
      </c>
      <c r="DI41" s="98" t="str">
        <f t="shared" si="58"/>
        <v>-</v>
      </c>
      <c r="DJ41" s="74" t="str">
        <f t="shared" si="89"/>
        <v>-</v>
      </c>
      <c r="DK41" s="74" t="str">
        <f t="shared" si="89"/>
        <v>-</v>
      </c>
      <c r="DL41" s="100" t="str">
        <f t="shared" si="22"/>
        <v>-</v>
      </c>
      <c r="DM41" s="58" t="str">
        <f t="shared" si="60"/>
        <v>-</v>
      </c>
      <c r="DN41" s="58" t="str">
        <f t="shared" si="61"/>
        <v>-</v>
      </c>
      <c r="DO41" s="58" t="str">
        <f t="shared" si="62"/>
        <v>-</v>
      </c>
      <c r="DP41" s="58" t="str">
        <f t="shared" si="63"/>
        <v>-</v>
      </c>
      <c r="DQ41" s="100"/>
      <c r="DR41" s="100"/>
      <c r="DT41" s="98" t="str">
        <f t="shared" si="86"/>
        <v>-</v>
      </c>
      <c r="DU41" s="98" t="str">
        <f t="shared" si="64"/>
        <v>-</v>
      </c>
      <c r="DV41" s="74" t="str">
        <f t="shared" si="90"/>
        <v>-</v>
      </c>
      <c r="DW41" s="74" t="str">
        <f t="shared" si="90"/>
        <v>-</v>
      </c>
      <c r="DX41" s="100" t="str">
        <f t="shared" si="24"/>
        <v>-</v>
      </c>
      <c r="DY41" s="58" t="str">
        <f t="shared" si="66"/>
        <v>-</v>
      </c>
      <c r="DZ41" s="58" t="str">
        <f t="shared" si="67"/>
        <v>-</v>
      </c>
      <c r="EA41" s="58" t="str">
        <f t="shared" si="68"/>
        <v>-</v>
      </c>
      <c r="EB41" s="58" t="str">
        <f t="shared" si="69"/>
        <v>-</v>
      </c>
      <c r="EC41" s="100"/>
      <c r="ED41" s="100"/>
      <c r="EF41" s="98" t="str">
        <f t="shared" si="70"/>
        <v>-</v>
      </c>
      <c r="EG41" s="98" t="str">
        <f t="shared" si="71"/>
        <v>-</v>
      </c>
      <c r="EH41" s="74" t="str">
        <f t="shared" si="91"/>
        <v>-</v>
      </c>
      <c r="EI41" s="74" t="str">
        <f t="shared" si="91"/>
        <v>-</v>
      </c>
      <c r="EJ41" s="100" t="str">
        <f t="shared" si="26"/>
        <v>-</v>
      </c>
      <c r="EK41" s="58" t="str">
        <f t="shared" si="73"/>
        <v>-</v>
      </c>
      <c r="EL41" s="58" t="str">
        <f t="shared" si="74"/>
        <v>-</v>
      </c>
      <c r="EM41" s="58" t="str">
        <f t="shared" si="75"/>
        <v>-</v>
      </c>
      <c r="EN41" s="58" t="str">
        <f t="shared" si="76"/>
        <v>-</v>
      </c>
      <c r="EO41" s="100"/>
      <c r="EP41" s="100"/>
      <c r="ER41" s="79" t="str">
        <f t="shared" si="77"/>
        <v>-</v>
      </c>
      <c r="ES41" s="79" t="str">
        <f t="shared" si="78"/>
        <v>-</v>
      </c>
      <c r="ET41" s="79" t="str">
        <f t="shared" si="79"/>
        <v>-</v>
      </c>
      <c r="EU41" s="79" t="str">
        <f t="shared" si="80"/>
        <v>-</v>
      </c>
      <c r="EY41" s="74" t="str">
        <f>IF(E41=0,"-",LARGE(E6:E50,36))</f>
        <v>-</v>
      </c>
      <c r="EZ41" s="77" t="str">
        <f t="shared" si="81"/>
        <v>-</v>
      </c>
      <c r="FB41" s="77" t="str">
        <f t="shared" si="83"/>
        <v>-</v>
      </c>
      <c r="FC41" s="77" t="str">
        <f>IF(FB41="-","-",SMALL(FB6:FB50,36))</f>
        <v>-</v>
      </c>
    </row>
    <row r="42" spans="1:159" s="77" customFormat="1">
      <c r="C42" s="95">
        <f>'1'!R39</f>
        <v>0</v>
      </c>
      <c r="D42" s="96">
        <f>'1'!J39</f>
        <v>0</v>
      </c>
      <c r="E42" s="96">
        <f>'1'!K39</f>
        <v>0</v>
      </c>
      <c r="L42" s="96">
        <f>'2'!R39</f>
        <v>0</v>
      </c>
      <c r="M42" s="77">
        <f>'2'!J39</f>
        <v>0</v>
      </c>
      <c r="N42" s="74">
        <f>'2'!K39</f>
        <v>0</v>
      </c>
      <c r="Q42" s="74" t="s">
        <v>42</v>
      </c>
      <c r="T42" s="95" t="e">
        <f>DQ17</f>
        <v>#DIV/0!</v>
      </c>
      <c r="AJ42" s="98" t="str">
        <f t="shared" si="27"/>
        <v>-</v>
      </c>
      <c r="AK42" s="98" t="str">
        <f t="shared" si="28"/>
        <v>-</v>
      </c>
      <c r="AL42" s="98" t="str">
        <f t="shared" si="0"/>
        <v>-</v>
      </c>
      <c r="AM42" s="98" t="str">
        <f t="shared" si="29"/>
        <v>-</v>
      </c>
      <c r="AN42" s="98" t="str">
        <f t="shared" si="30"/>
        <v>-</v>
      </c>
      <c r="AO42" s="98" t="str">
        <f t="shared" si="31"/>
        <v>-</v>
      </c>
      <c r="AP42" s="98" t="str">
        <f t="shared" si="32"/>
        <v>-</v>
      </c>
      <c r="AQ42" s="98" t="str">
        <f t="shared" si="33"/>
        <v>-</v>
      </c>
      <c r="AT42" s="103" t="e">
        <f t="shared" si="93"/>
        <v>#DIV/0!</v>
      </c>
      <c r="AU42" s="103" t="e">
        <f t="shared" si="93"/>
        <v>#DIV/0!</v>
      </c>
      <c r="AV42" s="103" t="e">
        <f t="shared" si="93"/>
        <v>#DIV/0!</v>
      </c>
      <c r="AW42" s="103" t="e">
        <f t="shared" si="93"/>
        <v>#DIV/0!</v>
      </c>
      <c r="AX42" s="74" t="str">
        <f t="shared" si="35"/>
        <v>-</v>
      </c>
      <c r="AY42" s="74">
        <f t="shared" si="36"/>
        <v>0</v>
      </c>
      <c r="AZ42" s="74">
        <f t="shared" si="37"/>
        <v>0</v>
      </c>
      <c r="BA42" s="98">
        <f t="shared" si="38"/>
        <v>0</v>
      </c>
      <c r="BB42" s="74">
        <f t="shared" si="1"/>
        <v>0</v>
      </c>
      <c r="BC42" s="74">
        <f t="shared" si="2"/>
        <v>0</v>
      </c>
      <c r="BG42" s="74">
        <f t="shared" si="39"/>
        <v>0</v>
      </c>
      <c r="BH42" s="74">
        <f t="shared" si="40"/>
        <v>0</v>
      </c>
      <c r="BI42" s="98">
        <f t="shared" si="41"/>
        <v>0</v>
      </c>
      <c r="BJ42" s="74">
        <f t="shared" si="3"/>
        <v>0</v>
      </c>
      <c r="BK42" s="74">
        <f t="shared" si="4"/>
        <v>0</v>
      </c>
      <c r="BN42" s="74">
        <f t="shared" si="42"/>
        <v>0</v>
      </c>
      <c r="BO42" s="74" t="str">
        <f t="shared" si="43"/>
        <v>-</v>
      </c>
      <c r="BP42" s="98" t="str">
        <f t="shared" si="44"/>
        <v>-</v>
      </c>
      <c r="BQ42" s="98" t="str">
        <f t="shared" si="45"/>
        <v>-</v>
      </c>
      <c r="BR42" s="98" t="str">
        <f t="shared" si="5"/>
        <v>-</v>
      </c>
      <c r="BS42" s="98" t="str">
        <f t="shared" si="6"/>
        <v>-</v>
      </c>
      <c r="BT42" s="98" t="str">
        <f t="shared" si="7"/>
        <v>-</v>
      </c>
      <c r="BU42" s="98" t="str">
        <f t="shared" si="8"/>
        <v>-</v>
      </c>
      <c r="BV42" s="98" t="str">
        <f t="shared" si="9"/>
        <v>-</v>
      </c>
      <c r="BW42" s="98" t="str">
        <f t="shared" si="10"/>
        <v>-</v>
      </c>
      <c r="BZ42" s="103" t="e">
        <f t="shared" si="94"/>
        <v>#DIV/0!</v>
      </c>
      <c r="CA42" s="103" t="e">
        <f t="shared" si="94"/>
        <v>#DIV/0!</v>
      </c>
      <c r="CB42" s="103" t="e">
        <f t="shared" si="94"/>
        <v>#DIV/0!</v>
      </c>
      <c r="CC42" s="103" t="e">
        <f t="shared" si="94"/>
        <v>#DIV/0!</v>
      </c>
      <c r="CD42" s="74" t="str">
        <f t="shared" si="11"/>
        <v>-</v>
      </c>
      <c r="CE42" s="74">
        <f t="shared" si="47"/>
        <v>0</v>
      </c>
      <c r="CF42" s="74">
        <f t="shared" si="48"/>
        <v>0</v>
      </c>
      <c r="CG42" s="98">
        <f t="shared" si="49"/>
        <v>0</v>
      </c>
      <c r="CH42" s="74">
        <f t="shared" si="12"/>
        <v>0</v>
      </c>
      <c r="CI42" s="74">
        <f t="shared" si="13"/>
        <v>0</v>
      </c>
      <c r="CM42" s="74">
        <f t="shared" si="14"/>
        <v>0</v>
      </c>
      <c r="CN42" s="74">
        <f t="shared" si="50"/>
        <v>0</v>
      </c>
      <c r="CO42" s="98">
        <f t="shared" si="51"/>
        <v>0</v>
      </c>
      <c r="CP42" s="74">
        <f t="shared" si="15"/>
        <v>0</v>
      </c>
      <c r="CQ42" s="74">
        <f t="shared" si="16"/>
        <v>0</v>
      </c>
      <c r="CV42" s="98" t="str">
        <f t="shared" si="17"/>
        <v>-</v>
      </c>
      <c r="CW42" s="95" t="str">
        <f t="shared" si="18"/>
        <v>-</v>
      </c>
      <c r="CX42" s="74" t="str">
        <f t="shared" si="52"/>
        <v>-</v>
      </c>
      <c r="CY42" s="74" t="str">
        <f t="shared" si="19"/>
        <v>-</v>
      </c>
      <c r="CZ42" s="100" t="str">
        <f t="shared" si="20"/>
        <v>-</v>
      </c>
      <c r="DA42" s="58" t="str">
        <f t="shared" si="53"/>
        <v>-</v>
      </c>
      <c r="DB42" s="58" t="str">
        <f t="shared" si="54"/>
        <v>-</v>
      </c>
      <c r="DC42" s="58" t="str">
        <f t="shared" si="55"/>
        <v>-</v>
      </c>
      <c r="DD42" s="58" t="str">
        <f t="shared" si="56"/>
        <v>-</v>
      </c>
      <c r="DH42" s="98" t="str">
        <f t="shared" si="57"/>
        <v>-</v>
      </c>
      <c r="DI42" s="98" t="str">
        <f t="shared" si="58"/>
        <v>-</v>
      </c>
      <c r="DJ42" s="74" t="str">
        <f t="shared" si="89"/>
        <v>-</v>
      </c>
      <c r="DK42" s="74" t="str">
        <f t="shared" si="89"/>
        <v>-</v>
      </c>
      <c r="DL42" s="100" t="str">
        <f t="shared" si="22"/>
        <v>-</v>
      </c>
      <c r="DM42" s="58" t="str">
        <f t="shared" si="60"/>
        <v>-</v>
      </c>
      <c r="DN42" s="58" t="str">
        <f t="shared" si="61"/>
        <v>-</v>
      </c>
      <c r="DO42" s="58" t="str">
        <f t="shared" si="62"/>
        <v>-</v>
      </c>
      <c r="DP42" s="58" t="str">
        <f t="shared" si="63"/>
        <v>-</v>
      </c>
      <c r="DQ42" s="100"/>
      <c r="DR42" s="100"/>
      <c r="DT42" s="98" t="str">
        <f t="shared" si="86"/>
        <v>-</v>
      </c>
      <c r="DU42" s="98" t="str">
        <f t="shared" si="64"/>
        <v>-</v>
      </c>
      <c r="DV42" s="74" t="str">
        <f t="shared" si="90"/>
        <v>-</v>
      </c>
      <c r="DW42" s="74" t="str">
        <f t="shared" si="90"/>
        <v>-</v>
      </c>
      <c r="DX42" s="100" t="str">
        <f t="shared" si="24"/>
        <v>-</v>
      </c>
      <c r="DY42" s="58" t="str">
        <f t="shared" si="66"/>
        <v>-</v>
      </c>
      <c r="DZ42" s="58" t="str">
        <f t="shared" si="67"/>
        <v>-</v>
      </c>
      <c r="EA42" s="58" t="str">
        <f t="shared" si="68"/>
        <v>-</v>
      </c>
      <c r="EB42" s="58" t="str">
        <f t="shared" si="69"/>
        <v>-</v>
      </c>
      <c r="EC42" s="100"/>
      <c r="ED42" s="100"/>
      <c r="EF42" s="98" t="str">
        <f t="shared" si="70"/>
        <v>-</v>
      </c>
      <c r="EG42" s="98" t="str">
        <f t="shared" si="71"/>
        <v>-</v>
      </c>
      <c r="EH42" s="74" t="str">
        <f t="shared" si="91"/>
        <v>-</v>
      </c>
      <c r="EI42" s="74" t="str">
        <f t="shared" si="91"/>
        <v>-</v>
      </c>
      <c r="EJ42" s="100" t="str">
        <f t="shared" si="26"/>
        <v>-</v>
      </c>
      <c r="EK42" s="58" t="str">
        <f t="shared" si="73"/>
        <v>-</v>
      </c>
      <c r="EL42" s="58" t="str">
        <f t="shared" si="74"/>
        <v>-</v>
      </c>
      <c r="EM42" s="58" t="str">
        <f t="shared" si="75"/>
        <v>-</v>
      </c>
      <c r="EN42" s="58" t="str">
        <f t="shared" si="76"/>
        <v>-</v>
      </c>
      <c r="EO42" s="100"/>
      <c r="EP42" s="100"/>
      <c r="ER42" s="79" t="str">
        <f t="shared" si="77"/>
        <v>-</v>
      </c>
      <c r="ES42" s="79" t="str">
        <f t="shared" si="78"/>
        <v>-</v>
      </c>
      <c r="ET42" s="79" t="str">
        <f t="shared" si="79"/>
        <v>-</v>
      </c>
      <c r="EU42" s="79" t="str">
        <f t="shared" si="80"/>
        <v>-</v>
      </c>
      <c r="EY42" s="74" t="str">
        <f>IF(E42=0,"-",LARGE(E6:E50,37))</f>
        <v>-</v>
      </c>
      <c r="EZ42" s="77" t="str">
        <f t="shared" si="81"/>
        <v>-</v>
      </c>
      <c r="FB42" s="77" t="str">
        <f t="shared" si="83"/>
        <v>-</v>
      </c>
      <c r="FC42" s="77" t="str">
        <f>IF(FB42="-","-",SMALL(FB6:FB50,37))</f>
        <v>-</v>
      </c>
    </row>
    <row r="43" spans="1:159" s="77" customFormat="1">
      <c r="C43" s="95">
        <f>'1'!R40</f>
        <v>0</v>
      </c>
      <c r="D43" s="96">
        <f>'1'!J40</f>
        <v>0</v>
      </c>
      <c r="E43" s="96">
        <f>'1'!K40</f>
        <v>0</v>
      </c>
      <c r="L43" s="96">
        <f>'2'!R40</f>
        <v>0</v>
      </c>
      <c r="M43" s="77">
        <f>'2'!J40</f>
        <v>0</v>
      </c>
      <c r="N43" s="74">
        <f>'2'!K40</f>
        <v>0</v>
      </c>
      <c r="Q43" s="74" t="s">
        <v>43</v>
      </c>
      <c r="T43" s="95" t="e">
        <f>DQ18</f>
        <v>#DIV/0!</v>
      </c>
      <c r="AJ43" s="98" t="str">
        <f t="shared" si="27"/>
        <v>-</v>
      </c>
      <c r="AK43" s="98" t="str">
        <f t="shared" si="28"/>
        <v>-</v>
      </c>
      <c r="AL43" s="98" t="str">
        <f t="shared" si="0"/>
        <v>-</v>
      </c>
      <c r="AM43" s="98" t="str">
        <f t="shared" si="29"/>
        <v>-</v>
      </c>
      <c r="AN43" s="98" t="str">
        <f t="shared" si="30"/>
        <v>-</v>
      </c>
      <c r="AO43" s="98" t="str">
        <f t="shared" si="31"/>
        <v>-</v>
      </c>
      <c r="AP43" s="98" t="str">
        <f t="shared" si="32"/>
        <v>-</v>
      </c>
      <c r="AQ43" s="98" t="str">
        <f t="shared" si="33"/>
        <v>-</v>
      </c>
      <c r="AT43" s="103" t="e">
        <f t="shared" si="93"/>
        <v>#DIV/0!</v>
      </c>
      <c r="AU43" s="103" t="e">
        <f t="shared" si="93"/>
        <v>#DIV/0!</v>
      </c>
      <c r="AV43" s="103" t="e">
        <f t="shared" si="93"/>
        <v>#DIV/0!</v>
      </c>
      <c r="AW43" s="103" t="e">
        <f t="shared" si="93"/>
        <v>#DIV/0!</v>
      </c>
      <c r="AX43" s="74" t="str">
        <f t="shared" si="35"/>
        <v>-</v>
      </c>
      <c r="AY43" s="74">
        <f t="shared" si="36"/>
        <v>0</v>
      </c>
      <c r="AZ43" s="74">
        <f t="shared" si="37"/>
        <v>0</v>
      </c>
      <c r="BA43" s="98">
        <f t="shared" si="38"/>
        <v>0</v>
      </c>
      <c r="BB43" s="74">
        <f t="shared" si="1"/>
        <v>0</v>
      </c>
      <c r="BC43" s="74">
        <f t="shared" si="2"/>
        <v>0</v>
      </c>
      <c r="BG43" s="74">
        <f t="shared" si="39"/>
        <v>0</v>
      </c>
      <c r="BH43" s="74">
        <f t="shared" si="40"/>
        <v>0</v>
      </c>
      <c r="BI43" s="98">
        <f t="shared" si="41"/>
        <v>0</v>
      </c>
      <c r="BJ43" s="74">
        <f t="shared" si="3"/>
        <v>0</v>
      </c>
      <c r="BK43" s="74">
        <f t="shared" si="4"/>
        <v>0</v>
      </c>
      <c r="BN43" s="74">
        <f t="shared" si="42"/>
        <v>0</v>
      </c>
      <c r="BO43" s="74" t="str">
        <f t="shared" si="43"/>
        <v>-</v>
      </c>
      <c r="BP43" s="98" t="str">
        <f t="shared" si="44"/>
        <v>-</v>
      </c>
      <c r="BQ43" s="98" t="str">
        <f t="shared" si="45"/>
        <v>-</v>
      </c>
      <c r="BR43" s="98" t="str">
        <f t="shared" si="5"/>
        <v>-</v>
      </c>
      <c r="BS43" s="98" t="str">
        <f t="shared" si="6"/>
        <v>-</v>
      </c>
      <c r="BT43" s="98" t="str">
        <f t="shared" si="7"/>
        <v>-</v>
      </c>
      <c r="BU43" s="98" t="str">
        <f t="shared" si="8"/>
        <v>-</v>
      </c>
      <c r="BV43" s="98" t="str">
        <f t="shared" si="9"/>
        <v>-</v>
      </c>
      <c r="BW43" s="98" t="str">
        <f t="shared" si="10"/>
        <v>-</v>
      </c>
      <c r="BZ43" s="103" t="e">
        <f t="shared" si="94"/>
        <v>#DIV/0!</v>
      </c>
      <c r="CA43" s="103" t="e">
        <f t="shared" si="94"/>
        <v>#DIV/0!</v>
      </c>
      <c r="CB43" s="103" t="e">
        <f t="shared" si="94"/>
        <v>#DIV/0!</v>
      </c>
      <c r="CC43" s="103" t="e">
        <f t="shared" si="94"/>
        <v>#DIV/0!</v>
      </c>
      <c r="CD43" s="74" t="str">
        <f t="shared" si="11"/>
        <v>-</v>
      </c>
      <c r="CE43" s="74">
        <f t="shared" si="47"/>
        <v>0</v>
      </c>
      <c r="CF43" s="74">
        <f t="shared" si="48"/>
        <v>0</v>
      </c>
      <c r="CG43" s="98">
        <f t="shared" si="49"/>
        <v>0</v>
      </c>
      <c r="CH43" s="74">
        <f t="shared" si="12"/>
        <v>0</v>
      </c>
      <c r="CI43" s="74">
        <f t="shared" si="13"/>
        <v>0</v>
      </c>
      <c r="CM43" s="74">
        <f t="shared" si="14"/>
        <v>0</v>
      </c>
      <c r="CN43" s="74">
        <f t="shared" si="50"/>
        <v>0</v>
      </c>
      <c r="CO43" s="98">
        <f t="shared" si="51"/>
        <v>0</v>
      </c>
      <c r="CP43" s="74">
        <f t="shared" si="15"/>
        <v>0</v>
      </c>
      <c r="CQ43" s="74">
        <f t="shared" si="16"/>
        <v>0</v>
      </c>
      <c r="CV43" s="98" t="str">
        <f t="shared" si="17"/>
        <v>-</v>
      </c>
      <c r="CW43" s="95" t="str">
        <f t="shared" si="18"/>
        <v>-</v>
      </c>
      <c r="CX43" s="74" t="str">
        <f t="shared" si="52"/>
        <v>-</v>
      </c>
      <c r="CY43" s="74" t="str">
        <f t="shared" si="19"/>
        <v>-</v>
      </c>
      <c r="CZ43" s="100" t="str">
        <f t="shared" si="20"/>
        <v>-</v>
      </c>
      <c r="DA43" s="58" t="str">
        <f t="shared" si="53"/>
        <v>-</v>
      </c>
      <c r="DB43" s="58" t="str">
        <f t="shared" si="54"/>
        <v>-</v>
      </c>
      <c r="DC43" s="58" t="str">
        <f t="shared" si="55"/>
        <v>-</v>
      </c>
      <c r="DD43" s="58" t="str">
        <f t="shared" si="56"/>
        <v>-</v>
      </c>
      <c r="DH43" s="98" t="str">
        <f t="shared" si="57"/>
        <v>-</v>
      </c>
      <c r="DI43" s="98" t="str">
        <f t="shared" si="58"/>
        <v>-</v>
      </c>
      <c r="DJ43" s="74" t="str">
        <f t="shared" si="89"/>
        <v>-</v>
      </c>
      <c r="DK43" s="74" t="str">
        <f t="shared" si="89"/>
        <v>-</v>
      </c>
      <c r="DL43" s="100" t="str">
        <f t="shared" si="22"/>
        <v>-</v>
      </c>
      <c r="DM43" s="58" t="str">
        <f t="shared" si="60"/>
        <v>-</v>
      </c>
      <c r="DN43" s="58" t="str">
        <f t="shared" si="61"/>
        <v>-</v>
      </c>
      <c r="DO43" s="58" t="str">
        <f t="shared" si="62"/>
        <v>-</v>
      </c>
      <c r="DP43" s="58" t="str">
        <f t="shared" si="63"/>
        <v>-</v>
      </c>
      <c r="DQ43" s="100"/>
      <c r="DR43" s="100"/>
      <c r="DT43" s="98" t="str">
        <f t="shared" si="86"/>
        <v>-</v>
      </c>
      <c r="DU43" s="98" t="str">
        <f t="shared" si="64"/>
        <v>-</v>
      </c>
      <c r="DV43" s="74" t="str">
        <f t="shared" si="90"/>
        <v>-</v>
      </c>
      <c r="DW43" s="74" t="str">
        <f t="shared" si="90"/>
        <v>-</v>
      </c>
      <c r="DX43" s="100" t="str">
        <f t="shared" si="24"/>
        <v>-</v>
      </c>
      <c r="DY43" s="58" t="str">
        <f t="shared" si="66"/>
        <v>-</v>
      </c>
      <c r="DZ43" s="58" t="str">
        <f t="shared" si="67"/>
        <v>-</v>
      </c>
      <c r="EA43" s="58" t="str">
        <f t="shared" si="68"/>
        <v>-</v>
      </c>
      <c r="EB43" s="58" t="str">
        <f t="shared" si="69"/>
        <v>-</v>
      </c>
      <c r="EC43" s="100"/>
      <c r="ED43" s="100"/>
      <c r="EF43" s="98" t="str">
        <f t="shared" si="70"/>
        <v>-</v>
      </c>
      <c r="EG43" s="98" t="str">
        <f t="shared" si="71"/>
        <v>-</v>
      </c>
      <c r="EH43" s="74" t="str">
        <f t="shared" si="91"/>
        <v>-</v>
      </c>
      <c r="EI43" s="74" t="str">
        <f t="shared" si="91"/>
        <v>-</v>
      </c>
      <c r="EJ43" s="100" t="str">
        <f t="shared" si="26"/>
        <v>-</v>
      </c>
      <c r="EK43" s="58" t="str">
        <f t="shared" si="73"/>
        <v>-</v>
      </c>
      <c r="EL43" s="58" t="str">
        <f t="shared" si="74"/>
        <v>-</v>
      </c>
      <c r="EM43" s="58" t="str">
        <f t="shared" si="75"/>
        <v>-</v>
      </c>
      <c r="EN43" s="58" t="str">
        <f t="shared" si="76"/>
        <v>-</v>
      </c>
      <c r="EO43" s="100"/>
      <c r="EP43" s="100"/>
      <c r="ER43" s="79" t="str">
        <f t="shared" si="77"/>
        <v>-</v>
      </c>
      <c r="ES43" s="79" t="str">
        <f t="shared" si="78"/>
        <v>-</v>
      </c>
      <c r="ET43" s="79" t="str">
        <f t="shared" si="79"/>
        <v>-</v>
      </c>
      <c r="EU43" s="79" t="str">
        <f t="shared" si="80"/>
        <v>-</v>
      </c>
      <c r="EY43" s="74" t="str">
        <f>IF(E43=0,"-",LARGE(E6:E50,38))</f>
        <v>-</v>
      </c>
      <c r="EZ43" s="77" t="str">
        <f t="shared" si="81"/>
        <v>-</v>
      </c>
      <c r="FB43" s="77" t="str">
        <f t="shared" si="83"/>
        <v>-</v>
      </c>
      <c r="FC43" s="77" t="str">
        <f>IF(FB43="-","-",SMALL(FB6:FB50,38))</f>
        <v>-</v>
      </c>
    </row>
    <row r="44" spans="1:159" s="77" customFormat="1">
      <c r="C44" s="95">
        <f>'1'!R41</f>
        <v>0</v>
      </c>
      <c r="D44" s="96">
        <f>'1'!J41</f>
        <v>0</v>
      </c>
      <c r="E44" s="96">
        <f>'1'!K41</f>
        <v>0</v>
      </c>
      <c r="L44" s="96">
        <f>'2'!R41</f>
        <v>0</v>
      </c>
      <c r="M44" s="77">
        <f>'2'!J41</f>
        <v>0</v>
      </c>
      <c r="N44" s="74">
        <f>'2'!K41</f>
        <v>0</v>
      </c>
      <c r="Q44" s="74" t="s">
        <v>44</v>
      </c>
      <c r="T44" s="95" t="e">
        <f>EO15</f>
        <v>#DIV/0!</v>
      </c>
      <c r="AJ44" s="98" t="str">
        <f t="shared" si="27"/>
        <v>-</v>
      </c>
      <c r="AK44" s="98" t="str">
        <f t="shared" si="28"/>
        <v>-</v>
      </c>
      <c r="AL44" s="98" t="str">
        <f t="shared" si="0"/>
        <v>-</v>
      </c>
      <c r="AM44" s="98" t="str">
        <f t="shared" si="29"/>
        <v>-</v>
      </c>
      <c r="AN44" s="98" t="str">
        <f t="shared" si="30"/>
        <v>-</v>
      </c>
      <c r="AO44" s="98" t="str">
        <f t="shared" si="31"/>
        <v>-</v>
      </c>
      <c r="AP44" s="98" t="str">
        <f t="shared" si="32"/>
        <v>-</v>
      </c>
      <c r="AQ44" s="98" t="str">
        <f t="shared" si="33"/>
        <v>-</v>
      </c>
      <c r="AT44" s="103" t="e">
        <f t="shared" si="93"/>
        <v>#DIV/0!</v>
      </c>
      <c r="AU44" s="103" t="e">
        <f t="shared" si="93"/>
        <v>#DIV/0!</v>
      </c>
      <c r="AV44" s="103" t="e">
        <f t="shared" si="93"/>
        <v>#DIV/0!</v>
      </c>
      <c r="AW44" s="103" t="e">
        <f t="shared" si="93"/>
        <v>#DIV/0!</v>
      </c>
      <c r="AX44" s="74" t="str">
        <f t="shared" si="35"/>
        <v>-</v>
      </c>
      <c r="AY44" s="74">
        <f t="shared" si="36"/>
        <v>0</v>
      </c>
      <c r="AZ44" s="74">
        <f t="shared" si="37"/>
        <v>0</v>
      </c>
      <c r="BA44" s="98">
        <f t="shared" si="38"/>
        <v>0</v>
      </c>
      <c r="BB44" s="74">
        <f t="shared" si="1"/>
        <v>0</v>
      </c>
      <c r="BC44" s="74">
        <f t="shared" si="2"/>
        <v>0</v>
      </c>
      <c r="BG44" s="74">
        <f t="shared" si="39"/>
        <v>0</v>
      </c>
      <c r="BH44" s="74">
        <f t="shared" si="40"/>
        <v>0</v>
      </c>
      <c r="BI44" s="98">
        <f t="shared" si="41"/>
        <v>0</v>
      </c>
      <c r="BJ44" s="74">
        <f t="shared" si="3"/>
        <v>0</v>
      </c>
      <c r="BK44" s="74">
        <f t="shared" si="4"/>
        <v>0</v>
      </c>
      <c r="BN44" s="74">
        <f t="shared" si="42"/>
        <v>0</v>
      </c>
      <c r="BO44" s="74" t="str">
        <f t="shared" si="43"/>
        <v>-</v>
      </c>
      <c r="BP44" s="98" t="str">
        <f t="shared" si="44"/>
        <v>-</v>
      </c>
      <c r="BQ44" s="98" t="str">
        <f t="shared" si="45"/>
        <v>-</v>
      </c>
      <c r="BR44" s="98" t="str">
        <f t="shared" si="5"/>
        <v>-</v>
      </c>
      <c r="BS44" s="98" t="str">
        <f t="shared" si="6"/>
        <v>-</v>
      </c>
      <c r="BT44" s="98" t="str">
        <f t="shared" si="7"/>
        <v>-</v>
      </c>
      <c r="BU44" s="98" t="str">
        <f t="shared" si="8"/>
        <v>-</v>
      </c>
      <c r="BV44" s="98" t="str">
        <f t="shared" si="9"/>
        <v>-</v>
      </c>
      <c r="BW44" s="98" t="str">
        <f t="shared" si="10"/>
        <v>-</v>
      </c>
      <c r="BZ44" s="103" t="e">
        <f t="shared" si="94"/>
        <v>#DIV/0!</v>
      </c>
      <c r="CA44" s="103" t="e">
        <f t="shared" si="94"/>
        <v>#DIV/0!</v>
      </c>
      <c r="CB44" s="103" t="e">
        <f t="shared" si="94"/>
        <v>#DIV/0!</v>
      </c>
      <c r="CC44" s="103" t="e">
        <f t="shared" si="94"/>
        <v>#DIV/0!</v>
      </c>
      <c r="CD44" s="74" t="str">
        <f t="shared" si="11"/>
        <v>-</v>
      </c>
      <c r="CE44" s="74">
        <f t="shared" si="47"/>
        <v>0</v>
      </c>
      <c r="CF44" s="74">
        <f t="shared" si="48"/>
        <v>0</v>
      </c>
      <c r="CG44" s="98">
        <f t="shared" si="49"/>
        <v>0</v>
      </c>
      <c r="CH44" s="74">
        <f t="shared" si="12"/>
        <v>0</v>
      </c>
      <c r="CI44" s="74">
        <f t="shared" si="13"/>
        <v>0</v>
      </c>
      <c r="CM44" s="74">
        <f t="shared" si="14"/>
        <v>0</v>
      </c>
      <c r="CN44" s="74">
        <f t="shared" si="50"/>
        <v>0</v>
      </c>
      <c r="CO44" s="98">
        <f t="shared" si="51"/>
        <v>0</v>
      </c>
      <c r="CP44" s="74">
        <f t="shared" si="15"/>
        <v>0</v>
      </c>
      <c r="CQ44" s="74">
        <f t="shared" si="16"/>
        <v>0</v>
      </c>
      <c r="CV44" s="98" t="str">
        <f t="shared" si="17"/>
        <v>-</v>
      </c>
      <c r="CW44" s="95" t="str">
        <f t="shared" si="18"/>
        <v>-</v>
      </c>
      <c r="CX44" s="74" t="str">
        <f t="shared" si="52"/>
        <v>-</v>
      </c>
      <c r="CY44" s="74" t="str">
        <f t="shared" si="19"/>
        <v>-</v>
      </c>
      <c r="CZ44" s="100" t="str">
        <f t="shared" si="20"/>
        <v>-</v>
      </c>
      <c r="DA44" s="58" t="str">
        <f t="shared" si="53"/>
        <v>-</v>
      </c>
      <c r="DB44" s="58" t="str">
        <f t="shared" si="54"/>
        <v>-</v>
      </c>
      <c r="DC44" s="58" t="str">
        <f t="shared" si="55"/>
        <v>-</v>
      </c>
      <c r="DD44" s="58" t="str">
        <f t="shared" si="56"/>
        <v>-</v>
      </c>
      <c r="DH44" s="98" t="str">
        <f t="shared" si="57"/>
        <v>-</v>
      </c>
      <c r="DI44" s="98" t="str">
        <f t="shared" si="58"/>
        <v>-</v>
      </c>
      <c r="DJ44" s="74" t="str">
        <f t="shared" si="89"/>
        <v>-</v>
      </c>
      <c r="DK44" s="74" t="str">
        <f t="shared" si="89"/>
        <v>-</v>
      </c>
      <c r="DL44" s="100" t="str">
        <f t="shared" si="22"/>
        <v>-</v>
      </c>
      <c r="DM44" s="58" t="str">
        <f t="shared" si="60"/>
        <v>-</v>
      </c>
      <c r="DN44" s="58" t="str">
        <f t="shared" si="61"/>
        <v>-</v>
      </c>
      <c r="DO44" s="58" t="str">
        <f t="shared" si="62"/>
        <v>-</v>
      </c>
      <c r="DP44" s="58" t="str">
        <f t="shared" si="63"/>
        <v>-</v>
      </c>
      <c r="DQ44" s="100"/>
      <c r="DR44" s="100"/>
      <c r="DT44" s="98" t="str">
        <f t="shared" si="86"/>
        <v>-</v>
      </c>
      <c r="DU44" s="98" t="str">
        <f t="shared" si="64"/>
        <v>-</v>
      </c>
      <c r="DV44" s="74" t="str">
        <f t="shared" si="90"/>
        <v>-</v>
      </c>
      <c r="DW44" s="74" t="str">
        <f t="shared" si="90"/>
        <v>-</v>
      </c>
      <c r="DX44" s="100" t="str">
        <f t="shared" si="24"/>
        <v>-</v>
      </c>
      <c r="DY44" s="58" t="str">
        <f t="shared" si="66"/>
        <v>-</v>
      </c>
      <c r="DZ44" s="58" t="str">
        <f t="shared" si="67"/>
        <v>-</v>
      </c>
      <c r="EA44" s="58" t="str">
        <f t="shared" si="68"/>
        <v>-</v>
      </c>
      <c r="EB44" s="58" t="str">
        <f t="shared" si="69"/>
        <v>-</v>
      </c>
      <c r="EC44" s="100"/>
      <c r="ED44" s="100"/>
      <c r="EF44" s="98" t="str">
        <f t="shared" si="70"/>
        <v>-</v>
      </c>
      <c r="EG44" s="98" t="str">
        <f t="shared" si="71"/>
        <v>-</v>
      </c>
      <c r="EH44" s="74" t="str">
        <f t="shared" si="91"/>
        <v>-</v>
      </c>
      <c r="EI44" s="74" t="str">
        <f t="shared" si="91"/>
        <v>-</v>
      </c>
      <c r="EJ44" s="100" t="str">
        <f t="shared" si="26"/>
        <v>-</v>
      </c>
      <c r="EK44" s="58" t="str">
        <f t="shared" si="73"/>
        <v>-</v>
      </c>
      <c r="EL44" s="58" t="str">
        <f t="shared" si="74"/>
        <v>-</v>
      </c>
      <c r="EM44" s="58" t="str">
        <f t="shared" si="75"/>
        <v>-</v>
      </c>
      <c r="EN44" s="58" t="str">
        <f t="shared" si="76"/>
        <v>-</v>
      </c>
      <c r="EO44" s="100"/>
      <c r="EP44" s="100"/>
      <c r="ER44" s="79" t="str">
        <f t="shared" si="77"/>
        <v>-</v>
      </c>
      <c r="ES44" s="79" t="str">
        <f t="shared" si="78"/>
        <v>-</v>
      </c>
      <c r="ET44" s="79" t="str">
        <f t="shared" si="79"/>
        <v>-</v>
      </c>
      <c r="EU44" s="79" t="str">
        <f t="shared" si="80"/>
        <v>-</v>
      </c>
      <c r="EY44" s="74" t="str">
        <f>IF(E44=0,"-",LARGE(E6:E50,39))</f>
        <v>-</v>
      </c>
      <c r="EZ44" s="77" t="str">
        <f t="shared" si="81"/>
        <v>-</v>
      </c>
      <c r="FB44" s="77" t="str">
        <f t="shared" si="83"/>
        <v>-</v>
      </c>
      <c r="FC44" s="77" t="str">
        <f>IF(FB44="-","-",SMALL(FB6:FB50,39))</f>
        <v>-</v>
      </c>
    </row>
    <row r="45" spans="1:159" s="77" customFormat="1">
      <c r="C45" s="95">
        <f>'1'!R42</f>
        <v>0</v>
      </c>
      <c r="D45" s="96">
        <f>'1'!J42</f>
        <v>0</v>
      </c>
      <c r="E45" s="96">
        <f>'1'!K42</f>
        <v>0</v>
      </c>
      <c r="L45" s="96">
        <f>'2'!R42</f>
        <v>0</v>
      </c>
      <c r="M45" s="77">
        <f>'2'!J42</f>
        <v>0</v>
      </c>
      <c r="N45" s="74">
        <f>'2'!K42</f>
        <v>0</v>
      </c>
      <c r="Q45" s="74" t="s">
        <v>45</v>
      </c>
      <c r="T45" s="95" t="e">
        <f t="shared" ref="T45:T47" si="95">EO16</f>
        <v>#DIV/0!</v>
      </c>
      <c r="AJ45" s="98" t="str">
        <f t="shared" si="27"/>
        <v>-</v>
      </c>
      <c r="AK45" s="98" t="str">
        <f t="shared" si="28"/>
        <v>-</v>
      </c>
      <c r="AL45" s="98" t="str">
        <f t="shared" si="0"/>
        <v>-</v>
      </c>
      <c r="AM45" s="98" t="str">
        <f t="shared" si="29"/>
        <v>-</v>
      </c>
      <c r="AN45" s="98" t="str">
        <f t="shared" si="30"/>
        <v>-</v>
      </c>
      <c r="AO45" s="98" t="str">
        <f t="shared" si="31"/>
        <v>-</v>
      </c>
      <c r="AP45" s="98" t="str">
        <f t="shared" si="32"/>
        <v>-</v>
      </c>
      <c r="AQ45" s="98" t="str">
        <f t="shared" si="33"/>
        <v>-</v>
      </c>
      <c r="AT45" s="103" t="e">
        <f t="shared" si="93"/>
        <v>#DIV/0!</v>
      </c>
      <c r="AU45" s="103" t="e">
        <f t="shared" si="93"/>
        <v>#DIV/0!</v>
      </c>
      <c r="AV45" s="103" t="e">
        <f t="shared" si="93"/>
        <v>#DIV/0!</v>
      </c>
      <c r="AW45" s="103" t="e">
        <f t="shared" si="93"/>
        <v>#DIV/0!</v>
      </c>
      <c r="AX45" s="74" t="str">
        <f t="shared" si="35"/>
        <v>-</v>
      </c>
      <c r="AY45" s="74">
        <f t="shared" si="36"/>
        <v>0</v>
      </c>
      <c r="AZ45" s="74">
        <f t="shared" si="37"/>
        <v>0</v>
      </c>
      <c r="BA45" s="98">
        <f t="shared" si="38"/>
        <v>0</v>
      </c>
      <c r="BB45" s="74">
        <f t="shared" si="1"/>
        <v>0</v>
      </c>
      <c r="BC45" s="74">
        <f t="shared" si="2"/>
        <v>0</v>
      </c>
      <c r="BG45" s="74">
        <f t="shared" si="39"/>
        <v>0</v>
      </c>
      <c r="BH45" s="74">
        <f t="shared" si="40"/>
        <v>0</v>
      </c>
      <c r="BI45" s="98">
        <f t="shared" si="41"/>
        <v>0</v>
      </c>
      <c r="BJ45" s="74">
        <f t="shared" si="3"/>
        <v>0</v>
      </c>
      <c r="BK45" s="74">
        <f t="shared" si="4"/>
        <v>0</v>
      </c>
      <c r="BN45" s="74">
        <f t="shared" si="42"/>
        <v>0</v>
      </c>
      <c r="BO45" s="74" t="str">
        <f t="shared" si="43"/>
        <v>-</v>
      </c>
      <c r="BP45" s="98" t="str">
        <f t="shared" si="44"/>
        <v>-</v>
      </c>
      <c r="BQ45" s="98" t="str">
        <f t="shared" si="45"/>
        <v>-</v>
      </c>
      <c r="BR45" s="98" t="str">
        <f t="shared" si="5"/>
        <v>-</v>
      </c>
      <c r="BS45" s="98" t="str">
        <f t="shared" si="6"/>
        <v>-</v>
      </c>
      <c r="BT45" s="98" t="str">
        <f t="shared" si="7"/>
        <v>-</v>
      </c>
      <c r="BU45" s="98" t="str">
        <f t="shared" si="8"/>
        <v>-</v>
      </c>
      <c r="BV45" s="98" t="str">
        <f t="shared" si="9"/>
        <v>-</v>
      </c>
      <c r="BW45" s="98" t="str">
        <f t="shared" si="10"/>
        <v>-</v>
      </c>
      <c r="BZ45" s="103" t="e">
        <f t="shared" si="94"/>
        <v>#DIV/0!</v>
      </c>
      <c r="CA45" s="103" t="e">
        <f t="shared" si="94"/>
        <v>#DIV/0!</v>
      </c>
      <c r="CB45" s="103" t="e">
        <f t="shared" si="94"/>
        <v>#DIV/0!</v>
      </c>
      <c r="CC45" s="103" t="e">
        <f t="shared" si="94"/>
        <v>#DIV/0!</v>
      </c>
      <c r="CD45" s="74" t="str">
        <f t="shared" si="11"/>
        <v>-</v>
      </c>
      <c r="CE45" s="74">
        <f t="shared" si="47"/>
        <v>0</v>
      </c>
      <c r="CF45" s="74">
        <f t="shared" si="48"/>
        <v>0</v>
      </c>
      <c r="CG45" s="98">
        <f t="shared" si="49"/>
        <v>0</v>
      </c>
      <c r="CH45" s="74">
        <f t="shared" si="12"/>
        <v>0</v>
      </c>
      <c r="CI45" s="74">
        <f t="shared" si="13"/>
        <v>0</v>
      </c>
      <c r="CM45" s="74">
        <f t="shared" si="14"/>
        <v>0</v>
      </c>
      <c r="CN45" s="74">
        <f t="shared" si="50"/>
        <v>0</v>
      </c>
      <c r="CO45" s="98">
        <f t="shared" si="51"/>
        <v>0</v>
      </c>
      <c r="CP45" s="74">
        <f t="shared" si="15"/>
        <v>0</v>
      </c>
      <c r="CQ45" s="74">
        <f t="shared" si="16"/>
        <v>0</v>
      </c>
      <c r="CV45" s="98" t="str">
        <f t="shared" si="17"/>
        <v>-</v>
      </c>
      <c r="CW45" s="95" t="str">
        <f t="shared" si="18"/>
        <v>-</v>
      </c>
      <c r="CX45" s="74" t="str">
        <f t="shared" si="52"/>
        <v>-</v>
      </c>
      <c r="CY45" s="74" t="str">
        <f t="shared" si="19"/>
        <v>-</v>
      </c>
      <c r="CZ45" s="100" t="str">
        <f t="shared" si="20"/>
        <v>-</v>
      </c>
      <c r="DA45" s="58" t="str">
        <f t="shared" si="53"/>
        <v>-</v>
      </c>
      <c r="DB45" s="58" t="str">
        <f t="shared" si="54"/>
        <v>-</v>
      </c>
      <c r="DC45" s="58" t="str">
        <f t="shared" si="55"/>
        <v>-</v>
      </c>
      <c r="DD45" s="58" t="str">
        <f t="shared" si="56"/>
        <v>-</v>
      </c>
      <c r="DH45" s="98" t="str">
        <f t="shared" si="57"/>
        <v>-</v>
      </c>
      <c r="DI45" s="98" t="str">
        <f t="shared" si="58"/>
        <v>-</v>
      </c>
      <c r="DJ45" s="74" t="str">
        <f t="shared" si="89"/>
        <v>-</v>
      </c>
      <c r="DK45" s="74" t="str">
        <f t="shared" si="89"/>
        <v>-</v>
      </c>
      <c r="DL45" s="100" t="str">
        <f t="shared" si="22"/>
        <v>-</v>
      </c>
      <c r="DM45" s="58" t="str">
        <f t="shared" si="60"/>
        <v>-</v>
      </c>
      <c r="DN45" s="58" t="str">
        <f t="shared" si="61"/>
        <v>-</v>
      </c>
      <c r="DO45" s="58" t="str">
        <f t="shared" si="62"/>
        <v>-</v>
      </c>
      <c r="DP45" s="58" t="str">
        <f t="shared" si="63"/>
        <v>-</v>
      </c>
      <c r="DQ45" s="100"/>
      <c r="DR45" s="100"/>
      <c r="DT45" s="98" t="str">
        <f t="shared" si="86"/>
        <v>-</v>
      </c>
      <c r="DU45" s="98" t="str">
        <f t="shared" si="64"/>
        <v>-</v>
      </c>
      <c r="DV45" s="74" t="str">
        <f t="shared" si="90"/>
        <v>-</v>
      </c>
      <c r="DW45" s="74" t="str">
        <f t="shared" si="90"/>
        <v>-</v>
      </c>
      <c r="DX45" s="100" t="str">
        <f t="shared" si="24"/>
        <v>-</v>
      </c>
      <c r="DY45" s="58" t="str">
        <f t="shared" si="66"/>
        <v>-</v>
      </c>
      <c r="DZ45" s="58" t="str">
        <f t="shared" si="67"/>
        <v>-</v>
      </c>
      <c r="EA45" s="58" t="str">
        <f t="shared" si="68"/>
        <v>-</v>
      </c>
      <c r="EB45" s="58" t="str">
        <f t="shared" si="69"/>
        <v>-</v>
      </c>
      <c r="EC45" s="100"/>
      <c r="ED45" s="100"/>
      <c r="EF45" s="98" t="str">
        <f t="shared" si="70"/>
        <v>-</v>
      </c>
      <c r="EG45" s="98" t="str">
        <f t="shared" si="71"/>
        <v>-</v>
      </c>
      <c r="EH45" s="74" t="str">
        <f t="shared" si="91"/>
        <v>-</v>
      </c>
      <c r="EI45" s="74" t="str">
        <f t="shared" si="91"/>
        <v>-</v>
      </c>
      <c r="EJ45" s="100" t="str">
        <f t="shared" si="26"/>
        <v>-</v>
      </c>
      <c r="EK45" s="58" t="str">
        <f t="shared" si="73"/>
        <v>-</v>
      </c>
      <c r="EL45" s="58" t="str">
        <f t="shared" si="74"/>
        <v>-</v>
      </c>
      <c r="EM45" s="58" t="str">
        <f t="shared" si="75"/>
        <v>-</v>
      </c>
      <c r="EN45" s="58" t="str">
        <f t="shared" si="76"/>
        <v>-</v>
      </c>
      <c r="EO45" s="100"/>
      <c r="EP45" s="100"/>
      <c r="ER45" s="79" t="str">
        <f t="shared" si="77"/>
        <v>-</v>
      </c>
      <c r="ES45" s="79" t="str">
        <f t="shared" si="78"/>
        <v>-</v>
      </c>
      <c r="ET45" s="79" t="str">
        <f t="shared" si="79"/>
        <v>-</v>
      </c>
      <c r="EU45" s="79" t="str">
        <f t="shared" si="80"/>
        <v>-</v>
      </c>
      <c r="EY45" s="74" t="str">
        <f>IF(E45=0,"-",LARGE(E6:E50,40))</f>
        <v>-</v>
      </c>
      <c r="EZ45" s="77" t="str">
        <f t="shared" si="81"/>
        <v>-</v>
      </c>
      <c r="FB45" s="77" t="str">
        <f t="shared" si="83"/>
        <v>-</v>
      </c>
      <c r="FC45" s="77" t="str">
        <f>IF(FB45="-","-",SMALL(FB6:FB50,40))</f>
        <v>-</v>
      </c>
    </row>
    <row r="46" spans="1:159" s="77" customFormat="1">
      <c r="C46" s="95">
        <f>'1'!R43</f>
        <v>0</v>
      </c>
      <c r="D46" s="96">
        <f>'1'!J43</f>
        <v>0</v>
      </c>
      <c r="E46" s="96">
        <f>'1'!K43</f>
        <v>0</v>
      </c>
      <c r="L46" s="96">
        <f>'2'!R43</f>
        <v>0</v>
      </c>
      <c r="M46" s="77">
        <f>'2'!J43</f>
        <v>0</v>
      </c>
      <c r="N46" s="74">
        <f>'2'!K43</f>
        <v>0</v>
      </c>
      <c r="Q46" s="74" t="s">
        <v>46</v>
      </c>
      <c r="T46" s="95" t="e">
        <f t="shared" si="95"/>
        <v>#DIV/0!</v>
      </c>
      <c r="AJ46" s="98" t="str">
        <f t="shared" si="27"/>
        <v>-</v>
      </c>
      <c r="AK46" s="98" t="str">
        <f t="shared" si="28"/>
        <v>-</v>
      </c>
      <c r="AL46" s="98" t="str">
        <f t="shared" si="0"/>
        <v>-</v>
      </c>
      <c r="AM46" s="98" t="str">
        <f t="shared" si="29"/>
        <v>-</v>
      </c>
      <c r="AN46" s="98" t="str">
        <f t="shared" si="30"/>
        <v>-</v>
      </c>
      <c r="AO46" s="98" t="str">
        <f t="shared" si="31"/>
        <v>-</v>
      </c>
      <c r="AP46" s="98" t="str">
        <f t="shared" si="32"/>
        <v>-</v>
      </c>
      <c r="AQ46" s="98" t="str">
        <f t="shared" si="33"/>
        <v>-</v>
      </c>
      <c r="AT46" s="103" t="e">
        <f t="shared" si="93"/>
        <v>#DIV/0!</v>
      </c>
      <c r="AU46" s="103" t="e">
        <f t="shared" si="93"/>
        <v>#DIV/0!</v>
      </c>
      <c r="AV46" s="103" t="e">
        <f t="shared" si="93"/>
        <v>#DIV/0!</v>
      </c>
      <c r="AW46" s="103" t="e">
        <f t="shared" si="93"/>
        <v>#DIV/0!</v>
      </c>
      <c r="AX46" s="74" t="str">
        <f t="shared" si="35"/>
        <v>-</v>
      </c>
      <c r="AY46" s="74">
        <f t="shared" si="36"/>
        <v>0</v>
      </c>
      <c r="AZ46" s="74">
        <f t="shared" si="37"/>
        <v>0</v>
      </c>
      <c r="BA46" s="98">
        <f t="shared" si="38"/>
        <v>0</v>
      </c>
      <c r="BB46" s="74">
        <f t="shared" si="1"/>
        <v>0</v>
      </c>
      <c r="BC46" s="74">
        <f t="shared" si="2"/>
        <v>0</v>
      </c>
      <c r="BG46" s="74">
        <f t="shared" si="39"/>
        <v>0</v>
      </c>
      <c r="BH46" s="74">
        <f t="shared" si="40"/>
        <v>0</v>
      </c>
      <c r="BI46" s="98">
        <f t="shared" si="41"/>
        <v>0</v>
      </c>
      <c r="BJ46" s="74">
        <f t="shared" si="3"/>
        <v>0</v>
      </c>
      <c r="BK46" s="74">
        <f t="shared" si="4"/>
        <v>0</v>
      </c>
      <c r="BN46" s="74">
        <f t="shared" si="42"/>
        <v>0</v>
      </c>
      <c r="BO46" s="74" t="str">
        <f t="shared" si="43"/>
        <v>-</v>
      </c>
      <c r="BP46" s="98" t="str">
        <f t="shared" si="44"/>
        <v>-</v>
      </c>
      <c r="BQ46" s="98" t="str">
        <f t="shared" si="45"/>
        <v>-</v>
      </c>
      <c r="BR46" s="98" t="str">
        <f t="shared" si="5"/>
        <v>-</v>
      </c>
      <c r="BS46" s="98" t="str">
        <f t="shared" si="6"/>
        <v>-</v>
      </c>
      <c r="BT46" s="98" t="str">
        <f t="shared" si="7"/>
        <v>-</v>
      </c>
      <c r="BU46" s="98" t="str">
        <f t="shared" si="8"/>
        <v>-</v>
      </c>
      <c r="BV46" s="98" t="str">
        <f t="shared" si="9"/>
        <v>-</v>
      </c>
      <c r="BW46" s="98" t="str">
        <f t="shared" si="10"/>
        <v>-</v>
      </c>
      <c r="BZ46" s="103" t="e">
        <f t="shared" si="94"/>
        <v>#DIV/0!</v>
      </c>
      <c r="CA46" s="103" t="e">
        <f t="shared" si="94"/>
        <v>#DIV/0!</v>
      </c>
      <c r="CB46" s="103" t="e">
        <f t="shared" si="94"/>
        <v>#DIV/0!</v>
      </c>
      <c r="CC46" s="103" t="e">
        <f t="shared" si="94"/>
        <v>#DIV/0!</v>
      </c>
      <c r="CD46" s="74" t="str">
        <f t="shared" si="11"/>
        <v>-</v>
      </c>
      <c r="CE46" s="74">
        <f t="shared" si="47"/>
        <v>0</v>
      </c>
      <c r="CF46" s="74">
        <f t="shared" si="48"/>
        <v>0</v>
      </c>
      <c r="CG46" s="98">
        <f t="shared" si="49"/>
        <v>0</v>
      </c>
      <c r="CH46" s="74">
        <f t="shared" si="12"/>
        <v>0</v>
      </c>
      <c r="CI46" s="74">
        <f t="shared" si="13"/>
        <v>0</v>
      </c>
      <c r="CM46" s="74">
        <f t="shared" si="14"/>
        <v>0</v>
      </c>
      <c r="CN46" s="74">
        <f t="shared" si="50"/>
        <v>0</v>
      </c>
      <c r="CO46" s="98">
        <f t="shared" si="51"/>
        <v>0</v>
      </c>
      <c r="CP46" s="74">
        <f t="shared" si="15"/>
        <v>0</v>
      </c>
      <c r="CQ46" s="74">
        <f t="shared" si="16"/>
        <v>0</v>
      </c>
      <c r="CV46" s="98" t="str">
        <f t="shared" si="17"/>
        <v>-</v>
      </c>
      <c r="CW46" s="95" t="str">
        <f t="shared" si="18"/>
        <v>-</v>
      </c>
      <c r="CX46" s="74" t="str">
        <f t="shared" si="52"/>
        <v>-</v>
      </c>
      <c r="CY46" s="74" t="str">
        <f t="shared" si="19"/>
        <v>-</v>
      </c>
      <c r="CZ46" s="100" t="str">
        <f t="shared" si="20"/>
        <v>-</v>
      </c>
      <c r="DA46" s="58" t="str">
        <f t="shared" si="53"/>
        <v>-</v>
      </c>
      <c r="DB46" s="58" t="str">
        <f t="shared" si="54"/>
        <v>-</v>
      </c>
      <c r="DC46" s="58" t="str">
        <f t="shared" si="55"/>
        <v>-</v>
      </c>
      <c r="DD46" s="58" t="str">
        <f t="shared" si="56"/>
        <v>-</v>
      </c>
      <c r="DH46" s="98" t="str">
        <f t="shared" si="57"/>
        <v>-</v>
      </c>
      <c r="DI46" s="98" t="str">
        <f t="shared" si="58"/>
        <v>-</v>
      </c>
      <c r="DJ46" s="74" t="str">
        <f t="shared" si="89"/>
        <v>-</v>
      </c>
      <c r="DK46" s="74" t="str">
        <f t="shared" si="89"/>
        <v>-</v>
      </c>
      <c r="DL46" s="100" t="str">
        <f t="shared" si="22"/>
        <v>-</v>
      </c>
      <c r="DM46" s="58" t="str">
        <f t="shared" si="60"/>
        <v>-</v>
      </c>
      <c r="DN46" s="58" t="str">
        <f t="shared" si="61"/>
        <v>-</v>
      </c>
      <c r="DO46" s="58" t="str">
        <f t="shared" si="62"/>
        <v>-</v>
      </c>
      <c r="DP46" s="58" t="str">
        <f t="shared" si="63"/>
        <v>-</v>
      </c>
      <c r="DQ46" s="100"/>
      <c r="DR46" s="100"/>
      <c r="DT46" s="98" t="str">
        <f t="shared" si="86"/>
        <v>-</v>
      </c>
      <c r="DU46" s="98" t="str">
        <f t="shared" si="64"/>
        <v>-</v>
      </c>
      <c r="DV46" s="74" t="str">
        <f t="shared" si="90"/>
        <v>-</v>
      </c>
      <c r="DW46" s="74" t="str">
        <f t="shared" si="90"/>
        <v>-</v>
      </c>
      <c r="DX46" s="100" t="str">
        <f t="shared" si="24"/>
        <v>-</v>
      </c>
      <c r="DY46" s="58" t="str">
        <f t="shared" si="66"/>
        <v>-</v>
      </c>
      <c r="DZ46" s="58" t="str">
        <f t="shared" si="67"/>
        <v>-</v>
      </c>
      <c r="EA46" s="58" t="str">
        <f t="shared" si="68"/>
        <v>-</v>
      </c>
      <c r="EB46" s="58" t="str">
        <f t="shared" si="69"/>
        <v>-</v>
      </c>
      <c r="EC46" s="100"/>
      <c r="ED46" s="100"/>
      <c r="EF46" s="98" t="str">
        <f t="shared" si="70"/>
        <v>-</v>
      </c>
      <c r="EG46" s="98" t="str">
        <f t="shared" si="71"/>
        <v>-</v>
      </c>
      <c r="EH46" s="74" t="str">
        <f t="shared" si="91"/>
        <v>-</v>
      </c>
      <c r="EI46" s="74" t="str">
        <f t="shared" si="91"/>
        <v>-</v>
      </c>
      <c r="EJ46" s="100" t="str">
        <f t="shared" si="26"/>
        <v>-</v>
      </c>
      <c r="EK46" s="58" t="str">
        <f t="shared" si="73"/>
        <v>-</v>
      </c>
      <c r="EL46" s="58" t="str">
        <f t="shared" si="74"/>
        <v>-</v>
      </c>
      <c r="EM46" s="58" t="str">
        <f t="shared" si="75"/>
        <v>-</v>
      </c>
      <c r="EN46" s="58" t="str">
        <f t="shared" si="76"/>
        <v>-</v>
      </c>
      <c r="EO46" s="100"/>
      <c r="EP46" s="100"/>
      <c r="ER46" s="79" t="str">
        <f t="shared" si="77"/>
        <v>-</v>
      </c>
      <c r="ES46" s="79" t="str">
        <f t="shared" si="78"/>
        <v>-</v>
      </c>
      <c r="ET46" s="79" t="str">
        <f t="shared" si="79"/>
        <v>-</v>
      </c>
      <c r="EU46" s="79" t="str">
        <f t="shared" si="80"/>
        <v>-</v>
      </c>
      <c r="EY46" s="74" t="str">
        <f>IF(E46=0,"-",LARGE(E6:E50,41))</f>
        <v>-</v>
      </c>
      <c r="EZ46" s="77" t="str">
        <f t="shared" si="81"/>
        <v>-</v>
      </c>
      <c r="FB46" s="77" t="str">
        <f t="shared" si="83"/>
        <v>-</v>
      </c>
      <c r="FC46" s="77" t="str">
        <f>IF(FB46="-","-",SMALL(FB6:FB50,41))</f>
        <v>-</v>
      </c>
    </row>
    <row r="47" spans="1:159" s="77" customFormat="1">
      <c r="C47" s="95">
        <f>'1'!R44</f>
        <v>0</v>
      </c>
      <c r="D47" s="96">
        <f>'1'!J44</f>
        <v>0</v>
      </c>
      <c r="E47" s="96">
        <f>'1'!K44</f>
        <v>0</v>
      </c>
      <c r="L47" s="96">
        <f>'2'!R44</f>
        <v>0</v>
      </c>
      <c r="M47" s="77">
        <f>'2'!J44</f>
        <v>0</v>
      </c>
      <c r="N47" s="74">
        <f>'2'!K44</f>
        <v>0</v>
      </c>
      <c r="Q47" s="74" t="s">
        <v>47</v>
      </c>
      <c r="T47" s="95" t="e">
        <f t="shared" si="95"/>
        <v>#DIV/0!</v>
      </c>
      <c r="AJ47" s="98" t="str">
        <f t="shared" si="27"/>
        <v>-</v>
      </c>
      <c r="AK47" s="98" t="str">
        <f t="shared" si="28"/>
        <v>-</v>
      </c>
      <c r="AL47" s="98" t="str">
        <f t="shared" si="0"/>
        <v>-</v>
      </c>
      <c r="AM47" s="98" t="str">
        <f t="shared" si="29"/>
        <v>-</v>
      </c>
      <c r="AN47" s="98" t="str">
        <f t="shared" si="30"/>
        <v>-</v>
      </c>
      <c r="AO47" s="98" t="str">
        <f t="shared" si="31"/>
        <v>-</v>
      </c>
      <c r="AP47" s="98" t="str">
        <f t="shared" si="32"/>
        <v>-</v>
      </c>
      <c r="AQ47" s="98" t="str">
        <f t="shared" si="33"/>
        <v>-</v>
      </c>
      <c r="AT47" s="103" t="e">
        <f t="shared" si="93"/>
        <v>#DIV/0!</v>
      </c>
      <c r="AU47" s="103" t="e">
        <f t="shared" si="93"/>
        <v>#DIV/0!</v>
      </c>
      <c r="AV47" s="103" t="e">
        <f t="shared" si="93"/>
        <v>#DIV/0!</v>
      </c>
      <c r="AW47" s="103" t="e">
        <f t="shared" si="93"/>
        <v>#DIV/0!</v>
      </c>
      <c r="AX47" s="74" t="str">
        <f t="shared" si="35"/>
        <v>-</v>
      </c>
      <c r="AY47" s="74">
        <f t="shared" si="36"/>
        <v>0</v>
      </c>
      <c r="AZ47" s="74">
        <f t="shared" si="37"/>
        <v>0</v>
      </c>
      <c r="BA47" s="98">
        <f t="shared" si="38"/>
        <v>0</v>
      </c>
      <c r="BB47" s="74">
        <f t="shared" si="1"/>
        <v>0</v>
      </c>
      <c r="BC47" s="74">
        <f t="shared" si="2"/>
        <v>0</v>
      </c>
      <c r="BG47" s="74">
        <f t="shared" si="39"/>
        <v>0</v>
      </c>
      <c r="BH47" s="74">
        <f t="shared" si="40"/>
        <v>0</v>
      </c>
      <c r="BI47" s="98">
        <f t="shared" si="41"/>
        <v>0</v>
      </c>
      <c r="BJ47" s="74">
        <f t="shared" si="3"/>
        <v>0</v>
      </c>
      <c r="BK47" s="74">
        <f t="shared" si="4"/>
        <v>0</v>
      </c>
      <c r="BN47" s="74">
        <f t="shared" si="42"/>
        <v>0</v>
      </c>
      <c r="BO47" s="74" t="str">
        <f t="shared" si="43"/>
        <v>-</v>
      </c>
      <c r="BP47" s="98" t="str">
        <f t="shared" si="44"/>
        <v>-</v>
      </c>
      <c r="BQ47" s="98" t="str">
        <f t="shared" si="45"/>
        <v>-</v>
      </c>
      <c r="BR47" s="98" t="str">
        <f t="shared" si="5"/>
        <v>-</v>
      </c>
      <c r="BS47" s="98" t="str">
        <f t="shared" si="6"/>
        <v>-</v>
      </c>
      <c r="BT47" s="98" t="str">
        <f t="shared" si="7"/>
        <v>-</v>
      </c>
      <c r="BU47" s="98" t="str">
        <f t="shared" si="8"/>
        <v>-</v>
      </c>
      <c r="BV47" s="98" t="str">
        <f t="shared" si="9"/>
        <v>-</v>
      </c>
      <c r="BW47" s="98" t="str">
        <f t="shared" si="10"/>
        <v>-</v>
      </c>
      <c r="BZ47" s="103" t="e">
        <f t="shared" si="94"/>
        <v>#DIV/0!</v>
      </c>
      <c r="CA47" s="103" t="e">
        <f t="shared" si="94"/>
        <v>#DIV/0!</v>
      </c>
      <c r="CB47" s="103" t="e">
        <f t="shared" si="94"/>
        <v>#DIV/0!</v>
      </c>
      <c r="CC47" s="103" t="e">
        <f t="shared" si="94"/>
        <v>#DIV/0!</v>
      </c>
      <c r="CD47" s="74" t="str">
        <f t="shared" si="11"/>
        <v>-</v>
      </c>
      <c r="CE47" s="74">
        <f t="shared" si="47"/>
        <v>0</v>
      </c>
      <c r="CF47" s="74">
        <f t="shared" si="48"/>
        <v>0</v>
      </c>
      <c r="CG47" s="98">
        <f t="shared" si="49"/>
        <v>0</v>
      </c>
      <c r="CH47" s="74">
        <f t="shared" si="12"/>
        <v>0</v>
      </c>
      <c r="CI47" s="74">
        <f t="shared" si="13"/>
        <v>0</v>
      </c>
      <c r="CM47" s="74">
        <f t="shared" si="14"/>
        <v>0</v>
      </c>
      <c r="CN47" s="74">
        <f t="shared" si="50"/>
        <v>0</v>
      </c>
      <c r="CO47" s="98">
        <f t="shared" si="51"/>
        <v>0</v>
      </c>
      <c r="CP47" s="74">
        <f t="shared" si="15"/>
        <v>0</v>
      </c>
      <c r="CQ47" s="74">
        <f t="shared" si="16"/>
        <v>0</v>
      </c>
      <c r="CV47" s="98" t="str">
        <f t="shared" si="17"/>
        <v>-</v>
      </c>
      <c r="CW47" s="95" t="str">
        <f t="shared" si="18"/>
        <v>-</v>
      </c>
      <c r="CX47" s="74" t="str">
        <f t="shared" si="52"/>
        <v>-</v>
      </c>
      <c r="CY47" s="74" t="str">
        <f t="shared" si="19"/>
        <v>-</v>
      </c>
      <c r="CZ47" s="100" t="str">
        <f t="shared" si="20"/>
        <v>-</v>
      </c>
      <c r="DA47" s="58" t="str">
        <f t="shared" si="53"/>
        <v>-</v>
      </c>
      <c r="DB47" s="58" t="str">
        <f t="shared" si="54"/>
        <v>-</v>
      </c>
      <c r="DC47" s="58" t="str">
        <f t="shared" si="55"/>
        <v>-</v>
      </c>
      <c r="DD47" s="58" t="str">
        <f t="shared" si="56"/>
        <v>-</v>
      </c>
      <c r="DH47" s="98" t="str">
        <f t="shared" si="57"/>
        <v>-</v>
      </c>
      <c r="DI47" s="98" t="str">
        <f t="shared" si="58"/>
        <v>-</v>
      </c>
      <c r="DJ47" s="74" t="str">
        <f t="shared" si="89"/>
        <v>-</v>
      </c>
      <c r="DK47" s="74" t="str">
        <f t="shared" si="89"/>
        <v>-</v>
      </c>
      <c r="DL47" s="100" t="str">
        <f t="shared" si="22"/>
        <v>-</v>
      </c>
      <c r="DM47" s="58" t="str">
        <f t="shared" si="60"/>
        <v>-</v>
      </c>
      <c r="DN47" s="58" t="str">
        <f t="shared" si="61"/>
        <v>-</v>
      </c>
      <c r="DO47" s="58" t="str">
        <f t="shared" si="62"/>
        <v>-</v>
      </c>
      <c r="DP47" s="58" t="str">
        <f t="shared" si="63"/>
        <v>-</v>
      </c>
      <c r="DQ47" s="100"/>
      <c r="DR47" s="100"/>
      <c r="DT47" s="98" t="str">
        <f t="shared" si="86"/>
        <v>-</v>
      </c>
      <c r="DU47" s="98" t="str">
        <f t="shared" si="64"/>
        <v>-</v>
      </c>
      <c r="DV47" s="74" t="str">
        <f t="shared" si="90"/>
        <v>-</v>
      </c>
      <c r="DW47" s="74" t="str">
        <f t="shared" si="90"/>
        <v>-</v>
      </c>
      <c r="DX47" s="100" t="str">
        <f t="shared" si="24"/>
        <v>-</v>
      </c>
      <c r="DY47" s="58" t="str">
        <f t="shared" si="66"/>
        <v>-</v>
      </c>
      <c r="DZ47" s="58" t="str">
        <f t="shared" si="67"/>
        <v>-</v>
      </c>
      <c r="EA47" s="58" t="str">
        <f t="shared" si="68"/>
        <v>-</v>
      </c>
      <c r="EB47" s="58" t="str">
        <f t="shared" si="69"/>
        <v>-</v>
      </c>
      <c r="EC47" s="100"/>
      <c r="ED47" s="100"/>
      <c r="EF47" s="98" t="str">
        <f t="shared" si="70"/>
        <v>-</v>
      </c>
      <c r="EG47" s="98" t="str">
        <f t="shared" si="71"/>
        <v>-</v>
      </c>
      <c r="EH47" s="74" t="str">
        <f t="shared" si="91"/>
        <v>-</v>
      </c>
      <c r="EI47" s="74" t="str">
        <f t="shared" si="91"/>
        <v>-</v>
      </c>
      <c r="EJ47" s="100" t="str">
        <f t="shared" si="26"/>
        <v>-</v>
      </c>
      <c r="EK47" s="58" t="str">
        <f t="shared" si="73"/>
        <v>-</v>
      </c>
      <c r="EL47" s="58" t="str">
        <f t="shared" si="74"/>
        <v>-</v>
      </c>
      <c r="EM47" s="58" t="str">
        <f t="shared" si="75"/>
        <v>-</v>
      </c>
      <c r="EN47" s="58" t="str">
        <f t="shared" si="76"/>
        <v>-</v>
      </c>
      <c r="EO47" s="100"/>
      <c r="EP47" s="100"/>
      <c r="ER47" s="79" t="str">
        <f t="shared" si="77"/>
        <v>-</v>
      </c>
      <c r="ES47" s="79" t="str">
        <f t="shared" si="78"/>
        <v>-</v>
      </c>
      <c r="ET47" s="79" t="str">
        <f t="shared" si="79"/>
        <v>-</v>
      </c>
      <c r="EU47" s="79" t="str">
        <f t="shared" si="80"/>
        <v>-</v>
      </c>
      <c r="EY47" s="74" t="str">
        <f>IF(E47=0,"-",LARGE(E6:E50,42))</f>
        <v>-</v>
      </c>
      <c r="EZ47" s="77" t="str">
        <f t="shared" si="81"/>
        <v>-</v>
      </c>
      <c r="FB47" s="77" t="str">
        <f t="shared" si="83"/>
        <v>-</v>
      </c>
      <c r="FC47" s="77" t="str">
        <f>IF(FB47="-","-",SMALL(FB6:FB50,42))</f>
        <v>-</v>
      </c>
    </row>
    <row r="48" spans="1:159" s="77" customFormat="1">
      <c r="C48" s="95">
        <f>'1'!R45</f>
        <v>0</v>
      </c>
      <c r="D48" s="96">
        <f>'1'!J45</f>
        <v>0</v>
      </c>
      <c r="E48" s="96">
        <f>'1'!K45</f>
        <v>0</v>
      </c>
      <c r="L48" s="96">
        <f>'2'!R45</f>
        <v>0</v>
      </c>
      <c r="M48" s="77">
        <f>'2'!J45</f>
        <v>0</v>
      </c>
      <c r="N48" s="74">
        <f>'2'!K45</f>
        <v>0</v>
      </c>
      <c r="AJ48" s="98" t="str">
        <f t="shared" si="27"/>
        <v>-</v>
      </c>
      <c r="AK48" s="98" t="str">
        <f t="shared" si="28"/>
        <v>-</v>
      </c>
      <c r="AL48" s="98" t="str">
        <f t="shared" si="0"/>
        <v>-</v>
      </c>
      <c r="AM48" s="98" t="str">
        <f t="shared" si="29"/>
        <v>-</v>
      </c>
      <c r="AN48" s="98" t="str">
        <f t="shared" si="30"/>
        <v>-</v>
      </c>
      <c r="AO48" s="98" t="str">
        <f t="shared" si="31"/>
        <v>-</v>
      </c>
      <c r="AP48" s="98" t="str">
        <f t="shared" si="32"/>
        <v>-</v>
      </c>
      <c r="AQ48" s="98" t="str">
        <f t="shared" si="33"/>
        <v>-</v>
      </c>
      <c r="AT48" s="103" t="e">
        <f t="shared" si="93"/>
        <v>#DIV/0!</v>
      </c>
      <c r="AU48" s="103" t="e">
        <f t="shared" si="93"/>
        <v>#DIV/0!</v>
      </c>
      <c r="AV48" s="103" t="e">
        <f t="shared" si="93"/>
        <v>#DIV/0!</v>
      </c>
      <c r="AW48" s="103" t="e">
        <f t="shared" si="93"/>
        <v>#DIV/0!</v>
      </c>
      <c r="AX48" s="74" t="str">
        <f t="shared" si="35"/>
        <v>-</v>
      </c>
      <c r="AY48" s="74">
        <f t="shared" si="36"/>
        <v>0</v>
      </c>
      <c r="AZ48" s="74">
        <f t="shared" si="37"/>
        <v>0</v>
      </c>
      <c r="BA48" s="98">
        <f t="shared" si="38"/>
        <v>0</v>
      </c>
      <c r="BB48" s="74">
        <f t="shared" si="1"/>
        <v>0</v>
      </c>
      <c r="BC48" s="74">
        <f t="shared" si="2"/>
        <v>0</v>
      </c>
      <c r="BG48" s="74">
        <f t="shared" si="39"/>
        <v>0</v>
      </c>
      <c r="BH48" s="74">
        <f t="shared" si="40"/>
        <v>0</v>
      </c>
      <c r="BI48" s="98">
        <f t="shared" si="41"/>
        <v>0</v>
      </c>
      <c r="BJ48" s="74">
        <f t="shared" si="3"/>
        <v>0</v>
      </c>
      <c r="BK48" s="74">
        <f t="shared" si="4"/>
        <v>0</v>
      </c>
      <c r="BN48" s="74">
        <f t="shared" si="42"/>
        <v>0</v>
      </c>
      <c r="BO48" s="74" t="str">
        <f t="shared" si="43"/>
        <v>-</v>
      </c>
      <c r="BP48" s="98" t="str">
        <f t="shared" si="44"/>
        <v>-</v>
      </c>
      <c r="BQ48" s="98" t="str">
        <f t="shared" si="45"/>
        <v>-</v>
      </c>
      <c r="BR48" s="98" t="str">
        <f t="shared" si="5"/>
        <v>-</v>
      </c>
      <c r="BS48" s="98" t="str">
        <f t="shared" si="6"/>
        <v>-</v>
      </c>
      <c r="BT48" s="98" t="str">
        <f t="shared" si="7"/>
        <v>-</v>
      </c>
      <c r="BU48" s="98" t="str">
        <f t="shared" si="8"/>
        <v>-</v>
      </c>
      <c r="BV48" s="98" t="str">
        <f t="shared" si="9"/>
        <v>-</v>
      </c>
      <c r="BW48" s="98" t="str">
        <f t="shared" si="10"/>
        <v>-</v>
      </c>
      <c r="BZ48" s="103" t="e">
        <f t="shared" si="94"/>
        <v>#DIV/0!</v>
      </c>
      <c r="CA48" s="103" t="e">
        <f t="shared" si="94"/>
        <v>#DIV/0!</v>
      </c>
      <c r="CB48" s="103" t="e">
        <f t="shared" si="94"/>
        <v>#DIV/0!</v>
      </c>
      <c r="CC48" s="103" t="e">
        <f t="shared" si="94"/>
        <v>#DIV/0!</v>
      </c>
      <c r="CD48" s="74" t="str">
        <f t="shared" si="11"/>
        <v>-</v>
      </c>
      <c r="CE48" s="74">
        <f t="shared" si="47"/>
        <v>0</v>
      </c>
      <c r="CF48" s="74">
        <f t="shared" si="48"/>
        <v>0</v>
      </c>
      <c r="CG48" s="98">
        <f t="shared" si="49"/>
        <v>0</v>
      </c>
      <c r="CH48" s="74">
        <f t="shared" si="12"/>
        <v>0</v>
      </c>
      <c r="CI48" s="74">
        <f t="shared" si="13"/>
        <v>0</v>
      </c>
      <c r="CM48" s="74">
        <f t="shared" si="14"/>
        <v>0</v>
      </c>
      <c r="CN48" s="74">
        <f t="shared" si="50"/>
        <v>0</v>
      </c>
      <c r="CO48" s="98">
        <f t="shared" si="51"/>
        <v>0</v>
      </c>
      <c r="CP48" s="74">
        <f t="shared" si="15"/>
        <v>0</v>
      </c>
      <c r="CQ48" s="74">
        <f t="shared" si="16"/>
        <v>0</v>
      </c>
      <c r="CV48" s="98" t="str">
        <f t="shared" si="17"/>
        <v>-</v>
      </c>
      <c r="CW48" s="95" t="str">
        <f t="shared" si="18"/>
        <v>-</v>
      </c>
      <c r="CX48" s="74" t="str">
        <f t="shared" si="52"/>
        <v>-</v>
      </c>
      <c r="CY48" s="74" t="str">
        <f t="shared" si="19"/>
        <v>-</v>
      </c>
      <c r="CZ48" s="100" t="str">
        <f t="shared" si="20"/>
        <v>-</v>
      </c>
      <c r="DA48" s="58" t="str">
        <f t="shared" si="53"/>
        <v>-</v>
      </c>
      <c r="DB48" s="58" t="str">
        <f t="shared" si="54"/>
        <v>-</v>
      </c>
      <c r="DC48" s="58" t="str">
        <f t="shared" si="55"/>
        <v>-</v>
      </c>
      <c r="DD48" s="58" t="str">
        <f t="shared" si="56"/>
        <v>-</v>
      </c>
      <c r="DH48" s="98" t="str">
        <f t="shared" si="57"/>
        <v>-</v>
      </c>
      <c r="DI48" s="98" t="str">
        <f t="shared" si="58"/>
        <v>-</v>
      </c>
      <c r="DJ48" s="74" t="str">
        <f t="shared" si="89"/>
        <v>-</v>
      </c>
      <c r="DK48" s="74" t="str">
        <f t="shared" si="89"/>
        <v>-</v>
      </c>
      <c r="DL48" s="100" t="str">
        <f t="shared" si="22"/>
        <v>-</v>
      </c>
      <c r="DM48" s="58" t="str">
        <f t="shared" si="60"/>
        <v>-</v>
      </c>
      <c r="DN48" s="58" t="str">
        <f t="shared" si="61"/>
        <v>-</v>
      </c>
      <c r="DO48" s="58" t="str">
        <f t="shared" si="62"/>
        <v>-</v>
      </c>
      <c r="DP48" s="58" t="str">
        <f t="shared" si="63"/>
        <v>-</v>
      </c>
      <c r="DQ48" s="100"/>
      <c r="DR48" s="100"/>
      <c r="DT48" s="98" t="str">
        <f t="shared" si="86"/>
        <v>-</v>
      </c>
      <c r="DU48" s="98" t="str">
        <f t="shared" si="64"/>
        <v>-</v>
      </c>
      <c r="DV48" s="74" t="str">
        <f t="shared" si="90"/>
        <v>-</v>
      </c>
      <c r="DW48" s="74" t="str">
        <f t="shared" si="90"/>
        <v>-</v>
      </c>
      <c r="DX48" s="100" t="str">
        <f t="shared" si="24"/>
        <v>-</v>
      </c>
      <c r="DY48" s="58" t="str">
        <f t="shared" si="66"/>
        <v>-</v>
      </c>
      <c r="DZ48" s="58" t="str">
        <f t="shared" si="67"/>
        <v>-</v>
      </c>
      <c r="EA48" s="58" t="str">
        <f t="shared" si="68"/>
        <v>-</v>
      </c>
      <c r="EB48" s="58" t="str">
        <f t="shared" si="69"/>
        <v>-</v>
      </c>
      <c r="EC48" s="100"/>
      <c r="ED48" s="100"/>
      <c r="EF48" s="98" t="str">
        <f t="shared" si="70"/>
        <v>-</v>
      </c>
      <c r="EG48" s="98" t="str">
        <f t="shared" si="71"/>
        <v>-</v>
      </c>
      <c r="EH48" s="74" t="str">
        <f t="shared" si="91"/>
        <v>-</v>
      </c>
      <c r="EI48" s="74" t="str">
        <f t="shared" si="91"/>
        <v>-</v>
      </c>
      <c r="EJ48" s="100" t="str">
        <f t="shared" si="26"/>
        <v>-</v>
      </c>
      <c r="EK48" s="58" t="str">
        <f t="shared" si="73"/>
        <v>-</v>
      </c>
      <c r="EL48" s="58" t="str">
        <f t="shared" si="74"/>
        <v>-</v>
      </c>
      <c r="EM48" s="58" t="str">
        <f t="shared" si="75"/>
        <v>-</v>
      </c>
      <c r="EN48" s="58" t="str">
        <f t="shared" si="76"/>
        <v>-</v>
      </c>
      <c r="EO48" s="100"/>
      <c r="EP48" s="100"/>
      <c r="ER48" s="79" t="str">
        <f t="shared" si="77"/>
        <v>-</v>
      </c>
      <c r="ES48" s="79" t="str">
        <f t="shared" si="78"/>
        <v>-</v>
      </c>
      <c r="ET48" s="79" t="str">
        <f t="shared" si="79"/>
        <v>-</v>
      </c>
      <c r="EU48" s="79" t="str">
        <f t="shared" si="80"/>
        <v>-</v>
      </c>
      <c r="EY48" s="74" t="str">
        <f>IF(E48=0,"-",LARGE(E6:E50,43))</f>
        <v>-</v>
      </c>
      <c r="EZ48" s="77" t="str">
        <f t="shared" si="81"/>
        <v>-</v>
      </c>
      <c r="FB48" s="77" t="str">
        <f t="shared" si="83"/>
        <v>-</v>
      </c>
      <c r="FC48" s="77" t="str">
        <f>IF(FB48="-","-",SMALL(FB6:FB50,43))</f>
        <v>-</v>
      </c>
    </row>
    <row r="49" spans="3:159" s="77" customFormat="1">
      <c r="C49" s="95">
        <f>'1'!R46</f>
        <v>0</v>
      </c>
      <c r="D49" s="96">
        <f>'1'!J46</f>
        <v>0</v>
      </c>
      <c r="E49" s="96">
        <f>'1'!K46</f>
        <v>0</v>
      </c>
      <c r="L49" s="96">
        <f>'2'!R46</f>
        <v>0</v>
      </c>
      <c r="M49" s="77">
        <f>'2'!J46</f>
        <v>0</v>
      </c>
      <c r="N49" s="74">
        <f>'2'!K46</f>
        <v>0</v>
      </c>
      <c r="AJ49" s="98" t="str">
        <f t="shared" si="27"/>
        <v>-</v>
      </c>
      <c r="AK49" s="98" t="str">
        <f t="shared" si="28"/>
        <v>-</v>
      </c>
      <c r="AL49" s="98" t="str">
        <f t="shared" si="0"/>
        <v>-</v>
      </c>
      <c r="AM49" s="98" t="str">
        <f t="shared" si="29"/>
        <v>-</v>
      </c>
      <c r="AN49" s="98" t="str">
        <f t="shared" si="30"/>
        <v>-</v>
      </c>
      <c r="AO49" s="98" t="str">
        <f t="shared" si="31"/>
        <v>-</v>
      </c>
      <c r="AP49" s="98" t="str">
        <f t="shared" si="32"/>
        <v>-</v>
      </c>
      <c r="AQ49" s="98" t="str">
        <f t="shared" si="33"/>
        <v>-</v>
      </c>
      <c r="AT49" s="103" t="e">
        <f t="shared" si="93"/>
        <v>#DIV/0!</v>
      </c>
      <c r="AU49" s="103" t="e">
        <f t="shared" si="93"/>
        <v>#DIV/0!</v>
      </c>
      <c r="AV49" s="103" t="e">
        <f t="shared" si="93"/>
        <v>#DIV/0!</v>
      </c>
      <c r="AW49" s="103" t="e">
        <f t="shared" si="93"/>
        <v>#DIV/0!</v>
      </c>
      <c r="AX49" s="74" t="str">
        <f t="shared" si="35"/>
        <v>-</v>
      </c>
      <c r="AY49" s="74">
        <f t="shared" si="36"/>
        <v>0</v>
      </c>
      <c r="AZ49" s="74">
        <f t="shared" si="37"/>
        <v>0</v>
      </c>
      <c r="BA49" s="98">
        <f t="shared" si="38"/>
        <v>0</v>
      </c>
      <c r="BB49" s="74">
        <f t="shared" si="1"/>
        <v>0</v>
      </c>
      <c r="BC49" s="74">
        <f t="shared" si="2"/>
        <v>0</v>
      </c>
      <c r="BG49" s="74">
        <f t="shared" si="39"/>
        <v>0</v>
      </c>
      <c r="BH49" s="74">
        <f t="shared" si="40"/>
        <v>0</v>
      </c>
      <c r="BI49" s="98">
        <f t="shared" si="41"/>
        <v>0</v>
      </c>
      <c r="BJ49" s="74">
        <f t="shared" si="3"/>
        <v>0</v>
      </c>
      <c r="BK49" s="74">
        <f t="shared" si="4"/>
        <v>0</v>
      </c>
      <c r="BN49" s="74">
        <f t="shared" si="42"/>
        <v>0</v>
      </c>
      <c r="BO49" s="74" t="str">
        <f t="shared" si="43"/>
        <v>-</v>
      </c>
      <c r="BP49" s="98" t="str">
        <f t="shared" si="44"/>
        <v>-</v>
      </c>
      <c r="BQ49" s="98" t="str">
        <f t="shared" si="45"/>
        <v>-</v>
      </c>
      <c r="BR49" s="98" t="str">
        <f t="shared" si="5"/>
        <v>-</v>
      </c>
      <c r="BS49" s="98" t="str">
        <f t="shared" si="6"/>
        <v>-</v>
      </c>
      <c r="BT49" s="98" t="str">
        <f t="shared" si="7"/>
        <v>-</v>
      </c>
      <c r="BU49" s="98" t="str">
        <f t="shared" si="8"/>
        <v>-</v>
      </c>
      <c r="BV49" s="98" t="str">
        <f t="shared" si="9"/>
        <v>-</v>
      </c>
      <c r="BW49" s="98" t="str">
        <f t="shared" si="10"/>
        <v>-</v>
      </c>
      <c r="BZ49" s="103" t="e">
        <f t="shared" si="94"/>
        <v>#DIV/0!</v>
      </c>
      <c r="CA49" s="103" t="e">
        <f t="shared" si="94"/>
        <v>#DIV/0!</v>
      </c>
      <c r="CB49" s="103" t="e">
        <f t="shared" si="94"/>
        <v>#DIV/0!</v>
      </c>
      <c r="CC49" s="103" t="e">
        <f t="shared" si="94"/>
        <v>#DIV/0!</v>
      </c>
      <c r="CD49" s="74" t="str">
        <f t="shared" si="11"/>
        <v>-</v>
      </c>
      <c r="CE49" s="74">
        <f t="shared" si="47"/>
        <v>0</v>
      </c>
      <c r="CF49" s="74">
        <f t="shared" si="48"/>
        <v>0</v>
      </c>
      <c r="CG49" s="98">
        <f t="shared" si="49"/>
        <v>0</v>
      </c>
      <c r="CH49" s="74">
        <f t="shared" si="12"/>
        <v>0</v>
      </c>
      <c r="CI49" s="74">
        <f t="shared" si="13"/>
        <v>0</v>
      </c>
      <c r="CM49" s="74">
        <f t="shared" si="14"/>
        <v>0</v>
      </c>
      <c r="CN49" s="74">
        <f t="shared" si="50"/>
        <v>0</v>
      </c>
      <c r="CO49" s="98">
        <f t="shared" si="51"/>
        <v>0</v>
      </c>
      <c r="CP49" s="74">
        <f t="shared" si="15"/>
        <v>0</v>
      </c>
      <c r="CQ49" s="74">
        <f t="shared" si="16"/>
        <v>0</v>
      </c>
      <c r="CV49" s="98" t="str">
        <f t="shared" si="17"/>
        <v>-</v>
      </c>
      <c r="CW49" s="95" t="str">
        <f t="shared" si="18"/>
        <v>-</v>
      </c>
      <c r="CX49" s="74" t="str">
        <f t="shared" si="52"/>
        <v>-</v>
      </c>
      <c r="CY49" s="74" t="str">
        <f t="shared" si="19"/>
        <v>-</v>
      </c>
      <c r="CZ49" s="100" t="str">
        <f t="shared" si="20"/>
        <v>-</v>
      </c>
      <c r="DA49" s="58" t="str">
        <f t="shared" si="53"/>
        <v>-</v>
      </c>
      <c r="DB49" s="58" t="str">
        <f t="shared" si="54"/>
        <v>-</v>
      </c>
      <c r="DC49" s="58" t="str">
        <f t="shared" si="55"/>
        <v>-</v>
      </c>
      <c r="DD49" s="58" t="str">
        <f t="shared" si="56"/>
        <v>-</v>
      </c>
      <c r="DH49" s="98" t="str">
        <f t="shared" si="57"/>
        <v>-</v>
      </c>
      <c r="DI49" s="98" t="str">
        <f t="shared" si="58"/>
        <v>-</v>
      </c>
      <c r="DJ49" s="74" t="str">
        <f t="shared" si="89"/>
        <v>-</v>
      </c>
      <c r="DK49" s="74" t="str">
        <f t="shared" si="89"/>
        <v>-</v>
      </c>
      <c r="DL49" s="100" t="str">
        <f t="shared" si="22"/>
        <v>-</v>
      </c>
      <c r="DM49" s="58" t="str">
        <f t="shared" si="60"/>
        <v>-</v>
      </c>
      <c r="DN49" s="58" t="str">
        <f t="shared" si="61"/>
        <v>-</v>
      </c>
      <c r="DO49" s="58" t="str">
        <f t="shared" si="62"/>
        <v>-</v>
      </c>
      <c r="DP49" s="58" t="str">
        <f t="shared" si="63"/>
        <v>-</v>
      </c>
      <c r="DQ49" s="100"/>
      <c r="DR49" s="100"/>
      <c r="DT49" s="98" t="str">
        <f t="shared" si="86"/>
        <v>-</v>
      </c>
      <c r="DU49" s="98" t="str">
        <f t="shared" si="64"/>
        <v>-</v>
      </c>
      <c r="DV49" s="74" t="str">
        <f t="shared" si="90"/>
        <v>-</v>
      </c>
      <c r="DW49" s="74" t="str">
        <f t="shared" si="90"/>
        <v>-</v>
      </c>
      <c r="DX49" s="100" t="str">
        <f t="shared" si="24"/>
        <v>-</v>
      </c>
      <c r="DY49" s="58" t="str">
        <f t="shared" si="66"/>
        <v>-</v>
      </c>
      <c r="DZ49" s="58" t="str">
        <f t="shared" si="67"/>
        <v>-</v>
      </c>
      <c r="EA49" s="58" t="str">
        <f t="shared" si="68"/>
        <v>-</v>
      </c>
      <c r="EB49" s="58" t="str">
        <f t="shared" si="69"/>
        <v>-</v>
      </c>
      <c r="EC49" s="100"/>
      <c r="ED49" s="100"/>
      <c r="EF49" s="98" t="str">
        <f t="shared" si="70"/>
        <v>-</v>
      </c>
      <c r="EG49" s="98" t="str">
        <f t="shared" si="71"/>
        <v>-</v>
      </c>
      <c r="EH49" s="74" t="str">
        <f t="shared" si="91"/>
        <v>-</v>
      </c>
      <c r="EI49" s="74" t="str">
        <f t="shared" si="91"/>
        <v>-</v>
      </c>
      <c r="EJ49" s="100" t="str">
        <f t="shared" si="26"/>
        <v>-</v>
      </c>
      <c r="EK49" s="58" t="str">
        <f t="shared" si="73"/>
        <v>-</v>
      </c>
      <c r="EL49" s="58" t="str">
        <f t="shared" si="74"/>
        <v>-</v>
      </c>
      <c r="EM49" s="58" t="str">
        <f t="shared" si="75"/>
        <v>-</v>
      </c>
      <c r="EN49" s="58" t="str">
        <f t="shared" si="76"/>
        <v>-</v>
      </c>
      <c r="EO49" s="100"/>
      <c r="EP49" s="100"/>
      <c r="ER49" s="79" t="str">
        <f t="shared" si="77"/>
        <v>-</v>
      </c>
      <c r="ES49" s="79" t="str">
        <f t="shared" si="78"/>
        <v>-</v>
      </c>
      <c r="ET49" s="79" t="str">
        <f t="shared" si="79"/>
        <v>-</v>
      </c>
      <c r="EU49" s="79" t="str">
        <f t="shared" si="80"/>
        <v>-</v>
      </c>
      <c r="EY49" s="74" t="str">
        <f>IF(E49=0,"-",LARGE(E6:E50,44))</f>
        <v>-</v>
      </c>
      <c r="EZ49" s="77" t="str">
        <f t="shared" si="81"/>
        <v>-</v>
      </c>
      <c r="FB49" s="77" t="str">
        <f t="shared" si="83"/>
        <v>-</v>
      </c>
      <c r="FC49" s="77" t="str">
        <f>IF(FB49="-","-",SMALL(FB6:FB50,44))</f>
        <v>-</v>
      </c>
    </row>
    <row r="50" spans="3:159" s="77" customFormat="1">
      <c r="C50" s="95">
        <f>'1'!R47</f>
        <v>0</v>
      </c>
      <c r="D50" s="96">
        <f>'1'!J47</f>
        <v>0</v>
      </c>
      <c r="E50" s="96">
        <f>'1'!K47</f>
        <v>0</v>
      </c>
      <c r="L50" s="96">
        <f>'2'!R47</f>
        <v>0</v>
      </c>
      <c r="M50" s="77">
        <f>'2'!J47</f>
        <v>0</v>
      </c>
      <c r="N50" s="74">
        <f>'2'!K47</f>
        <v>0</v>
      </c>
      <c r="AJ50" s="98" t="str">
        <f t="shared" si="27"/>
        <v>-</v>
      </c>
      <c r="AK50" s="98" t="str">
        <f t="shared" si="28"/>
        <v>-</v>
      </c>
      <c r="AL50" s="98" t="str">
        <f t="shared" si="0"/>
        <v>-</v>
      </c>
      <c r="AM50" s="98" t="str">
        <f t="shared" si="29"/>
        <v>-</v>
      </c>
      <c r="AN50" s="98" t="str">
        <f t="shared" si="30"/>
        <v>-</v>
      </c>
      <c r="AO50" s="98" t="str">
        <f t="shared" si="31"/>
        <v>-</v>
      </c>
      <c r="AP50" s="98" t="str">
        <f t="shared" si="32"/>
        <v>-</v>
      </c>
      <c r="AQ50" s="98" t="str">
        <f t="shared" si="33"/>
        <v>-</v>
      </c>
      <c r="AT50" s="103" t="e">
        <f t="shared" si="93"/>
        <v>#DIV/0!</v>
      </c>
      <c r="AU50" s="103" t="e">
        <f t="shared" si="93"/>
        <v>#DIV/0!</v>
      </c>
      <c r="AV50" s="103" t="e">
        <f t="shared" si="93"/>
        <v>#DIV/0!</v>
      </c>
      <c r="AW50" s="103" t="e">
        <f t="shared" si="93"/>
        <v>#DIV/0!</v>
      </c>
      <c r="AX50" s="74" t="str">
        <f t="shared" si="35"/>
        <v>-</v>
      </c>
      <c r="AY50" s="74">
        <f t="shared" si="36"/>
        <v>0</v>
      </c>
      <c r="AZ50" s="74">
        <f t="shared" si="37"/>
        <v>0</v>
      </c>
      <c r="BA50" s="98">
        <f t="shared" si="38"/>
        <v>0</v>
      </c>
      <c r="BB50" s="74">
        <f t="shared" si="1"/>
        <v>0</v>
      </c>
      <c r="BC50" s="74">
        <f t="shared" si="2"/>
        <v>0</v>
      </c>
      <c r="BG50" s="74">
        <f t="shared" si="39"/>
        <v>0</v>
      </c>
      <c r="BH50" s="74">
        <f t="shared" si="40"/>
        <v>0</v>
      </c>
      <c r="BI50" s="98">
        <f t="shared" si="41"/>
        <v>0</v>
      </c>
      <c r="BJ50" s="74">
        <f t="shared" si="3"/>
        <v>0</v>
      </c>
      <c r="BK50" s="74">
        <f t="shared" si="4"/>
        <v>0</v>
      </c>
      <c r="BN50" s="74">
        <f t="shared" si="42"/>
        <v>0</v>
      </c>
      <c r="BO50" s="74" t="str">
        <f t="shared" si="43"/>
        <v>-</v>
      </c>
      <c r="BP50" s="98" t="str">
        <f t="shared" si="44"/>
        <v>-</v>
      </c>
      <c r="BQ50" s="98" t="str">
        <f t="shared" si="45"/>
        <v>-</v>
      </c>
      <c r="BR50" s="98" t="str">
        <f t="shared" si="5"/>
        <v>-</v>
      </c>
      <c r="BS50" s="98" t="str">
        <f t="shared" si="6"/>
        <v>-</v>
      </c>
      <c r="BT50" s="98" t="str">
        <f t="shared" si="7"/>
        <v>-</v>
      </c>
      <c r="BU50" s="98" t="str">
        <f t="shared" si="8"/>
        <v>-</v>
      </c>
      <c r="BV50" s="98" t="str">
        <f t="shared" si="9"/>
        <v>-</v>
      </c>
      <c r="BW50" s="98" t="str">
        <f t="shared" si="10"/>
        <v>-</v>
      </c>
      <c r="BZ50" s="103" t="e">
        <f t="shared" si="94"/>
        <v>#DIV/0!</v>
      </c>
      <c r="CA50" s="103" t="e">
        <f t="shared" si="94"/>
        <v>#DIV/0!</v>
      </c>
      <c r="CB50" s="103" t="e">
        <f t="shared" si="94"/>
        <v>#DIV/0!</v>
      </c>
      <c r="CC50" s="103" t="e">
        <f t="shared" si="94"/>
        <v>#DIV/0!</v>
      </c>
      <c r="CD50" s="74" t="str">
        <f t="shared" si="11"/>
        <v>-</v>
      </c>
      <c r="CE50" s="74">
        <f t="shared" si="47"/>
        <v>0</v>
      </c>
      <c r="CF50" s="74">
        <f t="shared" si="48"/>
        <v>0</v>
      </c>
      <c r="CG50" s="98">
        <f t="shared" si="49"/>
        <v>0</v>
      </c>
      <c r="CH50" s="74">
        <f t="shared" si="12"/>
        <v>0</v>
      </c>
      <c r="CI50" s="74">
        <f t="shared" si="13"/>
        <v>0</v>
      </c>
      <c r="CM50" s="74">
        <f t="shared" si="14"/>
        <v>0</v>
      </c>
      <c r="CN50" s="74">
        <f t="shared" si="50"/>
        <v>0</v>
      </c>
      <c r="CO50" s="98">
        <f t="shared" si="51"/>
        <v>0</v>
      </c>
      <c r="CP50" s="74">
        <f t="shared" si="15"/>
        <v>0</v>
      </c>
      <c r="CQ50" s="74">
        <f t="shared" si="16"/>
        <v>0</v>
      </c>
      <c r="CV50" s="98" t="str">
        <f t="shared" si="17"/>
        <v>-</v>
      </c>
      <c r="CW50" s="95" t="str">
        <f t="shared" si="18"/>
        <v>-</v>
      </c>
      <c r="CX50" s="74" t="str">
        <f t="shared" si="52"/>
        <v>-</v>
      </c>
      <c r="CY50" s="74" t="str">
        <f t="shared" si="19"/>
        <v>-</v>
      </c>
      <c r="CZ50" s="100" t="str">
        <f t="shared" si="20"/>
        <v>-</v>
      </c>
      <c r="DA50" s="58" t="str">
        <f t="shared" si="53"/>
        <v>-</v>
      </c>
      <c r="DB50" s="58" t="str">
        <f t="shared" si="54"/>
        <v>-</v>
      </c>
      <c r="DC50" s="58" t="str">
        <f t="shared" si="55"/>
        <v>-</v>
      </c>
      <c r="DD50" s="58" t="str">
        <f t="shared" si="56"/>
        <v>-</v>
      </c>
      <c r="DH50" s="98" t="str">
        <f t="shared" si="57"/>
        <v>-</v>
      </c>
      <c r="DI50" s="98" t="str">
        <f t="shared" si="58"/>
        <v>-</v>
      </c>
      <c r="DJ50" s="74" t="str">
        <f t="shared" si="89"/>
        <v>-</v>
      </c>
      <c r="DK50" s="74" t="str">
        <f t="shared" si="89"/>
        <v>-</v>
      </c>
      <c r="DL50" s="100" t="str">
        <f t="shared" si="22"/>
        <v>-</v>
      </c>
      <c r="DM50" s="58" t="str">
        <f t="shared" si="60"/>
        <v>-</v>
      </c>
      <c r="DN50" s="58" t="str">
        <f t="shared" si="61"/>
        <v>-</v>
      </c>
      <c r="DO50" s="58" t="str">
        <f t="shared" si="62"/>
        <v>-</v>
      </c>
      <c r="DP50" s="58" t="str">
        <f t="shared" si="63"/>
        <v>-</v>
      </c>
      <c r="DQ50" s="100"/>
      <c r="DR50" s="100"/>
      <c r="DT50" s="98" t="str">
        <f t="shared" si="86"/>
        <v>-</v>
      </c>
      <c r="DU50" s="98" t="str">
        <f t="shared" si="64"/>
        <v>-</v>
      </c>
      <c r="DV50" s="74" t="str">
        <f t="shared" si="90"/>
        <v>-</v>
      </c>
      <c r="DW50" s="74" t="str">
        <f t="shared" si="90"/>
        <v>-</v>
      </c>
      <c r="DX50" s="100" t="str">
        <f t="shared" si="24"/>
        <v>-</v>
      </c>
      <c r="DY50" s="58" t="str">
        <f t="shared" si="66"/>
        <v>-</v>
      </c>
      <c r="DZ50" s="58" t="str">
        <f t="shared" si="67"/>
        <v>-</v>
      </c>
      <c r="EA50" s="58" t="str">
        <f t="shared" si="68"/>
        <v>-</v>
      </c>
      <c r="EB50" s="58" t="str">
        <f t="shared" si="69"/>
        <v>-</v>
      </c>
      <c r="EC50" s="100"/>
      <c r="ED50" s="100"/>
      <c r="EF50" s="98" t="str">
        <f t="shared" si="70"/>
        <v>-</v>
      </c>
      <c r="EG50" s="98" t="str">
        <f t="shared" si="71"/>
        <v>-</v>
      </c>
      <c r="EH50" s="74" t="str">
        <f t="shared" si="91"/>
        <v>-</v>
      </c>
      <c r="EI50" s="74" t="str">
        <f t="shared" si="91"/>
        <v>-</v>
      </c>
      <c r="EJ50" s="100" t="str">
        <f t="shared" si="26"/>
        <v>-</v>
      </c>
      <c r="EK50" s="58" t="str">
        <f t="shared" si="73"/>
        <v>-</v>
      </c>
      <c r="EL50" s="58" t="str">
        <f t="shared" si="74"/>
        <v>-</v>
      </c>
      <c r="EM50" s="58" t="str">
        <f t="shared" si="75"/>
        <v>-</v>
      </c>
      <c r="EN50" s="58" t="str">
        <f t="shared" si="76"/>
        <v>-</v>
      </c>
      <c r="EO50" s="100"/>
      <c r="EP50" s="100"/>
      <c r="ER50" s="79" t="str">
        <f t="shared" si="77"/>
        <v>-</v>
      </c>
      <c r="ES50" s="79" t="str">
        <f t="shared" si="78"/>
        <v>-</v>
      </c>
      <c r="ET50" s="79" t="str">
        <f t="shared" si="79"/>
        <v>-</v>
      </c>
      <c r="EU50" s="79" t="str">
        <f t="shared" si="80"/>
        <v>-</v>
      </c>
      <c r="EY50" s="74" t="str">
        <f>IF(E50=0,"-",LARGE(E6:E50,45))</f>
        <v>-</v>
      </c>
      <c r="EZ50" s="77" t="str">
        <f t="shared" si="81"/>
        <v>-</v>
      </c>
      <c r="FB50" s="77" t="str">
        <f t="shared" si="83"/>
        <v>-</v>
      </c>
      <c r="FC50" s="77" t="str">
        <f>IF(FB50="-","-",SMALL(FB6:FB50,45))</f>
        <v>-</v>
      </c>
    </row>
    <row r="51" spans="3:159" s="104" customFormat="1">
      <c r="L51" s="77"/>
      <c r="M51" s="77"/>
      <c r="N51" s="77"/>
      <c r="AY51" s="105">
        <f>SUM(AY6:AY50)</f>
        <v>0</v>
      </c>
      <c r="AZ51" s="105">
        <f t="shared" ref="AZ51:BC51" si="96">SUM(AZ6:AZ50)</f>
        <v>0</v>
      </c>
      <c r="BA51" s="105">
        <f t="shared" si="96"/>
        <v>0</v>
      </c>
      <c r="BB51" s="105">
        <f t="shared" si="96"/>
        <v>0</v>
      </c>
      <c r="BC51" s="105">
        <f t="shared" si="96"/>
        <v>0</v>
      </c>
      <c r="BG51" s="105">
        <f>SUM(BG6:BG50)</f>
        <v>0</v>
      </c>
      <c r="BH51" s="105">
        <f t="shared" ref="BH51:BK51" si="97">SUM(BH6:BH50)</f>
        <v>0</v>
      </c>
      <c r="BI51" s="105">
        <f t="shared" si="97"/>
        <v>0</v>
      </c>
      <c r="BJ51" s="105">
        <f t="shared" si="97"/>
        <v>0</v>
      </c>
      <c r="BK51" s="105">
        <f t="shared" si="97"/>
        <v>0</v>
      </c>
      <c r="CE51" s="105">
        <f>SUM(CE6:CE50)</f>
        <v>0</v>
      </c>
      <c r="CF51" s="105">
        <f t="shared" ref="CF51:CI51" si="98">SUM(CF6:CF50)</f>
        <v>0</v>
      </c>
      <c r="CG51" s="105">
        <f t="shared" si="98"/>
        <v>0</v>
      </c>
      <c r="CH51" s="105">
        <f t="shared" si="98"/>
        <v>0</v>
      </c>
      <c r="CI51" s="105">
        <f t="shared" si="98"/>
        <v>0</v>
      </c>
      <c r="CM51" s="105">
        <f t="shared" ref="CM51:CQ51" si="99">SUM(CM6:CM50)</f>
        <v>0</v>
      </c>
      <c r="CN51" s="105">
        <f t="shared" si="99"/>
        <v>0</v>
      </c>
      <c r="CO51" s="105">
        <f t="shared" si="99"/>
        <v>0</v>
      </c>
      <c r="CP51" s="105">
        <f t="shared" si="99"/>
        <v>0</v>
      </c>
      <c r="CQ51" s="105">
        <f t="shared" si="99"/>
        <v>0</v>
      </c>
    </row>
  </sheetData>
  <sheetProtection password="EA63" sheet="1" objects="1" scenarios="1"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FC51"/>
  <sheetViews>
    <sheetView zoomScale="80" zoomScaleNormal="80" workbookViewId="0"/>
  </sheetViews>
  <sheetFormatPr defaultColWidth="11.42578125" defaultRowHeight="15"/>
  <cols>
    <col min="1" max="1" width="10.85546875" style="29" customWidth="1"/>
    <col min="2" max="2" width="3.140625" style="29" customWidth="1"/>
    <col min="3" max="3" width="7.42578125" style="29" customWidth="1"/>
    <col min="4" max="4" width="7.140625" style="29" customWidth="1"/>
    <col min="5" max="5" width="5.85546875" style="29" customWidth="1"/>
    <col min="6" max="6" width="8.5703125" style="29" customWidth="1"/>
    <col min="7" max="7" width="7.42578125" style="29" customWidth="1"/>
    <col min="8" max="8" width="6.7109375" style="29" customWidth="1"/>
    <col min="9" max="9" width="6.5703125" style="29" customWidth="1"/>
    <col min="10" max="10" width="6.42578125" style="29" customWidth="1"/>
    <col min="11" max="11" width="6.28515625" style="29" customWidth="1"/>
    <col min="12" max="12" width="9.140625" style="29" customWidth="1"/>
    <col min="13" max="13" width="8.7109375" style="29" customWidth="1"/>
    <col min="14" max="14" width="9.28515625" style="29" customWidth="1"/>
    <col min="15" max="15" width="4.85546875" style="29" customWidth="1"/>
    <col min="16" max="16" width="7.5703125" style="29" customWidth="1"/>
    <col min="17" max="16384" width="11.42578125" style="29"/>
  </cols>
  <sheetData>
    <row r="1" spans="1:159">
      <c r="F1" s="58" t="s">
        <v>4</v>
      </c>
      <c r="G1" s="58">
        <v>192.3057</v>
      </c>
      <c r="H1" s="58">
        <v>0</v>
      </c>
      <c r="I1" s="58">
        <v>31.354299999999999</v>
      </c>
      <c r="J1" s="58">
        <v>0</v>
      </c>
      <c r="N1" s="58"/>
      <c r="O1" s="58"/>
      <c r="P1" s="58"/>
      <c r="Q1" s="58"/>
    </row>
    <row r="2" spans="1:159">
      <c r="F2" s="58" t="s">
        <v>5</v>
      </c>
      <c r="G2" s="58">
        <v>145.01939999999999</v>
      </c>
      <c r="H2" s="58">
        <v>50.41</v>
      </c>
      <c r="I2" s="58">
        <v>28.178599999999999</v>
      </c>
      <c r="J2" s="58">
        <v>3.49</v>
      </c>
      <c r="N2" s="58"/>
      <c r="O2" s="58"/>
      <c r="P2" s="58"/>
      <c r="Q2" s="58"/>
    </row>
    <row r="3" spans="1:159">
      <c r="F3" s="58" t="s">
        <v>6</v>
      </c>
      <c r="G3" s="58">
        <v>71.321299999999994</v>
      </c>
      <c r="H3" s="58">
        <v>128.37</v>
      </c>
      <c r="I3" s="58">
        <v>24.0138</v>
      </c>
      <c r="J3" s="58">
        <v>7.36</v>
      </c>
      <c r="N3" s="58"/>
      <c r="O3" s="58"/>
      <c r="P3" s="58"/>
      <c r="Q3" s="58"/>
      <c r="CV3" s="58"/>
      <c r="CW3" s="58"/>
      <c r="CX3" s="58"/>
      <c r="CY3" s="58"/>
    </row>
    <row r="4" spans="1:159">
      <c r="N4" s="58"/>
      <c r="O4" s="58"/>
      <c r="P4" s="58"/>
      <c r="Q4" s="58"/>
      <c r="R4" s="58"/>
      <c r="S4" s="58"/>
      <c r="T4" s="58"/>
      <c r="CV4" s="58"/>
      <c r="CW4" s="58"/>
      <c r="CX4" s="58"/>
      <c r="CY4" s="58"/>
      <c r="DA4" s="70"/>
      <c r="DH4" s="80"/>
      <c r="DI4" s="58"/>
      <c r="DJ4" s="58"/>
      <c r="DK4" s="58"/>
      <c r="DM4" s="70"/>
      <c r="DT4" s="80"/>
      <c r="DU4" s="58"/>
      <c r="DV4" s="58"/>
      <c r="DW4" s="58"/>
      <c r="DY4" s="70"/>
      <c r="EF4" s="80"/>
      <c r="EG4" s="58"/>
      <c r="EH4" s="58"/>
      <c r="EI4" s="58"/>
      <c r="EK4" s="70"/>
      <c r="ER4" s="70"/>
    </row>
    <row r="5" spans="1:159" s="77" customFormat="1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83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  <c r="CQ5" s="74"/>
      <c r="CR5" s="74"/>
      <c r="CS5" s="74"/>
      <c r="CT5" s="74"/>
      <c r="CU5" s="74"/>
      <c r="CV5" s="74"/>
      <c r="CW5" s="74"/>
      <c r="CX5" s="74"/>
      <c r="CY5" s="74"/>
      <c r="CZ5" s="84"/>
      <c r="DA5" s="85"/>
      <c r="DB5" s="85"/>
      <c r="DC5" s="86"/>
      <c r="DD5" s="85"/>
      <c r="DE5" s="86"/>
      <c r="DF5" s="86"/>
      <c r="DG5" s="83"/>
      <c r="DH5" s="74"/>
      <c r="DI5" s="74"/>
      <c r="DJ5" s="74"/>
      <c r="DK5" s="74"/>
      <c r="DL5" s="84"/>
      <c r="DM5" s="85"/>
      <c r="DN5" s="85"/>
      <c r="DO5" s="85"/>
      <c r="DP5" s="85"/>
      <c r="DQ5" s="86"/>
      <c r="DR5" s="86"/>
      <c r="DS5" s="74"/>
      <c r="DT5" s="74"/>
      <c r="DU5" s="74"/>
      <c r="DV5" s="74"/>
      <c r="DW5" s="74"/>
      <c r="DX5" s="84"/>
      <c r="DY5" s="85"/>
      <c r="DZ5" s="85"/>
      <c r="EA5" s="86"/>
      <c r="EB5" s="85"/>
      <c r="EC5" s="86"/>
      <c r="ED5" s="86"/>
      <c r="EE5" s="74"/>
      <c r="EF5" s="74"/>
      <c r="EG5" s="74"/>
      <c r="EH5" s="74"/>
      <c r="EI5" s="74"/>
      <c r="EJ5" s="84"/>
      <c r="EK5" s="85"/>
      <c r="EL5" s="85"/>
      <c r="EM5" s="86"/>
      <c r="EN5" s="85"/>
      <c r="EO5" s="86"/>
      <c r="EP5" s="86"/>
      <c r="EQ5" s="74"/>
      <c r="ER5" s="74"/>
      <c r="ES5" s="74"/>
      <c r="ET5" s="74"/>
      <c r="EU5" s="74"/>
      <c r="EV5" s="74"/>
      <c r="EW5" s="74"/>
      <c r="EX5" s="74"/>
    </row>
    <row r="6" spans="1:159" s="88" customFormat="1">
      <c r="A6" s="87"/>
      <c r="B6" s="88" t="str">
        <f>IF(Main!$BL$5&gt;0,"x","")</f>
        <v/>
      </c>
      <c r="C6" s="89">
        <f>'1'!R3</f>
        <v>0</v>
      </c>
      <c r="D6" s="90">
        <f>'1'!J3</f>
        <v>0</v>
      </c>
      <c r="E6" s="90">
        <f>'1'!K3</f>
        <v>0</v>
      </c>
      <c r="G6" s="88" t="str">
        <f>IF(Main!$BN$5&gt;0,"x","")</f>
        <v/>
      </c>
      <c r="H6" s="106"/>
      <c r="I6" s="106"/>
      <c r="L6" s="90">
        <f>'3'!R3</f>
        <v>0</v>
      </c>
      <c r="M6" s="88">
        <f>'3'!J3</f>
        <v>0</v>
      </c>
      <c r="N6" s="91">
        <f>'3'!K3</f>
        <v>0</v>
      </c>
      <c r="O6" s="91"/>
      <c r="P6" s="91" t="s">
        <v>10</v>
      </c>
      <c r="Q6" s="91" t="s">
        <v>21</v>
      </c>
      <c r="R6" s="89" t="e">
        <f>AVERAGE(AN6:AN35)</f>
        <v>#DIV/0!</v>
      </c>
      <c r="S6" s="89" t="e">
        <f>AVERAGE(BT6:BT35)</f>
        <v>#DIV/0!</v>
      </c>
      <c r="T6" s="89" t="e">
        <f>AVERAGE(ER6:ER35)</f>
        <v>#DIV/0!</v>
      </c>
      <c r="U6" s="91"/>
      <c r="V6" s="91"/>
      <c r="W6" s="91"/>
      <c r="X6" s="89"/>
      <c r="Y6" s="91"/>
      <c r="Z6" s="91"/>
      <c r="AA6" s="91"/>
      <c r="AB6" s="91"/>
      <c r="AC6" s="91"/>
      <c r="AD6" s="91"/>
      <c r="AE6" s="91"/>
      <c r="AF6" s="91"/>
      <c r="AG6" s="91"/>
      <c r="AH6" s="89"/>
      <c r="AI6" s="91"/>
      <c r="AJ6" s="92" t="str">
        <f>IF(C6=0,"-",IF(B6="x",$G$3-L6+$H$3,$G$2-L6+$H$2))</f>
        <v>-</v>
      </c>
      <c r="AK6" s="92" t="str">
        <f>IF(C6=0,"-",$G$1-L6)</f>
        <v>-</v>
      </c>
      <c r="AL6" s="92" t="str">
        <f t="shared" ref="AL6:AL50" si="0">IF(C6=0,"-",((AJ6-AU6)/AT6))</f>
        <v>-</v>
      </c>
      <c r="AM6" s="92" t="str">
        <f>IF(C6=0,"-",((AK6-AW6)/AV6))</f>
        <v>-</v>
      </c>
      <c r="AN6" s="92" t="str">
        <f>IF(C6=0,"-",ABS(AJ6-C6))</f>
        <v>-</v>
      </c>
      <c r="AO6" s="92" t="str">
        <f>IF(C6=0,"-",ABS(AK6-C6))</f>
        <v>-</v>
      </c>
      <c r="AP6" s="92" t="str">
        <f>IF(C6=0,"-",ABS(AL6-C6))</f>
        <v>-</v>
      </c>
      <c r="AQ6" s="92" t="str">
        <f>IF(C6=0,"-",ABS(AM6-C6))</f>
        <v>-</v>
      </c>
      <c r="AR6" s="92"/>
      <c r="AS6" s="92"/>
      <c r="AT6" s="93" t="e">
        <f>BE9</f>
        <v>#DIV/0!</v>
      </c>
      <c r="AU6" s="93" t="e">
        <f>BE10</f>
        <v>#DIV/0!</v>
      </c>
      <c r="AV6" s="93" t="e">
        <f>BM9</f>
        <v>#DIV/0!</v>
      </c>
      <c r="AW6" s="93" t="e">
        <f>BM10</f>
        <v>#DIV/0!</v>
      </c>
      <c r="AX6" s="91" t="str">
        <f>IF(C6=0,"-",C6)</f>
        <v>-</v>
      </c>
      <c r="AY6" s="91">
        <f>IF(C6=0,0,1)</f>
        <v>0</v>
      </c>
      <c r="AZ6" s="91">
        <f>IF(C6=0,0,C6)</f>
        <v>0</v>
      </c>
      <c r="BA6" s="92">
        <f>IF(C6=0,0,AJ6)</f>
        <v>0</v>
      </c>
      <c r="BB6" s="91">
        <f t="shared" ref="BB6:BB50" si="1">AZ6*BA6</f>
        <v>0</v>
      </c>
      <c r="BC6" s="91">
        <f t="shared" ref="BC6:BC50" si="2">AZ6*AZ6</f>
        <v>0</v>
      </c>
      <c r="BD6" s="91" t="s">
        <v>22</v>
      </c>
      <c r="BE6" s="91">
        <f>AZ51*BA51-AY51*BB51</f>
        <v>0</v>
      </c>
      <c r="BF6" s="91"/>
      <c r="BG6" s="91">
        <f>IF(C6=0,0,1)</f>
        <v>0</v>
      </c>
      <c r="BH6" s="91">
        <f>IF(C6=0,0,C6)</f>
        <v>0</v>
      </c>
      <c r="BI6" s="92">
        <f>IF(C6=0,0,AK6)</f>
        <v>0</v>
      </c>
      <c r="BJ6" s="91">
        <f t="shared" ref="BJ6:BJ50" si="3">BH6*BI6</f>
        <v>0</v>
      </c>
      <c r="BK6" s="91">
        <f t="shared" ref="BK6:BK50" si="4">BH6*BH6</f>
        <v>0</v>
      </c>
      <c r="BL6" s="91" t="s">
        <v>22</v>
      </c>
      <c r="BM6" s="91">
        <f>BH51*BI51-BG51*BJ51</f>
        <v>0</v>
      </c>
      <c r="BN6" s="91">
        <f>IF(EZ6="-",0,EZ6)</f>
        <v>0</v>
      </c>
      <c r="BO6" s="91" t="str">
        <f>FC6</f>
        <v>-</v>
      </c>
      <c r="BP6" s="92" t="str">
        <f>IF(BO6="-","-",IF(G6="x",$I$3-BO6+$J$3,$I$2-BO6+$J$2))</f>
        <v>-</v>
      </c>
      <c r="BQ6" s="92" t="str">
        <f>IF(BO6="-","-",$I$1-BO6)</f>
        <v>-</v>
      </c>
      <c r="BR6" s="92" t="str">
        <f t="shared" ref="BR6:BR50" si="5">IF(BN6=0,"-",((BP6-CA6)/BZ6))</f>
        <v>-</v>
      </c>
      <c r="BS6" s="92" t="str">
        <f t="shared" ref="BS6:BS50" si="6">IF(BN6=0,"-",((BQ6-CC6)/CB6))</f>
        <v>-</v>
      </c>
      <c r="BT6" s="92" t="str">
        <f t="shared" ref="BT6:BT50" si="7">IF(BN6=0,"-",ABS(BP6-BN6))</f>
        <v>-</v>
      </c>
      <c r="BU6" s="92" t="str">
        <f t="shared" ref="BU6:BU50" si="8">IF(BN6=0,"-",ABS(BQ6-BN6))</f>
        <v>-</v>
      </c>
      <c r="BV6" s="92" t="str">
        <f t="shared" ref="BV6:BV50" si="9">IF(BN6=0,"-",ABS(BR6-BN6))</f>
        <v>-</v>
      </c>
      <c r="BW6" s="92" t="str">
        <f t="shared" ref="BW6:BW50" si="10">IF(BN6=0,"-",ABS(BS6-BN6))</f>
        <v>-</v>
      </c>
      <c r="BX6" s="91"/>
      <c r="BY6" s="91"/>
      <c r="BZ6" s="93" t="e">
        <f>CK9</f>
        <v>#DIV/0!</v>
      </c>
      <c r="CA6" s="93" t="e">
        <f>CK10</f>
        <v>#DIV/0!</v>
      </c>
      <c r="CB6" s="93" t="e">
        <f>CS9</f>
        <v>#DIV/0!</v>
      </c>
      <c r="CC6" s="93" t="e">
        <f>CS10</f>
        <v>#DIV/0!</v>
      </c>
      <c r="CD6" s="91" t="str">
        <f t="shared" ref="CD6:CD50" si="11">IF(BN6=0,"-",BN6)</f>
        <v>-</v>
      </c>
      <c r="CE6" s="91">
        <f>IF(BN6=0,0,IF(BN6="-","-",1))</f>
        <v>0</v>
      </c>
      <c r="CF6" s="91">
        <f>IF(BN6=0,0,IF(BN6="-",0,BN6))</f>
        <v>0</v>
      </c>
      <c r="CG6" s="92">
        <f>IF(BN6=0,0,IF(BN6="-",0,BP6))</f>
        <v>0</v>
      </c>
      <c r="CH6" s="91">
        <f t="shared" ref="CH6:CH50" si="12">CF6*CG6</f>
        <v>0</v>
      </c>
      <c r="CI6" s="91">
        <f t="shared" ref="CI6:CI50" si="13">CF6*CF6</f>
        <v>0</v>
      </c>
      <c r="CJ6" s="91" t="s">
        <v>22</v>
      </c>
      <c r="CK6" s="91">
        <f>CF51*CG51-CE51*CH51</f>
        <v>0</v>
      </c>
      <c r="CL6" s="91"/>
      <c r="CM6" s="91">
        <f t="shared" ref="CM6:CM50" si="14">IF(BN6=0,0,1)</f>
        <v>0</v>
      </c>
      <c r="CN6" s="91">
        <f>IF(BN6=0,0,IF(BN6="-",0,BN6))</f>
        <v>0</v>
      </c>
      <c r="CO6" s="92">
        <f>IF(BN6=0,0,IF(BN6="-",0,BQ6))</f>
        <v>0</v>
      </c>
      <c r="CP6" s="91">
        <f t="shared" ref="CP6:CP50" si="15">CN6*CO6</f>
        <v>0</v>
      </c>
      <c r="CQ6" s="91">
        <f t="shared" ref="CQ6:CQ50" si="16">CN6*CN6</f>
        <v>0</v>
      </c>
      <c r="CR6" s="91" t="s">
        <v>22</v>
      </c>
      <c r="CS6" s="91">
        <f>CN51*CO51-CM51*CP51</f>
        <v>0</v>
      </c>
      <c r="CT6" s="91"/>
      <c r="CU6" s="91"/>
      <c r="CV6" s="92" t="str">
        <f t="shared" ref="CV6:CV50" si="17">IF(D6=0,"-",IF(G6="x",$G$3-M6+$H$3,$G$2-M6+$H$2))</f>
        <v>-</v>
      </c>
      <c r="CW6" s="89" t="str">
        <f t="shared" ref="CW6:CW50" si="18">IF(D6=0,"-",IF(G6="x",$I$3-N6+$J$3,$I$2-N6+$J$2))</f>
        <v>-</v>
      </c>
      <c r="CX6" s="91" t="str">
        <f>IF(D6=0,"-",D6)</f>
        <v>-</v>
      </c>
      <c r="CY6" s="91" t="str">
        <f t="shared" ref="CY6:CY50" si="19">IF(E6=0,"-",E6)</f>
        <v>-</v>
      </c>
      <c r="CZ6" s="94" t="str">
        <f t="shared" ref="CZ6:CZ50" si="20">IF(CV6="-","-",SQRT(POWER((CX6-CV6),2)+POWER((CY6-CW6),2)))</f>
        <v>-</v>
      </c>
      <c r="DA6" s="58" t="str">
        <f>IF(CV6="-","-",IF((CV6-CX6)&gt;0,1,-1))</f>
        <v>-</v>
      </c>
      <c r="DB6" s="58" t="str">
        <f>IF(CV6="-","-",IF((CW6-CY6)&gt;0,1,-1))</f>
        <v>-</v>
      </c>
      <c r="DC6" s="58" t="str">
        <f>IF(DA6="-","-",ATAN(ABS(CV6-CX6)/ABS(CW6-CY6)))</f>
        <v>-</v>
      </c>
      <c r="DD6" s="58" t="str">
        <f>IF(CV6="-","-",IF(DA6=-1,IF(DB6=-1,1,2),IF(DB6=1,3,4)))</f>
        <v>-</v>
      </c>
      <c r="DE6" s="58">
        <f>COUNTIF(DD6:DD50,1)</f>
        <v>0</v>
      </c>
      <c r="DF6" s="58" t="e">
        <f>AVERAGE(DC6:DC50)</f>
        <v>#DIV/0!</v>
      </c>
      <c r="DG6" s="91"/>
      <c r="DH6" s="92" t="str">
        <f>IF(D6=0,"-",$G$1-M6)</f>
        <v>-</v>
      </c>
      <c r="DI6" s="92" t="str">
        <f>IF(E6=0,"-",$I$1-N6)</f>
        <v>-</v>
      </c>
      <c r="DJ6" s="91" t="str">
        <f>CX6</f>
        <v>-</v>
      </c>
      <c r="DK6" s="91" t="str">
        <f t="shared" ref="DK6:DK9" si="21">CY6</f>
        <v>-</v>
      </c>
      <c r="DL6" s="94" t="str">
        <f t="shared" ref="DL6:DL50" si="22">IF(DH6="-","-",SQRT(POWER((DJ6-DH6),2)+POWER((DK6-DI6),2)))</f>
        <v>-</v>
      </c>
      <c r="DM6" s="58" t="str">
        <f>IF(DH6="-","-",IF((DH6-DJ6)&gt;0,1,-1))</f>
        <v>-</v>
      </c>
      <c r="DN6" s="58" t="str">
        <f>IF(DH6="-","-",IF((DI6-DK6)&gt;0,1,-1))</f>
        <v>-</v>
      </c>
      <c r="DO6" s="58" t="str">
        <f>IF(DM6="-","-",ATAN(ABS(DH6-DJ6)/ABS(DI6-DK6)))</f>
        <v>-</v>
      </c>
      <c r="DP6" s="58" t="str">
        <f>IF(DH6="-","-",IF(DM6=-1,IF(DN6=-1,1,2),IF(DN6=1,3,4)))</f>
        <v>-</v>
      </c>
      <c r="DQ6" s="58">
        <f>COUNTIF(DP6:DP50,1)</f>
        <v>0</v>
      </c>
      <c r="DR6" s="58" t="e">
        <f>AVERAGE(DO6:DO50)</f>
        <v>#DIV/0!</v>
      </c>
      <c r="DS6" s="91"/>
      <c r="DT6" s="92" t="str">
        <f>IF(D6=0,"-",(CV6-AU6)/AT6)</f>
        <v>-</v>
      </c>
      <c r="DU6" s="92" t="str">
        <f>IF(D6=0,"-",(CY6-CA6)/BZ6)</f>
        <v>-</v>
      </c>
      <c r="DV6" s="91" t="str">
        <f>DJ6</f>
        <v>-</v>
      </c>
      <c r="DW6" s="91" t="str">
        <f t="shared" ref="DW6:DW9" si="23">DK6</f>
        <v>-</v>
      </c>
      <c r="DX6" s="94" t="str">
        <f t="shared" ref="DX6:DX50" si="24">IF(DT6="-","-",SQRT(POWER((DV6-DT6),2)+POWER((DW6-DU6),2)))</f>
        <v>-</v>
      </c>
      <c r="DY6" s="58" t="str">
        <f>IF(DT6="-","-",IF((DT6-DV6)&gt;0,1,-1))</f>
        <v>-</v>
      </c>
      <c r="DZ6" s="58" t="str">
        <f>IF(DT6="-","-",IF((DU6-DW6)&gt;0,1,-1))</f>
        <v>-</v>
      </c>
      <c r="EA6" s="58" t="str">
        <f>IF(DY6="-","-",ATAN(ABS(DT6-DV6)/ABS(DU6-DW6)))</f>
        <v>-</v>
      </c>
      <c r="EB6" s="58" t="str">
        <f>IF(DT6="-","-",IF(DY6=-1,IF(DZ6=-1,1,2),IF(DZ6=1,3,4)))</f>
        <v>-</v>
      </c>
      <c r="EC6" s="58">
        <f>COUNTIF(EB6:EB50,1)</f>
        <v>0</v>
      </c>
      <c r="ED6" s="58" t="e">
        <f>AVERAGE(EA6:EA50)</f>
        <v>#DIV/0!</v>
      </c>
      <c r="EE6" s="91"/>
      <c r="EF6" s="92" t="str">
        <f>IF(D6=0,"-",(DH6-AW6)/AV6)</f>
        <v>-</v>
      </c>
      <c r="EG6" s="92" t="str">
        <f>IF(D6=0,"-",(DI6-CC6)/CB6)</f>
        <v>-</v>
      </c>
      <c r="EH6" s="91" t="str">
        <f>DV6</f>
        <v>-</v>
      </c>
      <c r="EI6" s="91" t="str">
        <f t="shared" ref="EI6:EI9" si="25">DW6</f>
        <v>-</v>
      </c>
      <c r="EJ6" s="94" t="str">
        <f t="shared" ref="EJ6:EJ50" si="26">IF(EF6="-","-",SQRT(POWER((EH6-EF6),2)+POWER((EI6-EG6),2)))</f>
        <v>-</v>
      </c>
      <c r="EK6" s="58" t="str">
        <f>IF(EF6="-","-",IF((EF6-EH6)&gt;0,1,-1))</f>
        <v>-</v>
      </c>
      <c r="EL6" s="58" t="str">
        <f>IF(EF6="-","-",IF((EG6-EI6)&gt;0,1,-1))</f>
        <v>-</v>
      </c>
      <c r="EM6" s="58" t="str">
        <f>IF(EK6="-","-",ATAN(ABS(EF6-EH6)/ABS(EG6-EI6)))</f>
        <v>-</v>
      </c>
      <c r="EN6" s="58" t="str">
        <f>IF(EF6="-","-",IF(EK6=-1,IF(EL6=-1,1,2),IF(EL6=1,3,4)))</f>
        <v>-</v>
      </c>
      <c r="EO6" s="58">
        <f>COUNTIF(EN6:EN50,1)</f>
        <v>0</v>
      </c>
      <c r="EP6" s="58" t="e">
        <f>AVERAGE(EM6:EM50)</f>
        <v>#DIV/0!</v>
      </c>
      <c r="EQ6" s="91"/>
      <c r="ER6" s="92" t="str">
        <f>CZ6</f>
        <v>-</v>
      </c>
      <c r="ES6" s="92" t="str">
        <f>DL6</f>
        <v>-</v>
      </c>
      <c r="ET6" s="92" t="str">
        <f>DX6</f>
        <v>-</v>
      </c>
      <c r="EU6" s="92" t="str">
        <f>EJ6</f>
        <v>-</v>
      </c>
      <c r="EV6" s="91"/>
      <c r="EW6" s="91"/>
      <c r="EX6" s="91"/>
      <c r="EY6" s="91" t="str">
        <f>IF(E6=0,"-",LARGE(E6:E50,1))</f>
        <v>-</v>
      </c>
      <c r="EZ6" s="88" t="str">
        <f>EY6</f>
        <v>-</v>
      </c>
      <c r="FA6" s="88">
        <f>N6</f>
        <v>0</v>
      </c>
      <c r="FB6" s="88" t="str">
        <f>IF(N6=0,"-",N6)</f>
        <v>-</v>
      </c>
      <c r="FC6" s="88" t="str">
        <f>IF(FB6="-","-",SMALL(FB6:FB50,1))</f>
        <v>-</v>
      </c>
    </row>
    <row r="7" spans="1:159" s="77" customFormat="1">
      <c r="A7" s="29"/>
      <c r="B7" s="77" t="str">
        <f>IF(Main!$BL$5&gt;1,"x","")</f>
        <v/>
      </c>
      <c r="C7" s="95">
        <f>'1'!R4</f>
        <v>0</v>
      </c>
      <c r="D7" s="96">
        <f>'1'!J4</f>
        <v>0</v>
      </c>
      <c r="E7" s="96">
        <f>'1'!K4</f>
        <v>0</v>
      </c>
      <c r="F7" s="29"/>
      <c r="G7" s="77" t="str">
        <f>IF(Main!$BN$5&gt;1,"x","")</f>
        <v/>
      </c>
      <c r="H7" s="76"/>
      <c r="I7" s="71"/>
      <c r="J7" s="29"/>
      <c r="K7" s="29"/>
      <c r="L7" s="96">
        <f>'3'!R4</f>
        <v>0</v>
      </c>
      <c r="M7" s="77">
        <f>'3'!J4</f>
        <v>0</v>
      </c>
      <c r="N7" s="74">
        <f>'3'!K4</f>
        <v>0</v>
      </c>
      <c r="O7" s="74"/>
      <c r="P7" s="58"/>
      <c r="Q7" s="58" t="s">
        <v>23</v>
      </c>
      <c r="R7" s="97" t="e">
        <f>STDEV(AN6:AN35)</f>
        <v>#DIV/0!</v>
      </c>
      <c r="S7" s="97" t="e">
        <f>STDEV(BT6:BT35)</f>
        <v>#DIV/0!</v>
      </c>
      <c r="T7" s="97" t="e">
        <f>STDEV(ER6:ER35)</f>
        <v>#DIV/0!</v>
      </c>
      <c r="U7" s="74"/>
      <c r="V7" s="74"/>
      <c r="W7" s="74"/>
      <c r="X7" s="95"/>
      <c r="Y7" s="74"/>
      <c r="Z7" s="74"/>
      <c r="AA7" s="74"/>
      <c r="AB7" s="74"/>
      <c r="AC7" s="74"/>
      <c r="AD7" s="74"/>
      <c r="AE7" s="74"/>
      <c r="AF7" s="74"/>
      <c r="AG7" s="74"/>
      <c r="AH7" s="95"/>
      <c r="AI7" s="74"/>
      <c r="AJ7" s="98" t="str">
        <f t="shared" ref="AJ7:AJ50" si="27">IF(C7=0,"-",IF(B7="x",$G$3-L7+$H$3,$G$2-L7+$H$2))</f>
        <v>-</v>
      </c>
      <c r="AK7" s="98" t="str">
        <f t="shared" ref="AK7:AK50" si="28">IF(C7=0,"-",$G$1-L7)</f>
        <v>-</v>
      </c>
      <c r="AL7" s="98" t="str">
        <f t="shared" si="0"/>
        <v>-</v>
      </c>
      <c r="AM7" s="98" t="str">
        <f t="shared" ref="AM7:AM50" si="29">IF(C7=0,"-",((AK7-AW7)/AV7))</f>
        <v>-</v>
      </c>
      <c r="AN7" s="98" t="str">
        <f t="shared" ref="AN7:AN50" si="30">IF(C7=0,"-",ABS(AJ7-C7))</f>
        <v>-</v>
      </c>
      <c r="AO7" s="98" t="str">
        <f t="shared" ref="AO7:AO50" si="31">IF(C7=0,"-",ABS(AK7-C7))</f>
        <v>-</v>
      </c>
      <c r="AP7" s="98" t="str">
        <f t="shared" ref="AP7:AP50" si="32">IF(C7=0,"-",ABS(AL7-C7))</f>
        <v>-</v>
      </c>
      <c r="AQ7" s="98" t="str">
        <f t="shared" ref="AQ7:AQ50" si="33">IF(C7=0,"-",ABS(AM7-C7))</f>
        <v>-</v>
      </c>
      <c r="AR7" s="98"/>
      <c r="AS7" s="98"/>
      <c r="AT7" s="99" t="e">
        <f>AT6</f>
        <v>#DIV/0!</v>
      </c>
      <c r="AU7" s="99" t="e">
        <f>AU6</f>
        <v>#DIV/0!</v>
      </c>
      <c r="AV7" s="99" t="e">
        <f t="shared" ref="AV7:AW7" si="34">AV6</f>
        <v>#DIV/0!</v>
      </c>
      <c r="AW7" s="99" t="e">
        <f t="shared" si="34"/>
        <v>#DIV/0!</v>
      </c>
      <c r="AX7" s="74" t="str">
        <f t="shared" ref="AX7:AX50" si="35">IF(C7=0,"-",C7)</f>
        <v>-</v>
      </c>
      <c r="AY7" s="74">
        <f t="shared" ref="AY7:AY50" si="36">IF(C7=0,0,1)</f>
        <v>0</v>
      </c>
      <c r="AZ7" s="74">
        <f t="shared" ref="AZ7:AZ50" si="37">IF(C7=0,0,C7)</f>
        <v>0</v>
      </c>
      <c r="BA7" s="98">
        <f t="shared" ref="BA7:BA50" si="38">IF(C7=0,0,AJ7)</f>
        <v>0</v>
      </c>
      <c r="BB7" s="74">
        <f t="shared" si="1"/>
        <v>0</v>
      </c>
      <c r="BC7" s="74">
        <f t="shared" si="2"/>
        <v>0</v>
      </c>
      <c r="BD7" s="74" t="s">
        <v>24</v>
      </c>
      <c r="BE7" s="74">
        <f>AZ51*AZ51-AY51*BC51</f>
        <v>0</v>
      </c>
      <c r="BF7" s="74"/>
      <c r="BG7" s="74">
        <f t="shared" ref="BG7:BG50" si="39">IF(C7=0,0,1)</f>
        <v>0</v>
      </c>
      <c r="BH7" s="74">
        <f t="shared" ref="BH7:BH50" si="40">IF(C7=0,0,C7)</f>
        <v>0</v>
      </c>
      <c r="BI7" s="98">
        <f t="shared" ref="BI7:BI50" si="41">IF(C7=0,0,AK7)</f>
        <v>0</v>
      </c>
      <c r="BJ7" s="74">
        <f t="shared" si="3"/>
        <v>0</v>
      </c>
      <c r="BK7" s="74">
        <f t="shared" si="4"/>
        <v>0</v>
      </c>
      <c r="BL7" s="74" t="s">
        <v>24</v>
      </c>
      <c r="BM7" s="74">
        <f>BH51*BH51-BG51*BK51</f>
        <v>0</v>
      </c>
      <c r="BN7" s="74">
        <f t="shared" ref="BN7:BN50" si="42">IF(EZ7="-",0,EZ7)</f>
        <v>0</v>
      </c>
      <c r="BO7" s="74" t="str">
        <f t="shared" ref="BO7:BO50" si="43">FC7</f>
        <v>-</v>
      </c>
      <c r="BP7" s="98" t="str">
        <f t="shared" ref="BP7:BP50" si="44">IF(BO7="-","-",IF(G7="x",$I$3-BO7+$J$3,$I$2-BO7+$J$2))</f>
        <v>-</v>
      </c>
      <c r="BQ7" s="98" t="str">
        <f t="shared" ref="BQ7:BQ50" si="45">IF(BO7="-","-",$I$1-BO7)</f>
        <v>-</v>
      </c>
      <c r="BR7" s="98" t="str">
        <f t="shared" si="5"/>
        <v>-</v>
      </c>
      <c r="BS7" s="98" t="str">
        <f t="shared" si="6"/>
        <v>-</v>
      </c>
      <c r="BT7" s="98" t="str">
        <f t="shared" si="7"/>
        <v>-</v>
      </c>
      <c r="BU7" s="98" t="str">
        <f t="shared" si="8"/>
        <v>-</v>
      </c>
      <c r="BV7" s="98" t="str">
        <f t="shared" si="9"/>
        <v>-</v>
      </c>
      <c r="BW7" s="98" t="str">
        <f t="shared" si="10"/>
        <v>-</v>
      </c>
      <c r="BX7" s="74"/>
      <c r="BY7" s="74"/>
      <c r="BZ7" s="99" t="e">
        <f>BZ6</f>
        <v>#DIV/0!</v>
      </c>
      <c r="CA7" s="99" t="e">
        <f>CA6</f>
        <v>#DIV/0!</v>
      </c>
      <c r="CB7" s="99" t="e">
        <f t="shared" ref="CB7:CC7" si="46">CB6</f>
        <v>#DIV/0!</v>
      </c>
      <c r="CC7" s="99" t="e">
        <f t="shared" si="46"/>
        <v>#DIV/0!</v>
      </c>
      <c r="CD7" s="74" t="str">
        <f t="shared" si="11"/>
        <v>-</v>
      </c>
      <c r="CE7" s="74">
        <f t="shared" ref="CE7:CE50" si="47">IF(BN7=0,0,IF(BN7="-","-",1))</f>
        <v>0</v>
      </c>
      <c r="CF7" s="74">
        <f t="shared" ref="CF7:CF50" si="48">IF(BN7=0,0,IF(BN7="-",0,BN7))</f>
        <v>0</v>
      </c>
      <c r="CG7" s="98">
        <f t="shared" ref="CG7:CG50" si="49">IF(BN7=0,0,IF(BN7="-",0,BP7))</f>
        <v>0</v>
      </c>
      <c r="CH7" s="74">
        <f t="shared" si="12"/>
        <v>0</v>
      </c>
      <c r="CI7" s="74">
        <f t="shared" si="13"/>
        <v>0</v>
      </c>
      <c r="CJ7" s="74" t="s">
        <v>24</v>
      </c>
      <c r="CK7" s="74">
        <f>CF51*CF51-CE51*CI51</f>
        <v>0</v>
      </c>
      <c r="CL7" s="74"/>
      <c r="CM7" s="74">
        <f t="shared" si="14"/>
        <v>0</v>
      </c>
      <c r="CN7" s="74">
        <f t="shared" ref="CN7:CN50" si="50">IF(BN7=0,0,IF(BN7="-",0,BN7))</f>
        <v>0</v>
      </c>
      <c r="CO7" s="98">
        <f t="shared" ref="CO7:CO50" si="51">IF(BN7=0,0,IF(BN7="-",0,BQ7))</f>
        <v>0</v>
      </c>
      <c r="CP7" s="74">
        <f t="shared" si="15"/>
        <v>0</v>
      </c>
      <c r="CQ7" s="74">
        <f t="shared" si="16"/>
        <v>0</v>
      </c>
      <c r="CR7" s="74" t="s">
        <v>24</v>
      </c>
      <c r="CS7" s="74">
        <f>CN51*CN51-CM51*CQ51</f>
        <v>0</v>
      </c>
      <c r="CT7" s="74"/>
      <c r="CU7" s="74"/>
      <c r="CV7" s="98" t="str">
        <f t="shared" si="17"/>
        <v>-</v>
      </c>
      <c r="CW7" s="95" t="str">
        <f t="shared" si="18"/>
        <v>-</v>
      </c>
      <c r="CX7" s="74" t="str">
        <f t="shared" ref="CX7:CX50" si="52">IF(D7=0,"-",D7)</f>
        <v>-</v>
      </c>
      <c r="CY7" s="74" t="str">
        <f t="shared" si="19"/>
        <v>-</v>
      </c>
      <c r="CZ7" s="100" t="str">
        <f t="shared" si="20"/>
        <v>-</v>
      </c>
      <c r="DA7" s="58" t="str">
        <f t="shared" ref="DA7:DA50" si="53">IF(CV7="-","-",IF((CV7-CX7)&gt;0,1,-1))</f>
        <v>-</v>
      </c>
      <c r="DB7" s="58" t="str">
        <f t="shared" ref="DB7:DB50" si="54">IF(CV7="-","-",IF((CW7-CY7)&gt;0,1,-1))</f>
        <v>-</v>
      </c>
      <c r="DC7" s="58" t="str">
        <f t="shared" ref="DC7:DC50" si="55">IF(DA7="-","-",ATAN(ABS(CV7-CX7)/ABS(CW7-CY7)))</f>
        <v>-</v>
      </c>
      <c r="DD7" s="58" t="str">
        <f t="shared" ref="DD7:DD50" si="56">IF(CV7="-","-",IF(DA7=-1,IF(DB7=-1,1,2),IF(DB7=1,3,4)))</f>
        <v>-</v>
      </c>
      <c r="DE7" s="58">
        <f>COUNTIF(DD6:DD50,2)</f>
        <v>0</v>
      </c>
      <c r="DF7" s="58"/>
      <c r="DG7" s="58"/>
      <c r="DH7" s="98" t="str">
        <f t="shared" ref="DH7:DH50" si="57">IF(D7=0,"-",$G$1-M7)</f>
        <v>-</v>
      </c>
      <c r="DI7" s="98" t="str">
        <f t="shared" ref="DI7:DI50" si="58">IF(E7=0,"-",$I$1-N7)</f>
        <v>-</v>
      </c>
      <c r="DJ7" s="74" t="str">
        <f t="shared" ref="DJ7:DK35" si="59">CX7</f>
        <v>-</v>
      </c>
      <c r="DK7" s="74" t="str">
        <f t="shared" si="21"/>
        <v>-</v>
      </c>
      <c r="DL7" s="100" t="str">
        <f t="shared" si="22"/>
        <v>-</v>
      </c>
      <c r="DM7" s="58" t="str">
        <f t="shared" ref="DM7:DM50" si="60">IF(DH7="-","-",IF((DH7-DJ7)&gt;0,1,-1))</f>
        <v>-</v>
      </c>
      <c r="DN7" s="58" t="str">
        <f t="shared" ref="DN7:DN50" si="61">IF(DH7="-","-",IF((DI7-DK7)&gt;0,1,-1))</f>
        <v>-</v>
      </c>
      <c r="DO7" s="58" t="str">
        <f t="shared" ref="DO7:DO50" si="62">IF(DM7="-","-",ATAN(ABS(DH7-DJ7)/ABS(DI7-DK7)))</f>
        <v>-</v>
      </c>
      <c r="DP7" s="58" t="str">
        <f t="shared" ref="DP7:DP50" si="63">IF(DH7="-","-",IF(DM7=-1,IF(DN7=-1,1,2),IF(DN7=1,3,4)))</f>
        <v>-</v>
      </c>
      <c r="DQ7" s="58">
        <f>COUNTIF(DP6:DP50,2)</f>
        <v>0</v>
      </c>
      <c r="DR7" s="58"/>
      <c r="DS7" s="74"/>
      <c r="DT7" s="98" t="str">
        <f>IF(D7=0,"-",(CV7-AU7)/AT7)</f>
        <v>-</v>
      </c>
      <c r="DU7" s="98" t="str">
        <f t="shared" ref="DU7:DU50" si="64">IF(D7=0,"-",(CY7-CA7)/BZ7)</f>
        <v>-</v>
      </c>
      <c r="DV7" s="74" t="str">
        <f t="shared" ref="DV7:DW35" si="65">DJ7</f>
        <v>-</v>
      </c>
      <c r="DW7" s="74" t="str">
        <f t="shared" si="23"/>
        <v>-</v>
      </c>
      <c r="DX7" s="100" t="str">
        <f t="shared" si="24"/>
        <v>-</v>
      </c>
      <c r="DY7" s="58" t="str">
        <f t="shared" ref="DY7:DY50" si="66">IF(DT7="-","-",IF((DT7-DV7)&gt;0,1,-1))</f>
        <v>-</v>
      </c>
      <c r="DZ7" s="58" t="str">
        <f t="shared" ref="DZ7:DZ50" si="67">IF(DT7="-","-",IF((DU7-DW7)&gt;0,1,-1))</f>
        <v>-</v>
      </c>
      <c r="EA7" s="58" t="str">
        <f t="shared" ref="EA7:EA50" si="68">IF(DY7="-","-",ATAN(ABS(DT7-DV7)/ABS(DU7-DW7)))</f>
        <v>-</v>
      </c>
      <c r="EB7" s="58" t="str">
        <f t="shared" ref="EB7:EB50" si="69">IF(DT7="-","-",IF(DY7=-1,IF(DZ7=-1,1,2),IF(DZ7=1,3,4)))</f>
        <v>-</v>
      </c>
      <c r="EC7" s="58">
        <f>COUNTIF(EB6:EB50,2)</f>
        <v>0</v>
      </c>
      <c r="ED7" s="58"/>
      <c r="EE7" s="74"/>
      <c r="EF7" s="98" t="str">
        <f t="shared" ref="EF7:EF50" si="70">IF(D7=0,"-",(DH7-AW7)/AV7)</f>
        <v>-</v>
      </c>
      <c r="EG7" s="98" t="str">
        <f t="shared" ref="EG7:EG50" si="71">IF(D7=0,"-",(DI7-CC7)/CB7)</f>
        <v>-</v>
      </c>
      <c r="EH7" s="74" t="str">
        <f t="shared" ref="EH7:EI35" si="72">DV7</f>
        <v>-</v>
      </c>
      <c r="EI7" s="74" t="str">
        <f t="shared" si="25"/>
        <v>-</v>
      </c>
      <c r="EJ7" s="100" t="str">
        <f t="shared" si="26"/>
        <v>-</v>
      </c>
      <c r="EK7" s="58" t="str">
        <f t="shared" ref="EK7:EK50" si="73">IF(EF7="-","-",IF((EF7-EH7)&gt;0,1,-1))</f>
        <v>-</v>
      </c>
      <c r="EL7" s="58" t="str">
        <f t="shared" ref="EL7:EL50" si="74">IF(EF7="-","-",IF((EG7-EI7)&gt;0,1,-1))</f>
        <v>-</v>
      </c>
      <c r="EM7" s="58" t="str">
        <f t="shared" ref="EM7:EM50" si="75">IF(EK7="-","-",ATAN(ABS(EF7-EH7)/ABS(EG7-EI7)))</f>
        <v>-</v>
      </c>
      <c r="EN7" s="58" t="str">
        <f t="shared" ref="EN7:EN50" si="76">IF(EF7="-","-",IF(EK7=-1,IF(EL7=-1,1,2),IF(EL7=1,3,4)))</f>
        <v>-</v>
      </c>
      <c r="EO7" s="58">
        <f>COUNTIF(EN6:EN50,2)</f>
        <v>0</v>
      </c>
      <c r="EP7" s="58"/>
      <c r="EQ7" s="74"/>
      <c r="ER7" s="98" t="str">
        <f t="shared" ref="ER7:ER50" si="77">CZ7</f>
        <v>-</v>
      </c>
      <c r="ES7" s="98" t="str">
        <f t="shared" ref="ES7:ES50" si="78">DL7</f>
        <v>-</v>
      </c>
      <c r="ET7" s="98" t="str">
        <f t="shared" ref="ET7:ET50" si="79">DX7</f>
        <v>-</v>
      </c>
      <c r="EU7" s="98" t="str">
        <f t="shared" ref="EU7:EU50" si="80">EJ7</f>
        <v>-</v>
      </c>
      <c r="EV7" s="74"/>
      <c r="EW7" s="74"/>
      <c r="EX7" s="74"/>
      <c r="EY7" s="74" t="str">
        <f>IF(E7=0,"-",LARGE(E6:E50,2))</f>
        <v>-</v>
      </c>
      <c r="EZ7" s="77" t="str">
        <f t="shared" ref="EZ7:EZ50" si="81">EY7</f>
        <v>-</v>
      </c>
      <c r="FA7" s="77">
        <f t="shared" ref="FA7:FA35" si="82">N7</f>
        <v>0</v>
      </c>
      <c r="FB7" s="77" t="str">
        <f t="shared" ref="FB7:FB50" si="83">IF(N7=0,"-",N7)</f>
        <v>-</v>
      </c>
      <c r="FC7" s="77" t="str">
        <f>IF(FB7="-","-",SMALL(FB6:FB50,2))</f>
        <v>-</v>
      </c>
    </row>
    <row r="8" spans="1:159" s="77" customFormat="1">
      <c r="A8" s="29"/>
      <c r="B8" s="77" t="str">
        <f>IF(Main!$BL$5&gt;2,"x","")</f>
        <v/>
      </c>
      <c r="C8" s="95">
        <f>'1'!R5</f>
        <v>0</v>
      </c>
      <c r="D8" s="96">
        <f>'1'!J5</f>
        <v>0</v>
      </c>
      <c r="E8" s="96">
        <f>'1'!K5</f>
        <v>0</v>
      </c>
      <c r="F8" s="29"/>
      <c r="G8" s="77" t="str">
        <f>IF(Main!$BN$5&gt;2,"x","")</f>
        <v/>
      </c>
      <c r="H8" s="76"/>
      <c r="I8" s="76"/>
      <c r="J8" s="29"/>
      <c r="K8" s="29"/>
      <c r="L8" s="96">
        <f>'3'!R5</f>
        <v>0</v>
      </c>
      <c r="M8" s="77">
        <f>'3'!J5</f>
        <v>0</v>
      </c>
      <c r="N8" s="74">
        <f>'3'!K5</f>
        <v>0</v>
      </c>
      <c r="O8" s="74"/>
      <c r="P8" s="58"/>
      <c r="Q8" s="58" t="s">
        <v>25</v>
      </c>
      <c r="R8" s="97">
        <f>MAX(AN6:AN35)</f>
        <v>0</v>
      </c>
      <c r="S8" s="97">
        <f>MAX(BT6:BT35)</f>
        <v>0</v>
      </c>
      <c r="T8" s="97">
        <f>MAX(ER6:ER35)</f>
        <v>0</v>
      </c>
      <c r="U8" s="74"/>
      <c r="V8" s="74"/>
      <c r="W8" s="74"/>
      <c r="X8" s="95"/>
      <c r="Y8" s="74"/>
      <c r="Z8" s="74"/>
      <c r="AA8" s="74"/>
      <c r="AB8" s="74"/>
      <c r="AC8" s="74"/>
      <c r="AD8" s="74"/>
      <c r="AE8" s="74"/>
      <c r="AF8" s="74"/>
      <c r="AG8" s="74"/>
      <c r="AH8" s="95"/>
      <c r="AI8" s="74"/>
      <c r="AJ8" s="98" t="str">
        <f t="shared" si="27"/>
        <v>-</v>
      </c>
      <c r="AK8" s="98" t="str">
        <f t="shared" si="28"/>
        <v>-</v>
      </c>
      <c r="AL8" s="98" t="str">
        <f t="shared" si="0"/>
        <v>-</v>
      </c>
      <c r="AM8" s="98" t="str">
        <f t="shared" si="29"/>
        <v>-</v>
      </c>
      <c r="AN8" s="98" t="str">
        <f t="shared" si="30"/>
        <v>-</v>
      </c>
      <c r="AO8" s="98" t="str">
        <f t="shared" si="31"/>
        <v>-</v>
      </c>
      <c r="AP8" s="98" t="str">
        <f t="shared" si="32"/>
        <v>-</v>
      </c>
      <c r="AQ8" s="98" t="str">
        <f t="shared" si="33"/>
        <v>-</v>
      </c>
      <c r="AR8" s="98"/>
      <c r="AS8" s="98"/>
      <c r="AT8" s="99" t="e">
        <f t="shared" ref="AT8:AW23" si="84">AT7</f>
        <v>#DIV/0!</v>
      </c>
      <c r="AU8" s="99" t="e">
        <f t="shared" si="84"/>
        <v>#DIV/0!</v>
      </c>
      <c r="AV8" s="99" t="e">
        <f t="shared" si="84"/>
        <v>#DIV/0!</v>
      </c>
      <c r="AW8" s="99" t="e">
        <f t="shared" si="84"/>
        <v>#DIV/0!</v>
      </c>
      <c r="AX8" s="74" t="str">
        <f t="shared" si="35"/>
        <v>-</v>
      </c>
      <c r="AY8" s="74">
        <f t="shared" si="36"/>
        <v>0</v>
      </c>
      <c r="AZ8" s="74">
        <f t="shared" si="37"/>
        <v>0</v>
      </c>
      <c r="BA8" s="98">
        <f t="shared" si="38"/>
        <v>0</v>
      </c>
      <c r="BB8" s="74">
        <f t="shared" si="1"/>
        <v>0</v>
      </c>
      <c r="BC8" s="74">
        <f t="shared" si="2"/>
        <v>0</v>
      </c>
      <c r="BD8" s="74" t="s">
        <v>3</v>
      </c>
      <c r="BE8" s="74" t="e">
        <f>BA51-BE9*AZ51</f>
        <v>#DIV/0!</v>
      </c>
      <c r="BF8" s="74"/>
      <c r="BG8" s="74">
        <f t="shared" si="39"/>
        <v>0</v>
      </c>
      <c r="BH8" s="74">
        <f t="shared" si="40"/>
        <v>0</v>
      </c>
      <c r="BI8" s="98">
        <f t="shared" si="41"/>
        <v>0</v>
      </c>
      <c r="BJ8" s="74">
        <f t="shared" si="3"/>
        <v>0</v>
      </c>
      <c r="BK8" s="74">
        <f t="shared" si="4"/>
        <v>0</v>
      </c>
      <c r="BL8" s="74" t="s">
        <v>3</v>
      </c>
      <c r="BM8" s="74" t="e">
        <f>BI51-BM9*BH51</f>
        <v>#DIV/0!</v>
      </c>
      <c r="BN8" s="74">
        <f t="shared" si="42"/>
        <v>0</v>
      </c>
      <c r="BO8" s="74" t="str">
        <f t="shared" si="43"/>
        <v>-</v>
      </c>
      <c r="BP8" s="98" t="str">
        <f t="shared" si="44"/>
        <v>-</v>
      </c>
      <c r="BQ8" s="98" t="str">
        <f t="shared" si="45"/>
        <v>-</v>
      </c>
      <c r="BR8" s="98" t="str">
        <f t="shared" si="5"/>
        <v>-</v>
      </c>
      <c r="BS8" s="98" t="str">
        <f t="shared" si="6"/>
        <v>-</v>
      </c>
      <c r="BT8" s="98" t="str">
        <f t="shared" si="7"/>
        <v>-</v>
      </c>
      <c r="BU8" s="98" t="str">
        <f t="shared" si="8"/>
        <v>-</v>
      </c>
      <c r="BV8" s="98" t="str">
        <f t="shared" si="9"/>
        <v>-</v>
      </c>
      <c r="BW8" s="98" t="str">
        <f t="shared" si="10"/>
        <v>-</v>
      </c>
      <c r="BX8" s="74"/>
      <c r="BY8" s="74"/>
      <c r="BZ8" s="99" t="e">
        <f t="shared" ref="BZ8:CC23" si="85">BZ7</f>
        <v>#DIV/0!</v>
      </c>
      <c r="CA8" s="99" t="e">
        <f t="shared" si="85"/>
        <v>#DIV/0!</v>
      </c>
      <c r="CB8" s="99" t="e">
        <f t="shared" si="85"/>
        <v>#DIV/0!</v>
      </c>
      <c r="CC8" s="99" t="e">
        <f t="shared" si="85"/>
        <v>#DIV/0!</v>
      </c>
      <c r="CD8" s="74" t="str">
        <f t="shared" si="11"/>
        <v>-</v>
      </c>
      <c r="CE8" s="74">
        <f t="shared" si="47"/>
        <v>0</v>
      </c>
      <c r="CF8" s="74">
        <f t="shared" si="48"/>
        <v>0</v>
      </c>
      <c r="CG8" s="98">
        <f t="shared" si="49"/>
        <v>0</v>
      </c>
      <c r="CH8" s="74">
        <f t="shared" si="12"/>
        <v>0</v>
      </c>
      <c r="CI8" s="74">
        <f t="shared" si="13"/>
        <v>0</v>
      </c>
      <c r="CJ8" s="74" t="s">
        <v>3</v>
      </c>
      <c r="CK8" s="74" t="e">
        <f>CG51-CK9*CF51</f>
        <v>#DIV/0!</v>
      </c>
      <c r="CL8" s="74"/>
      <c r="CM8" s="74">
        <f t="shared" si="14"/>
        <v>0</v>
      </c>
      <c r="CN8" s="74">
        <f t="shared" si="50"/>
        <v>0</v>
      </c>
      <c r="CO8" s="98">
        <f t="shared" si="51"/>
        <v>0</v>
      </c>
      <c r="CP8" s="74">
        <f t="shared" si="15"/>
        <v>0</v>
      </c>
      <c r="CQ8" s="74">
        <f t="shared" si="16"/>
        <v>0</v>
      </c>
      <c r="CR8" s="74" t="s">
        <v>3</v>
      </c>
      <c r="CS8" s="74" t="e">
        <f>CO51-CS9*CN51</f>
        <v>#DIV/0!</v>
      </c>
      <c r="CT8" s="74"/>
      <c r="CU8" s="74"/>
      <c r="CV8" s="98" t="str">
        <f t="shared" si="17"/>
        <v>-</v>
      </c>
      <c r="CW8" s="95" t="str">
        <f t="shared" si="18"/>
        <v>-</v>
      </c>
      <c r="CX8" s="74" t="str">
        <f t="shared" si="52"/>
        <v>-</v>
      </c>
      <c r="CY8" s="74" t="str">
        <f t="shared" si="19"/>
        <v>-</v>
      </c>
      <c r="CZ8" s="100" t="str">
        <f t="shared" si="20"/>
        <v>-</v>
      </c>
      <c r="DA8" s="58" t="str">
        <f t="shared" si="53"/>
        <v>-</v>
      </c>
      <c r="DB8" s="58" t="str">
        <f t="shared" si="54"/>
        <v>-</v>
      </c>
      <c r="DC8" s="58" t="str">
        <f t="shared" si="55"/>
        <v>-</v>
      </c>
      <c r="DD8" s="58" t="str">
        <f t="shared" si="56"/>
        <v>-</v>
      </c>
      <c r="DE8" s="58">
        <f>COUNTIF(DD6:DD50,3)</f>
        <v>0</v>
      </c>
      <c r="DF8" s="58"/>
      <c r="DG8" s="58"/>
      <c r="DH8" s="98" t="str">
        <f t="shared" si="57"/>
        <v>-</v>
      </c>
      <c r="DI8" s="98" t="str">
        <f t="shared" si="58"/>
        <v>-</v>
      </c>
      <c r="DJ8" s="74" t="str">
        <f t="shared" si="59"/>
        <v>-</v>
      </c>
      <c r="DK8" s="74" t="str">
        <f t="shared" si="21"/>
        <v>-</v>
      </c>
      <c r="DL8" s="100" t="str">
        <f t="shared" si="22"/>
        <v>-</v>
      </c>
      <c r="DM8" s="58" t="str">
        <f t="shared" si="60"/>
        <v>-</v>
      </c>
      <c r="DN8" s="58" t="str">
        <f t="shared" si="61"/>
        <v>-</v>
      </c>
      <c r="DO8" s="58" t="str">
        <f t="shared" si="62"/>
        <v>-</v>
      </c>
      <c r="DP8" s="58" t="str">
        <f t="shared" si="63"/>
        <v>-</v>
      </c>
      <c r="DQ8" s="58">
        <f>COUNTIF(DP6:DP50,3)</f>
        <v>0</v>
      </c>
      <c r="DR8" s="58"/>
      <c r="DS8" s="74"/>
      <c r="DT8" s="98" t="str">
        <f t="shared" ref="DT8:DT50" si="86">IF(D8=0,"-",(CV8-AU8)/AT8)</f>
        <v>-</v>
      </c>
      <c r="DU8" s="98" t="str">
        <f t="shared" si="64"/>
        <v>-</v>
      </c>
      <c r="DV8" s="74" t="str">
        <f t="shared" si="65"/>
        <v>-</v>
      </c>
      <c r="DW8" s="74" t="str">
        <f t="shared" si="23"/>
        <v>-</v>
      </c>
      <c r="DX8" s="100" t="str">
        <f t="shared" si="24"/>
        <v>-</v>
      </c>
      <c r="DY8" s="58" t="str">
        <f t="shared" si="66"/>
        <v>-</v>
      </c>
      <c r="DZ8" s="58" t="str">
        <f t="shared" si="67"/>
        <v>-</v>
      </c>
      <c r="EA8" s="58" t="str">
        <f t="shared" si="68"/>
        <v>-</v>
      </c>
      <c r="EB8" s="58" t="str">
        <f t="shared" si="69"/>
        <v>-</v>
      </c>
      <c r="EC8" s="58">
        <f>COUNTIF(EB6:EB50,3)</f>
        <v>0</v>
      </c>
      <c r="ED8" s="58"/>
      <c r="EE8" s="74"/>
      <c r="EF8" s="98" t="str">
        <f t="shared" si="70"/>
        <v>-</v>
      </c>
      <c r="EG8" s="98" t="str">
        <f t="shared" si="71"/>
        <v>-</v>
      </c>
      <c r="EH8" s="74" t="str">
        <f t="shared" si="72"/>
        <v>-</v>
      </c>
      <c r="EI8" s="74" t="str">
        <f t="shared" si="25"/>
        <v>-</v>
      </c>
      <c r="EJ8" s="100" t="str">
        <f t="shared" si="26"/>
        <v>-</v>
      </c>
      <c r="EK8" s="58" t="str">
        <f t="shared" si="73"/>
        <v>-</v>
      </c>
      <c r="EL8" s="58" t="str">
        <f t="shared" si="74"/>
        <v>-</v>
      </c>
      <c r="EM8" s="58" t="str">
        <f t="shared" si="75"/>
        <v>-</v>
      </c>
      <c r="EN8" s="58" t="str">
        <f t="shared" si="76"/>
        <v>-</v>
      </c>
      <c r="EO8" s="58">
        <f>COUNTIF(EN6:EN50,3)</f>
        <v>0</v>
      </c>
      <c r="EP8" s="58"/>
      <c r="EQ8" s="74"/>
      <c r="ER8" s="98" t="str">
        <f t="shared" si="77"/>
        <v>-</v>
      </c>
      <c r="ES8" s="98" t="str">
        <f t="shared" si="78"/>
        <v>-</v>
      </c>
      <c r="ET8" s="98" t="str">
        <f t="shared" si="79"/>
        <v>-</v>
      </c>
      <c r="EU8" s="98" t="str">
        <f t="shared" si="80"/>
        <v>-</v>
      </c>
      <c r="EV8" s="74"/>
      <c r="EW8" s="74"/>
      <c r="EX8" s="74"/>
      <c r="EY8" s="74" t="str">
        <f>IF(E8=0,"-",LARGE(E6:E50,3))</f>
        <v>-</v>
      </c>
      <c r="EZ8" s="77" t="str">
        <f t="shared" si="81"/>
        <v>-</v>
      </c>
      <c r="FA8" s="77">
        <f t="shared" si="82"/>
        <v>0</v>
      </c>
      <c r="FB8" s="77" t="str">
        <f t="shared" si="83"/>
        <v>-</v>
      </c>
      <c r="FC8" s="77" t="str">
        <f>IF(FB8="-","-",SMALL(FB6:FB50,3))</f>
        <v>-</v>
      </c>
    </row>
    <row r="9" spans="1:159" s="77" customFormat="1">
      <c r="A9" s="29"/>
      <c r="B9" s="77" t="str">
        <f>IF(Main!$BL$5&gt;3,"x","")</f>
        <v/>
      </c>
      <c r="C9" s="95">
        <f>'1'!R6</f>
        <v>0</v>
      </c>
      <c r="D9" s="96">
        <f>'1'!J6</f>
        <v>0</v>
      </c>
      <c r="E9" s="96">
        <f>'1'!K6</f>
        <v>0</v>
      </c>
      <c r="F9" s="29"/>
      <c r="G9" s="77" t="str">
        <f>IF(Main!$BN$5&gt;3,"x","")</f>
        <v/>
      </c>
      <c r="H9" s="71"/>
      <c r="I9" s="71"/>
      <c r="J9" s="29"/>
      <c r="K9" s="29"/>
      <c r="L9" s="96">
        <f>'3'!R6</f>
        <v>0</v>
      </c>
      <c r="M9" s="77">
        <f>'3'!J6</f>
        <v>0</v>
      </c>
      <c r="N9" s="74">
        <f>'3'!K6</f>
        <v>0</v>
      </c>
      <c r="O9" s="74"/>
      <c r="P9" s="58"/>
      <c r="Q9" s="58" t="s">
        <v>26</v>
      </c>
      <c r="R9" s="65" t="e">
        <f>BE11</f>
        <v>#DIV/0!</v>
      </c>
      <c r="S9" s="65" t="e">
        <f>CK11</f>
        <v>#DIV/0!</v>
      </c>
      <c r="T9" s="97"/>
      <c r="U9" s="74"/>
      <c r="V9" s="74"/>
      <c r="W9" s="74"/>
      <c r="X9" s="95"/>
      <c r="Y9" s="74"/>
      <c r="Z9" s="74"/>
      <c r="AA9" s="74"/>
      <c r="AB9" s="74"/>
      <c r="AC9" s="74"/>
      <c r="AD9" s="74"/>
      <c r="AE9" s="74"/>
      <c r="AF9" s="74"/>
      <c r="AG9" s="74"/>
      <c r="AH9" s="95"/>
      <c r="AI9" s="74"/>
      <c r="AJ9" s="98" t="str">
        <f t="shared" si="27"/>
        <v>-</v>
      </c>
      <c r="AK9" s="98" t="str">
        <f t="shared" si="28"/>
        <v>-</v>
      </c>
      <c r="AL9" s="98" t="str">
        <f t="shared" si="0"/>
        <v>-</v>
      </c>
      <c r="AM9" s="98" t="str">
        <f t="shared" si="29"/>
        <v>-</v>
      </c>
      <c r="AN9" s="98" t="str">
        <f t="shared" si="30"/>
        <v>-</v>
      </c>
      <c r="AO9" s="98" t="str">
        <f t="shared" si="31"/>
        <v>-</v>
      </c>
      <c r="AP9" s="98" t="str">
        <f t="shared" si="32"/>
        <v>-</v>
      </c>
      <c r="AQ9" s="98" t="str">
        <f t="shared" si="33"/>
        <v>-</v>
      </c>
      <c r="AR9" s="98"/>
      <c r="AS9" s="98"/>
      <c r="AT9" s="99" t="e">
        <f t="shared" si="84"/>
        <v>#DIV/0!</v>
      </c>
      <c r="AU9" s="99" t="e">
        <f t="shared" si="84"/>
        <v>#DIV/0!</v>
      </c>
      <c r="AV9" s="99" t="e">
        <f t="shared" si="84"/>
        <v>#DIV/0!</v>
      </c>
      <c r="AW9" s="99" t="e">
        <f t="shared" si="84"/>
        <v>#DIV/0!</v>
      </c>
      <c r="AX9" s="74" t="str">
        <f t="shared" si="35"/>
        <v>-</v>
      </c>
      <c r="AY9" s="74">
        <f t="shared" si="36"/>
        <v>0</v>
      </c>
      <c r="AZ9" s="74">
        <f t="shared" si="37"/>
        <v>0</v>
      </c>
      <c r="BA9" s="98">
        <f t="shared" si="38"/>
        <v>0</v>
      </c>
      <c r="BB9" s="74">
        <f t="shared" si="1"/>
        <v>0</v>
      </c>
      <c r="BC9" s="74">
        <f t="shared" si="2"/>
        <v>0</v>
      </c>
      <c r="BD9" s="74" t="s">
        <v>17</v>
      </c>
      <c r="BE9" s="99" t="e">
        <f>BE6/BE7</f>
        <v>#DIV/0!</v>
      </c>
      <c r="BF9" s="74"/>
      <c r="BG9" s="74">
        <f t="shared" si="39"/>
        <v>0</v>
      </c>
      <c r="BH9" s="74">
        <f t="shared" si="40"/>
        <v>0</v>
      </c>
      <c r="BI9" s="98">
        <f t="shared" si="41"/>
        <v>0</v>
      </c>
      <c r="BJ9" s="74">
        <f t="shared" si="3"/>
        <v>0</v>
      </c>
      <c r="BK9" s="74">
        <f t="shared" si="4"/>
        <v>0</v>
      </c>
      <c r="BL9" s="74" t="s">
        <v>17</v>
      </c>
      <c r="BM9" s="99" t="e">
        <f>BM6/BM7</f>
        <v>#DIV/0!</v>
      </c>
      <c r="BN9" s="74">
        <f t="shared" si="42"/>
        <v>0</v>
      </c>
      <c r="BO9" s="74" t="str">
        <f t="shared" si="43"/>
        <v>-</v>
      </c>
      <c r="BP9" s="98" t="str">
        <f t="shared" si="44"/>
        <v>-</v>
      </c>
      <c r="BQ9" s="98" t="str">
        <f t="shared" si="45"/>
        <v>-</v>
      </c>
      <c r="BR9" s="98" t="str">
        <f t="shared" si="5"/>
        <v>-</v>
      </c>
      <c r="BS9" s="98" t="str">
        <f t="shared" si="6"/>
        <v>-</v>
      </c>
      <c r="BT9" s="98" t="str">
        <f t="shared" si="7"/>
        <v>-</v>
      </c>
      <c r="BU9" s="98" t="str">
        <f t="shared" si="8"/>
        <v>-</v>
      </c>
      <c r="BV9" s="98" t="str">
        <f t="shared" si="9"/>
        <v>-</v>
      </c>
      <c r="BW9" s="98" t="str">
        <f t="shared" si="10"/>
        <v>-</v>
      </c>
      <c r="BX9" s="74"/>
      <c r="BY9" s="74"/>
      <c r="BZ9" s="99" t="e">
        <f t="shared" si="85"/>
        <v>#DIV/0!</v>
      </c>
      <c r="CA9" s="99" t="e">
        <f t="shared" si="85"/>
        <v>#DIV/0!</v>
      </c>
      <c r="CB9" s="99" t="e">
        <f t="shared" si="85"/>
        <v>#DIV/0!</v>
      </c>
      <c r="CC9" s="99" t="e">
        <f t="shared" si="85"/>
        <v>#DIV/0!</v>
      </c>
      <c r="CD9" s="74" t="str">
        <f t="shared" si="11"/>
        <v>-</v>
      </c>
      <c r="CE9" s="74">
        <f t="shared" si="47"/>
        <v>0</v>
      </c>
      <c r="CF9" s="74">
        <f t="shared" si="48"/>
        <v>0</v>
      </c>
      <c r="CG9" s="98">
        <f t="shared" si="49"/>
        <v>0</v>
      </c>
      <c r="CH9" s="74">
        <f t="shared" si="12"/>
        <v>0</v>
      </c>
      <c r="CI9" s="74">
        <f t="shared" si="13"/>
        <v>0</v>
      </c>
      <c r="CJ9" s="74" t="s">
        <v>17</v>
      </c>
      <c r="CK9" s="99" t="e">
        <f>CK6/CK7</f>
        <v>#DIV/0!</v>
      </c>
      <c r="CL9" s="74"/>
      <c r="CM9" s="74">
        <f t="shared" si="14"/>
        <v>0</v>
      </c>
      <c r="CN9" s="74">
        <f t="shared" si="50"/>
        <v>0</v>
      </c>
      <c r="CO9" s="98">
        <f t="shared" si="51"/>
        <v>0</v>
      </c>
      <c r="CP9" s="74">
        <f t="shared" si="15"/>
        <v>0</v>
      </c>
      <c r="CQ9" s="74">
        <f t="shared" si="16"/>
        <v>0</v>
      </c>
      <c r="CR9" s="74" t="s">
        <v>17</v>
      </c>
      <c r="CS9" s="99" t="e">
        <f>CS6/CS7</f>
        <v>#DIV/0!</v>
      </c>
      <c r="CT9" s="74"/>
      <c r="CU9" s="74"/>
      <c r="CV9" s="98" t="str">
        <f t="shared" si="17"/>
        <v>-</v>
      </c>
      <c r="CW9" s="95" t="str">
        <f t="shared" si="18"/>
        <v>-</v>
      </c>
      <c r="CX9" s="74" t="str">
        <f t="shared" si="52"/>
        <v>-</v>
      </c>
      <c r="CY9" s="74" t="str">
        <f t="shared" si="19"/>
        <v>-</v>
      </c>
      <c r="CZ9" s="100" t="str">
        <f t="shared" si="20"/>
        <v>-</v>
      </c>
      <c r="DA9" s="58" t="str">
        <f t="shared" si="53"/>
        <v>-</v>
      </c>
      <c r="DB9" s="58" t="str">
        <f t="shared" si="54"/>
        <v>-</v>
      </c>
      <c r="DC9" s="58" t="str">
        <f t="shared" si="55"/>
        <v>-</v>
      </c>
      <c r="DD9" s="58" t="str">
        <f t="shared" si="56"/>
        <v>-</v>
      </c>
      <c r="DE9" s="58">
        <f>COUNTIF(DD6:DD50,4)</f>
        <v>0</v>
      </c>
      <c r="DF9" s="58"/>
      <c r="DG9" s="58"/>
      <c r="DH9" s="98" t="str">
        <f t="shared" si="57"/>
        <v>-</v>
      </c>
      <c r="DI9" s="98" t="str">
        <f t="shared" si="58"/>
        <v>-</v>
      </c>
      <c r="DJ9" s="74" t="str">
        <f t="shared" si="59"/>
        <v>-</v>
      </c>
      <c r="DK9" s="74" t="str">
        <f t="shared" si="21"/>
        <v>-</v>
      </c>
      <c r="DL9" s="100" t="str">
        <f t="shared" si="22"/>
        <v>-</v>
      </c>
      <c r="DM9" s="58" t="str">
        <f t="shared" si="60"/>
        <v>-</v>
      </c>
      <c r="DN9" s="58" t="str">
        <f t="shared" si="61"/>
        <v>-</v>
      </c>
      <c r="DO9" s="58" t="str">
        <f t="shared" si="62"/>
        <v>-</v>
      </c>
      <c r="DP9" s="58" t="str">
        <f t="shared" si="63"/>
        <v>-</v>
      </c>
      <c r="DQ9" s="58">
        <f>COUNTIF(DP6:DP50,4)</f>
        <v>0</v>
      </c>
      <c r="DR9" s="58"/>
      <c r="DS9" s="74"/>
      <c r="DT9" s="98" t="str">
        <f t="shared" si="86"/>
        <v>-</v>
      </c>
      <c r="DU9" s="98" t="str">
        <f t="shared" si="64"/>
        <v>-</v>
      </c>
      <c r="DV9" s="74" t="str">
        <f t="shared" si="65"/>
        <v>-</v>
      </c>
      <c r="DW9" s="74" t="str">
        <f t="shared" si="23"/>
        <v>-</v>
      </c>
      <c r="DX9" s="100" t="str">
        <f t="shared" si="24"/>
        <v>-</v>
      </c>
      <c r="DY9" s="58" t="str">
        <f t="shared" si="66"/>
        <v>-</v>
      </c>
      <c r="DZ9" s="58" t="str">
        <f t="shared" si="67"/>
        <v>-</v>
      </c>
      <c r="EA9" s="58" t="str">
        <f t="shared" si="68"/>
        <v>-</v>
      </c>
      <c r="EB9" s="58" t="str">
        <f t="shared" si="69"/>
        <v>-</v>
      </c>
      <c r="EC9" s="58">
        <f>COUNTIF(EB6:EB50,4)</f>
        <v>0</v>
      </c>
      <c r="ED9" s="58"/>
      <c r="EE9" s="74"/>
      <c r="EF9" s="98" t="str">
        <f t="shared" si="70"/>
        <v>-</v>
      </c>
      <c r="EG9" s="98" t="str">
        <f t="shared" si="71"/>
        <v>-</v>
      </c>
      <c r="EH9" s="74" t="str">
        <f t="shared" si="72"/>
        <v>-</v>
      </c>
      <c r="EI9" s="74" t="str">
        <f t="shared" si="25"/>
        <v>-</v>
      </c>
      <c r="EJ9" s="100" t="str">
        <f t="shared" si="26"/>
        <v>-</v>
      </c>
      <c r="EK9" s="58" t="str">
        <f t="shared" si="73"/>
        <v>-</v>
      </c>
      <c r="EL9" s="58" t="str">
        <f t="shared" si="74"/>
        <v>-</v>
      </c>
      <c r="EM9" s="58" t="str">
        <f t="shared" si="75"/>
        <v>-</v>
      </c>
      <c r="EN9" s="58" t="str">
        <f t="shared" si="76"/>
        <v>-</v>
      </c>
      <c r="EO9" s="58">
        <f>COUNTIF(EN6:EN50,4)</f>
        <v>0</v>
      </c>
      <c r="EP9" s="58"/>
      <c r="EQ9" s="74"/>
      <c r="ER9" s="98" t="str">
        <f t="shared" si="77"/>
        <v>-</v>
      </c>
      <c r="ES9" s="98" t="str">
        <f t="shared" si="78"/>
        <v>-</v>
      </c>
      <c r="ET9" s="98" t="str">
        <f t="shared" si="79"/>
        <v>-</v>
      </c>
      <c r="EU9" s="98" t="str">
        <f t="shared" si="80"/>
        <v>-</v>
      </c>
      <c r="EV9" s="74"/>
      <c r="EW9" s="74"/>
      <c r="EX9" s="74"/>
      <c r="EY9" s="74" t="str">
        <f>IF(E9=0,"-",LARGE(E6:E50,4))</f>
        <v>-</v>
      </c>
      <c r="EZ9" s="77" t="str">
        <f t="shared" si="81"/>
        <v>-</v>
      </c>
      <c r="FA9" s="77">
        <f t="shared" si="82"/>
        <v>0</v>
      </c>
      <c r="FB9" s="77" t="str">
        <f t="shared" si="83"/>
        <v>-</v>
      </c>
      <c r="FC9" s="77" t="str">
        <f>IF(FB9="-","-",SMALL(FB6:FB50,4))</f>
        <v>-</v>
      </c>
    </row>
    <row r="10" spans="1:159" s="77" customFormat="1">
      <c r="A10" s="29"/>
      <c r="B10" s="77" t="str">
        <f>IF(Main!$BL$5&gt;4,"x","")</f>
        <v/>
      </c>
      <c r="C10" s="95">
        <f>'1'!R7</f>
        <v>0</v>
      </c>
      <c r="D10" s="96">
        <f>'1'!J7</f>
        <v>0</v>
      </c>
      <c r="E10" s="96">
        <f>'1'!K7</f>
        <v>0</v>
      </c>
      <c r="F10" s="29"/>
      <c r="G10" s="77" t="str">
        <f>IF(Main!$BN$5&gt;4,"x","")</f>
        <v/>
      </c>
      <c r="H10" s="71"/>
      <c r="I10" s="71"/>
      <c r="J10" s="29"/>
      <c r="K10" s="29"/>
      <c r="L10" s="96">
        <f>'3'!R7</f>
        <v>0</v>
      </c>
      <c r="M10" s="77">
        <f>'3'!J7</f>
        <v>0</v>
      </c>
      <c r="N10" s="74">
        <f>'3'!K7</f>
        <v>0</v>
      </c>
      <c r="O10" s="74"/>
      <c r="P10" s="58"/>
      <c r="Q10" s="58" t="s">
        <v>17</v>
      </c>
      <c r="R10" s="97" t="e">
        <f>AT10</f>
        <v>#DIV/0!</v>
      </c>
      <c r="S10" s="97" t="e">
        <f>BZ10</f>
        <v>#DIV/0!</v>
      </c>
      <c r="T10" s="97"/>
      <c r="U10" s="74"/>
      <c r="V10" s="74"/>
      <c r="W10" s="74"/>
      <c r="X10" s="95"/>
      <c r="Y10" s="74"/>
      <c r="Z10" s="74"/>
      <c r="AA10" s="74"/>
      <c r="AB10" s="74"/>
      <c r="AC10" s="74"/>
      <c r="AD10" s="74"/>
      <c r="AE10" s="74"/>
      <c r="AF10" s="74"/>
      <c r="AG10" s="74"/>
      <c r="AH10" s="95"/>
      <c r="AI10" s="74"/>
      <c r="AJ10" s="98" t="str">
        <f t="shared" si="27"/>
        <v>-</v>
      </c>
      <c r="AK10" s="98" t="str">
        <f t="shared" si="28"/>
        <v>-</v>
      </c>
      <c r="AL10" s="98" t="str">
        <f t="shared" si="0"/>
        <v>-</v>
      </c>
      <c r="AM10" s="98" t="str">
        <f t="shared" si="29"/>
        <v>-</v>
      </c>
      <c r="AN10" s="98" t="str">
        <f t="shared" si="30"/>
        <v>-</v>
      </c>
      <c r="AO10" s="98" t="str">
        <f t="shared" si="31"/>
        <v>-</v>
      </c>
      <c r="AP10" s="98" t="str">
        <f t="shared" si="32"/>
        <v>-</v>
      </c>
      <c r="AQ10" s="98" t="str">
        <f t="shared" si="33"/>
        <v>-</v>
      </c>
      <c r="AR10" s="98"/>
      <c r="AS10" s="98"/>
      <c r="AT10" s="99" t="e">
        <f t="shared" si="84"/>
        <v>#DIV/0!</v>
      </c>
      <c r="AU10" s="99" t="e">
        <f t="shared" si="84"/>
        <v>#DIV/0!</v>
      </c>
      <c r="AV10" s="99" t="e">
        <f t="shared" si="84"/>
        <v>#DIV/0!</v>
      </c>
      <c r="AW10" s="99" t="e">
        <f t="shared" si="84"/>
        <v>#DIV/0!</v>
      </c>
      <c r="AX10" s="74" t="str">
        <f t="shared" si="35"/>
        <v>-</v>
      </c>
      <c r="AY10" s="74">
        <f t="shared" si="36"/>
        <v>0</v>
      </c>
      <c r="AZ10" s="74">
        <f t="shared" si="37"/>
        <v>0</v>
      </c>
      <c r="BA10" s="98">
        <f t="shared" si="38"/>
        <v>0</v>
      </c>
      <c r="BB10" s="74">
        <f t="shared" si="1"/>
        <v>0</v>
      </c>
      <c r="BC10" s="74">
        <f t="shared" si="2"/>
        <v>0</v>
      </c>
      <c r="BD10" s="74" t="s">
        <v>18</v>
      </c>
      <c r="BE10" s="99" t="e">
        <f>BE8/AY51</f>
        <v>#DIV/0!</v>
      </c>
      <c r="BF10" s="74"/>
      <c r="BG10" s="74">
        <f t="shared" si="39"/>
        <v>0</v>
      </c>
      <c r="BH10" s="74">
        <f t="shared" si="40"/>
        <v>0</v>
      </c>
      <c r="BI10" s="98">
        <f t="shared" si="41"/>
        <v>0</v>
      </c>
      <c r="BJ10" s="74">
        <f t="shared" si="3"/>
        <v>0</v>
      </c>
      <c r="BK10" s="74">
        <f t="shared" si="4"/>
        <v>0</v>
      </c>
      <c r="BL10" s="74" t="s">
        <v>18</v>
      </c>
      <c r="BM10" s="99" t="e">
        <f>BM8/BG51</f>
        <v>#DIV/0!</v>
      </c>
      <c r="BN10" s="74">
        <f t="shared" si="42"/>
        <v>0</v>
      </c>
      <c r="BO10" s="74" t="str">
        <f t="shared" si="43"/>
        <v>-</v>
      </c>
      <c r="BP10" s="98" t="str">
        <f t="shared" si="44"/>
        <v>-</v>
      </c>
      <c r="BQ10" s="98" t="str">
        <f t="shared" si="45"/>
        <v>-</v>
      </c>
      <c r="BR10" s="98" t="str">
        <f t="shared" si="5"/>
        <v>-</v>
      </c>
      <c r="BS10" s="98" t="str">
        <f t="shared" si="6"/>
        <v>-</v>
      </c>
      <c r="BT10" s="98" t="str">
        <f t="shared" si="7"/>
        <v>-</v>
      </c>
      <c r="BU10" s="98" t="str">
        <f t="shared" si="8"/>
        <v>-</v>
      </c>
      <c r="BV10" s="98" t="str">
        <f t="shared" si="9"/>
        <v>-</v>
      </c>
      <c r="BW10" s="98" t="str">
        <f t="shared" si="10"/>
        <v>-</v>
      </c>
      <c r="BX10" s="74"/>
      <c r="BY10" s="74"/>
      <c r="BZ10" s="99" t="e">
        <f t="shared" si="85"/>
        <v>#DIV/0!</v>
      </c>
      <c r="CA10" s="99" t="e">
        <f t="shared" si="85"/>
        <v>#DIV/0!</v>
      </c>
      <c r="CB10" s="99" t="e">
        <f t="shared" si="85"/>
        <v>#DIV/0!</v>
      </c>
      <c r="CC10" s="99" t="e">
        <f t="shared" si="85"/>
        <v>#DIV/0!</v>
      </c>
      <c r="CD10" s="74" t="str">
        <f t="shared" si="11"/>
        <v>-</v>
      </c>
      <c r="CE10" s="74">
        <f t="shared" si="47"/>
        <v>0</v>
      </c>
      <c r="CF10" s="74">
        <f t="shared" si="48"/>
        <v>0</v>
      </c>
      <c r="CG10" s="98">
        <f t="shared" si="49"/>
        <v>0</v>
      </c>
      <c r="CH10" s="74">
        <f t="shared" si="12"/>
        <v>0</v>
      </c>
      <c r="CI10" s="74">
        <f t="shared" si="13"/>
        <v>0</v>
      </c>
      <c r="CJ10" s="74" t="s">
        <v>18</v>
      </c>
      <c r="CK10" s="99" t="e">
        <f>CK8/CE51</f>
        <v>#DIV/0!</v>
      </c>
      <c r="CL10" s="74"/>
      <c r="CM10" s="74">
        <f t="shared" si="14"/>
        <v>0</v>
      </c>
      <c r="CN10" s="74">
        <f t="shared" si="50"/>
        <v>0</v>
      </c>
      <c r="CO10" s="98">
        <f t="shared" si="51"/>
        <v>0</v>
      </c>
      <c r="CP10" s="74">
        <f t="shared" si="15"/>
        <v>0</v>
      </c>
      <c r="CQ10" s="74">
        <f t="shared" si="16"/>
        <v>0</v>
      </c>
      <c r="CR10" s="74" t="s">
        <v>18</v>
      </c>
      <c r="CS10" s="99" t="e">
        <f>CS8/CM51</f>
        <v>#DIV/0!</v>
      </c>
      <c r="CT10" s="74"/>
      <c r="CU10" s="74"/>
      <c r="CV10" s="98" t="str">
        <f t="shared" si="17"/>
        <v>-</v>
      </c>
      <c r="CW10" s="95" t="str">
        <f t="shared" si="18"/>
        <v>-</v>
      </c>
      <c r="CX10" s="74" t="str">
        <f t="shared" si="52"/>
        <v>-</v>
      </c>
      <c r="CY10" s="74" t="str">
        <f t="shared" si="19"/>
        <v>-</v>
      </c>
      <c r="CZ10" s="100" t="str">
        <f t="shared" si="20"/>
        <v>-</v>
      </c>
      <c r="DA10" s="58" t="str">
        <f t="shared" si="53"/>
        <v>-</v>
      </c>
      <c r="DB10" s="58" t="str">
        <f t="shared" si="54"/>
        <v>-</v>
      </c>
      <c r="DC10" s="58" t="str">
        <f t="shared" si="55"/>
        <v>-</v>
      </c>
      <c r="DD10" s="58" t="str">
        <f t="shared" si="56"/>
        <v>-</v>
      </c>
      <c r="DE10" s="58"/>
      <c r="DF10" s="58"/>
      <c r="DG10" s="58"/>
      <c r="DH10" s="98" t="str">
        <f t="shared" si="57"/>
        <v>-</v>
      </c>
      <c r="DI10" s="98" t="str">
        <f t="shared" si="58"/>
        <v>-</v>
      </c>
      <c r="DJ10" s="74" t="str">
        <f t="shared" si="59"/>
        <v>-</v>
      </c>
      <c r="DK10" s="74" t="str">
        <f t="shared" si="59"/>
        <v>-</v>
      </c>
      <c r="DL10" s="100" t="str">
        <f t="shared" si="22"/>
        <v>-</v>
      </c>
      <c r="DM10" s="58" t="str">
        <f t="shared" si="60"/>
        <v>-</v>
      </c>
      <c r="DN10" s="58" t="str">
        <f t="shared" si="61"/>
        <v>-</v>
      </c>
      <c r="DO10" s="58" t="str">
        <f t="shared" si="62"/>
        <v>-</v>
      </c>
      <c r="DP10" s="58" t="str">
        <f t="shared" si="63"/>
        <v>-</v>
      </c>
      <c r="DQ10" s="58"/>
      <c r="DR10" s="58"/>
      <c r="DS10" s="74"/>
      <c r="DT10" s="98" t="str">
        <f t="shared" si="86"/>
        <v>-</v>
      </c>
      <c r="DU10" s="98" t="str">
        <f t="shared" si="64"/>
        <v>-</v>
      </c>
      <c r="DV10" s="74" t="str">
        <f t="shared" si="65"/>
        <v>-</v>
      </c>
      <c r="DW10" s="74" t="str">
        <f t="shared" si="65"/>
        <v>-</v>
      </c>
      <c r="DX10" s="100" t="str">
        <f t="shared" si="24"/>
        <v>-</v>
      </c>
      <c r="DY10" s="58" t="str">
        <f t="shared" si="66"/>
        <v>-</v>
      </c>
      <c r="DZ10" s="58" t="str">
        <f t="shared" si="67"/>
        <v>-</v>
      </c>
      <c r="EA10" s="58" t="str">
        <f t="shared" si="68"/>
        <v>-</v>
      </c>
      <c r="EB10" s="58" t="str">
        <f t="shared" si="69"/>
        <v>-</v>
      </c>
      <c r="EC10" s="58"/>
      <c r="ED10" s="58"/>
      <c r="EE10" s="74"/>
      <c r="EF10" s="98" t="str">
        <f t="shared" si="70"/>
        <v>-</v>
      </c>
      <c r="EG10" s="98" t="str">
        <f t="shared" si="71"/>
        <v>-</v>
      </c>
      <c r="EH10" s="74" t="str">
        <f t="shared" si="72"/>
        <v>-</v>
      </c>
      <c r="EI10" s="74" t="str">
        <f t="shared" si="72"/>
        <v>-</v>
      </c>
      <c r="EJ10" s="100" t="str">
        <f t="shared" si="26"/>
        <v>-</v>
      </c>
      <c r="EK10" s="58" t="str">
        <f t="shared" si="73"/>
        <v>-</v>
      </c>
      <c r="EL10" s="58" t="str">
        <f t="shared" si="74"/>
        <v>-</v>
      </c>
      <c r="EM10" s="58" t="str">
        <f t="shared" si="75"/>
        <v>-</v>
      </c>
      <c r="EN10" s="58" t="str">
        <f t="shared" si="76"/>
        <v>-</v>
      </c>
      <c r="EO10" s="58"/>
      <c r="EP10" s="58"/>
      <c r="EQ10" s="74"/>
      <c r="ER10" s="98" t="str">
        <f t="shared" si="77"/>
        <v>-</v>
      </c>
      <c r="ES10" s="98" t="str">
        <f t="shared" si="78"/>
        <v>-</v>
      </c>
      <c r="ET10" s="98" t="str">
        <f t="shared" si="79"/>
        <v>-</v>
      </c>
      <c r="EU10" s="98" t="str">
        <f t="shared" si="80"/>
        <v>-</v>
      </c>
      <c r="EV10" s="74"/>
      <c r="EW10" s="74"/>
      <c r="EX10" s="74"/>
      <c r="EY10" s="74" t="str">
        <f>IF(E10=0,"-",LARGE(E6:E50,5))</f>
        <v>-</v>
      </c>
      <c r="EZ10" s="77" t="str">
        <f t="shared" si="81"/>
        <v>-</v>
      </c>
      <c r="FA10" s="77">
        <f t="shared" si="82"/>
        <v>0</v>
      </c>
      <c r="FB10" s="77" t="str">
        <f t="shared" si="83"/>
        <v>-</v>
      </c>
      <c r="FC10" s="77" t="str">
        <f>IF(FB10="-","-",SMALL(FB6:FB50,5))</f>
        <v>-</v>
      </c>
    </row>
    <row r="11" spans="1:159" s="77" customFormat="1">
      <c r="A11" s="29"/>
      <c r="B11" s="77" t="str">
        <f>IF(Main!$BL$5&gt;5,"x","")</f>
        <v/>
      </c>
      <c r="C11" s="95">
        <f>'1'!R8</f>
        <v>0</v>
      </c>
      <c r="D11" s="96">
        <f>'1'!J8</f>
        <v>0</v>
      </c>
      <c r="E11" s="96">
        <f>'1'!K8</f>
        <v>0</v>
      </c>
      <c r="F11" s="29"/>
      <c r="G11" s="77" t="str">
        <f>IF(Main!$BN$5&gt;5,"x","")</f>
        <v/>
      </c>
      <c r="H11" s="71"/>
      <c r="I11" s="71"/>
      <c r="J11" s="29"/>
      <c r="K11" s="29"/>
      <c r="L11" s="96">
        <f>'3'!R8</f>
        <v>0</v>
      </c>
      <c r="M11" s="77">
        <f>'3'!J8</f>
        <v>0</v>
      </c>
      <c r="N11" s="74">
        <f>'3'!K8</f>
        <v>0</v>
      </c>
      <c r="O11" s="74"/>
      <c r="P11" s="58"/>
      <c r="Q11" s="58" t="s">
        <v>18</v>
      </c>
      <c r="R11" s="97" t="e">
        <f>AU11</f>
        <v>#DIV/0!</v>
      </c>
      <c r="S11" s="97" t="e">
        <f>CA11</f>
        <v>#DIV/0!</v>
      </c>
      <c r="T11" s="97"/>
      <c r="U11" s="74"/>
      <c r="V11" s="74"/>
      <c r="W11" s="74"/>
      <c r="X11" s="95"/>
      <c r="Y11" s="74"/>
      <c r="Z11" s="74"/>
      <c r="AA11" s="74"/>
      <c r="AB11" s="74"/>
      <c r="AC11" s="74"/>
      <c r="AD11" s="74"/>
      <c r="AE11" s="74"/>
      <c r="AF11" s="74"/>
      <c r="AG11" s="74"/>
      <c r="AH11" s="95"/>
      <c r="AI11" s="74"/>
      <c r="AJ11" s="98" t="str">
        <f t="shared" si="27"/>
        <v>-</v>
      </c>
      <c r="AK11" s="98" t="str">
        <f t="shared" si="28"/>
        <v>-</v>
      </c>
      <c r="AL11" s="98" t="str">
        <f t="shared" si="0"/>
        <v>-</v>
      </c>
      <c r="AM11" s="98" t="str">
        <f t="shared" si="29"/>
        <v>-</v>
      </c>
      <c r="AN11" s="98" t="str">
        <f t="shared" si="30"/>
        <v>-</v>
      </c>
      <c r="AO11" s="98" t="str">
        <f t="shared" si="31"/>
        <v>-</v>
      </c>
      <c r="AP11" s="98" t="str">
        <f t="shared" si="32"/>
        <v>-</v>
      </c>
      <c r="AQ11" s="98" t="str">
        <f t="shared" si="33"/>
        <v>-</v>
      </c>
      <c r="AR11" s="98"/>
      <c r="AS11" s="98"/>
      <c r="AT11" s="99" t="e">
        <f t="shared" si="84"/>
        <v>#DIV/0!</v>
      </c>
      <c r="AU11" s="99" t="e">
        <f t="shared" si="84"/>
        <v>#DIV/0!</v>
      </c>
      <c r="AV11" s="99" t="e">
        <f t="shared" si="84"/>
        <v>#DIV/0!</v>
      </c>
      <c r="AW11" s="99" t="e">
        <f t="shared" si="84"/>
        <v>#DIV/0!</v>
      </c>
      <c r="AX11" s="74" t="str">
        <f t="shared" si="35"/>
        <v>-</v>
      </c>
      <c r="AY11" s="74">
        <f t="shared" si="36"/>
        <v>0</v>
      </c>
      <c r="AZ11" s="74">
        <f t="shared" si="37"/>
        <v>0</v>
      </c>
      <c r="BA11" s="98">
        <f t="shared" si="38"/>
        <v>0</v>
      </c>
      <c r="BB11" s="74">
        <f t="shared" si="1"/>
        <v>0</v>
      </c>
      <c r="BC11" s="74">
        <f t="shared" si="2"/>
        <v>0</v>
      </c>
      <c r="BD11" s="74" t="s">
        <v>26</v>
      </c>
      <c r="BE11" s="74" t="e">
        <f>POWER(PEARSON(AX6:AX50,AJ6:AJ50),2)</f>
        <v>#DIV/0!</v>
      </c>
      <c r="BF11" s="74"/>
      <c r="BG11" s="74">
        <f t="shared" si="39"/>
        <v>0</v>
      </c>
      <c r="BH11" s="74">
        <f t="shared" si="40"/>
        <v>0</v>
      </c>
      <c r="BI11" s="98">
        <f t="shared" si="41"/>
        <v>0</v>
      </c>
      <c r="BJ11" s="74">
        <f t="shared" si="3"/>
        <v>0</v>
      </c>
      <c r="BK11" s="74">
        <f t="shared" si="4"/>
        <v>0</v>
      </c>
      <c r="BL11" s="74" t="s">
        <v>26</v>
      </c>
      <c r="BM11" s="74" t="e">
        <f>POWER(PEARSON(AX6:AX50,AK6:AK50),2)</f>
        <v>#DIV/0!</v>
      </c>
      <c r="BN11" s="74">
        <f t="shared" si="42"/>
        <v>0</v>
      </c>
      <c r="BO11" s="74" t="str">
        <f t="shared" si="43"/>
        <v>-</v>
      </c>
      <c r="BP11" s="98" t="str">
        <f t="shared" si="44"/>
        <v>-</v>
      </c>
      <c r="BQ11" s="98" t="str">
        <f t="shared" si="45"/>
        <v>-</v>
      </c>
      <c r="BR11" s="98" t="str">
        <f t="shared" si="5"/>
        <v>-</v>
      </c>
      <c r="BS11" s="98" t="str">
        <f t="shared" si="6"/>
        <v>-</v>
      </c>
      <c r="BT11" s="98" t="str">
        <f t="shared" si="7"/>
        <v>-</v>
      </c>
      <c r="BU11" s="98" t="str">
        <f t="shared" si="8"/>
        <v>-</v>
      </c>
      <c r="BV11" s="98" t="str">
        <f t="shared" si="9"/>
        <v>-</v>
      </c>
      <c r="BW11" s="98" t="str">
        <f t="shared" si="10"/>
        <v>-</v>
      </c>
      <c r="BX11" s="74"/>
      <c r="BY11" s="74"/>
      <c r="BZ11" s="99" t="e">
        <f t="shared" si="85"/>
        <v>#DIV/0!</v>
      </c>
      <c r="CA11" s="99" t="e">
        <f t="shared" si="85"/>
        <v>#DIV/0!</v>
      </c>
      <c r="CB11" s="99" t="e">
        <f t="shared" si="85"/>
        <v>#DIV/0!</v>
      </c>
      <c r="CC11" s="99" t="e">
        <f t="shared" si="85"/>
        <v>#DIV/0!</v>
      </c>
      <c r="CD11" s="74" t="str">
        <f t="shared" si="11"/>
        <v>-</v>
      </c>
      <c r="CE11" s="74">
        <f t="shared" si="47"/>
        <v>0</v>
      </c>
      <c r="CF11" s="74">
        <f t="shared" si="48"/>
        <v>0</v>
      </c>
      <c r="CG11" s="98">
        <f t="shared" si="49"/>
        <v>0</v>
      </c>
      <c r="CH11" s="74">
        <f t="shared" si="12"/>
        <v>0</v>
      </c>
      <c r="CI11" s="74">
        <f t="shared" si="13"/>
        <v>0</v>
      </c>
      <c r="CJ11" s="74" t="s">
        <v>26</v>
      </c>
      <c r="CK11" s="74" t="e">
        <f>POWER(PEARSON(CD6:CD50,BP6:BP50),2)</f>
        <v>#DIV/0!</v>
      </c>
      <c r="CL11" s="74"/>
      <c r="CM11" s="74">
        <f t="shared" si="14"/>
        <v>0</v>
      </c>
      <c r="CN11" s="74">
        <f t="shared" si="50"/>
        <v>0</v>
      </c>
      <c r="CO11" s="98">
        <f t="shared" si="51"/>
        <v>0</v>
      </c>
      <c r="CP11" s="74">
        <f t="shared" si="15"/>
        <v>0</v>
      </c>
      <c r="CQ11" s="74">
        <f t="shared" si="16"/>
        <v>0</v>
      </c>
      <c r="CR11" s="74" t="s">
        <v>26</v>
      </c>
      <c r="CS11" s="74" t="e">
        <f>POWER(PEARSON(CD6:CD50,BQ6:BQ50),2)</f>
        <v>#DIV/0!</v>
      </c>
      <c r="CT11" s="74"/>
      <c r="CU11" s="74"/>
      <c r="CV11" s="98" t="str">
        <f t="shared" si="17"/>
        <v>-</v>
      </c>
      <c r="CW11" s="95" t="str">
        <f t="shared" si="18"/>
        <v>-</v>
      </c>
      <c r="CX11" s="74" t="str">
        <f t="shared" si="52"/>
        <v>-</v>
      </c>
      <c r="CY11" s="74" t="str">
        <f t="shared" si="19"/>
        <v>-</v>
      </c>
      <c r="CZ11" s="100" t="str">
        <f t="shared" si="20"/>
        <v>-</v>
      </c>
      <c r="DA11" s="58" t="str">
        <f t="shared" si="53"/>
        <v>-</v>
      </c>
      <c r="DB11" s="58" t="str">
        <f t="shared" si="54"/>
        <v>-</v>
      </c>
      <c r="DC11" s="58" t="str">
        <f t="shared" si="55"/>
        <v>-</v>
      </c>
      <c r="DD11" s="58" t="str">
        <f t="shared" si="56"/>
        <v>-</v>
      </c>
      <c r="DE11" s="58">
        <f>IF(DE6=MAX(DE6:DE9),1,IF(DE7=MAX(DE6:DE9),2,IF(DE8=MAX(DE6:DE9),3,4)))</f>
        <v>1</v>
      </c>
      <c r="DF11" s="58"/>
      <c r="DG11" s="58"/>
      <c r="DH11" s="98" t="str">
        <f t="shared" si="57"/>
        <v>-</v>
      </c>
      <c r="DI11" s="98" t="str">
        <f t="shared" si="58"/>
        <v>-</v>
      </c>
      <c r="DJ11" s="74" t="str">
        <f t="shared" si="59"/>
        <v>-</v>
      </c>
      <c r="DK11" s="74" t="str">
        <f t="shared" si="59"/>
        <v>-</v>
      </c>
      <c r="DL11" s="100" t="str">
        <f t="shared" si="22"/>
        <v>-</v>
      </c>
      <c r="DM11" s="58" t="str">
        <f t="shared" si="60"/>
        <v>-</v>
      </c>
      <c r="DN11" s="58" t="str">
        <f t="shared" si="61"/>
        <v>-</v>
      </c>
      <c r="DO11" s="58" t="str">
        <f t="shared" si="62"/>
        <v>-</v>
      </c>
      <c r="DP11" s="58" t="str">
        <f t="shared" si="63"/>
        <v>-</v>
      </c>
      <c r="DQ11" s="58">
        <f>IF(DQ6=MAX(DQ6:DQ9),1,IF(DQ7=MAX(DQ6:DQ9),2,IF(DQ8=MAX(DQ6:DQ9),3,4)))</f>
        <v>1</v>
      </c>
      <c r="DR11" s="58"/>
      <c r="DS11" s="74"/>
      <c r="DT11" s="98" t="str">
        <f t="shared" si="86"/>
        <v>-</v>
      </c>
      <c r="DU11" s="98" t="str">
        <f t="shared" si="64"/>
        <v>-</v>
      </c>
      <c r="DV11" s="74" t="str">
        <f t="shared" si="65"/>
        <v>-</v>
      </c>
      <c r="DW11" s="74" t="str">
        <f t="shared" si="65"/>
        <v>-</v>
      </c>
      <c r="DX11" s="100" t="str">
        <f t="shared" si="24"/>
        <v>-</v>
      </c>
      <c r="DY11" s="58" t="str">
        <f t="shared" si="66"/>
        <v>-</v>
      </c>
      <c r="DZ11" s="58" t="str">
        <f t="shared" si="67"/>
        <v>-</v>
      </c>
      <c r="EA11" s="58" t="str">
        <f t="shared" si="68"/>
        <v>-</v>
      </c>
      <c r="EB11" s="58" t="str">
        <f t="shared" si="69"/>
        <v>-</v>
      </c>
      <c r="EC11" s="58">
        <f>IF(EC6=MAX(EC6:EC9),1,IF(EC7=MAX(EC6:EC9),2,IF(EC8=MAX(EC6:EC9),3,4)))</f>
        <v>1</v>
      </c>
      <c r="ED11" s="58"/>
      <c r="EE11" s="74"/>
      <c r="EF11" s="98" t="str">
        <f t="shared" si="70"/>
        <v>-</v>
      </c>
      <c r="EG11" s="98" t="str">
        <f t="shared" si="71"/>
        <v>-</v>
      </c>
      <c r="EH11" s="74" t="str">
        <f t="shared" si="72"/>
        <v>-</v>
      </c>
      <c r="EI11" s="74" t="str">
        <f t="shared" si="72"/>
        <v>-</v>
      </c>
      <c r="EJ11" s="100" t="str">
        <f t="shared" si="26"/>
        <v>-</v>
      </c>
      <c r="EK11" s="58" t="str">
        <f t="shared" si="73"/>
        <v>-</v>
      </c>
      <c r="EL11" s="58" t="str">
        <f t="shared" si="74"/>
        <v>-</v>
      </c>
      <c r="EM11" s="58" t="str">
        <f t="shared" si="75"/>
        <v>-</v>
      </c>
      <c r="EN11" s="58" t="str">
        <f t="shared" si="76"/>
        <v>-</v>
      </c>
      <c r="EO11" s="58">
        <f>IF(EO6=MAX(EO6:EO9),1,IF(EO7=MAX(EO6:EO9),2,IF(EO8=MAX(EO6:EO9),3,4)))</f>
        <v>1</v>
      </c>
      <c r="EP11" s="58"/>
      <c r="EQ11" s="74"/>
      <c r="ER11" s="98" t="str">
        <f t="shared" si="77"/>
        <v>-</v>
      </c>
      <c r="ES11" s="98" t="str">
        <f t="shared" si="78"/>
        <v>-</v>
      </c>
      <c r="ET11" s="98" t="str">
        <f t="shared" si="79"/>
        <v>-</v>
      </c>
      <c r="EU11" s="98" t="str">
        <f t="shared" si="80"/>
        <v>-</v>
      </c>
      <c r="EV11" s="74"/>
      <c r="EW11" s="74"/>
      <c r="EX11" s="74"/>
      <c r="EY11" s="74" t="str">
        <f>IF(E11=0,"-",LARGE(E6:E50,6))</f>
        <v>-</v>
      </c>
      <c r="EZ11" s="77" t="str">
        <f t="shared" si="81"/>
        <v>-</v>
      </c>
      <c r="FA11" s="77">
        <f t="shared" si="82"/>
        <v>0</v>
      </c>
      <c r="FB11" s="77" t="str">
        <f t="shared" si="83"/>
        <v>-</v>
      </c>
      <c r="FC11" s="77" t="str">
        <f>IF(FB11="-","-",SMALL(FB6:FB50,6))</f>
        <v>-</v>
      </c>
    </row>
    <row r="12" spans="1:159" s="77" customFormat="1">
      <c r="A12" s="29"/>
      <c r="B12" s="77" t="str">
        <f>IF(Main!$BL$5&gt;6,"x","")</f>
        <v/>
      </c>
      <c r="C12" s="95">
        <f>'1'!R9</f>
        <v>0</v>
      </c>
      <c r="D12" s="96">
        <f>'1'!J9</f>
        <v>0</v>
      </c>
      <c r="E12" s="96">
        <f>'1'!K9</f>
        <v>0</v>
      </c>
      <c r="F12" s="29"/>
      <c r="G12" s="77" t="str">
        <f>IF(Main!$BN$5&gt;6,"x","")</f>
        <v/>
      </c>
      <c r="H12" s="71"/>
      <c r="I12" s="71"/>
      <c r="J12" s="29"/>
      <c r="K12" s="29"/>
      <c r="L12" s="96">
        <f>'3'!R9</f>
        <v>0</v>
      </c>
      <c r="M12" s="77">
        <f>'3'!J9</f>
        <v>0</v>
      </c>
      <c r="N12" s="74">
        <f>'3'!K9</f>
        <v>0</v>
      </c>
      <c r="O12" s="74"/>
      <c r="P12" s="58"/>
      <c r="Q12" s="58" t="s">
        <v>27</v>
      </c>
      <c r="R12" s="97" t="e">
        <f>AVERAGE(AP6:AP35)</f>
        <v>#DIV/0!</v>
      </c>
      <c r="S12" s="97" t="e">
        <f>AVERAGE(BV6:BV35)</f>
        <v>#DIV/0!</v>
      </c>
      <c r="T12" s="97" t="e">
        <f>AVERAGE(ET6:ET35)</f>
        <v>#DIV/0!</v>
      </c>
      <c r="U12" s="74"/>
      <c r="V12" s="74"/>
      <c r="W12" s="74"/>
      <c r="X12" s="95"/>
      <c r="Y12" s="74"/>
      <c r="Z12" s="74"/>
      <c r="AA12" s="74"/>
      <c r="AB12" s="74"/>
      <c r="AC12" s="74"/>
      <c r="AD12" s="74"/>
      <c r="AE12" s="74"/>
      <c r="AF12" s="74"/>
      <c r="AG12" s="74"/>
      <c r="AH12" s="95"/>
      <c r="AI12" s="74"/>
      <c r="AJ12" s="98" t="str">
        <f t="shared" si="27"/>
        <v>-</v>
      </c>
      <c r="AK12" s="98" t="str">
        <f t="shared" si="28"/>
        <v>-</v>
      </c>
      <c r="AL12" s="98" t="str">
        <f t="shared" si="0"/>
        <v>-</v>
      </c>
      <c r="AM12" s="98" t="str">
        <f t="shared" si="29"/>
        <v>-</v>
      </c>
      <c r="AN12" s="98" t="str">
        <f t="shared" si="30"/>
        <v>-</v>
      </c>
      <c r="AO12" s="98" t="str">
        <f t="shared" si="31"/>
        <v>-</v>
      </c>
      <c r="AP12" s="98" t="str">
        <f t="shared" si="32"/>
        <v>-</v>
      </c>
      <c r="AQ12" s="98" t="str">
        <f t="shared" si="33"/>
        <v>-</v>
      </c>
      <c r="AR12" s="98"/>
      <c r="AS12" s="98"/>
      <c r="AT12" s="99" t="e">
        <f t="shared" si="84"/>
        <v>#DIV/0!</v>
      </c>
      <c r="AU12" s="99" t="e">
        <f t="shared" si="84"/>
        <v>#DIV/0!</v>
      </c>
      <c r="AV12" s="99" t="e">
        <f t="shared" si="84"/>
        <v>#DIV/0!</v>
      </c>
      <c r="AW12" s="99" t="e">
        <f t="shared" si="84"/>
        <v>#DIV/0!</v>
      </c>
      <c r="AX12" s="74" t="str">
        <f t="shared" si="35"/>
        <v>-</v>
      </c>
      <c r="AY12" s="74">
        <f t="shared" si="36"/>
        <v>0</v>
      </c>
      <c r="AZ12" s="74">
        <f t="shared" si="37"/>
        <v>0</v>
      </c>
      <c r="BA12" s="98">
        <f t="shared" si="38"/>
        <v>0</v>
      </c>
      <c r="BB12" s="74">
        <f t="shared" si="1"/>
        <v>0</v>
      </c>
      <c r="BC12" s="74">
        <f t="shared" si="2"/>
        <v>0</v>
      </c>
      <c r="BD12" s="74"/>
      <c r="BE12" s="74"/>
      <c r="BF12" s="74"/>
      <c r="BG12" s="74">
        <f t="shared" si="39"/>
        <v>0</v>
      </c>
      <c r="BH12" s="74">
        <f t="shared" si="40"/>
        <v>0</v>
      </c>
      <c r="BI12" s="98">
        <f t="shared" si="41"/>
        <v>0</v>
      </c>
      <c r="BJ12" s="74">
        <f t="shared" si="3"/>
        <v>0</v>
      </c>
      <c r="BK12" s="74">
        <f t="shared" si="4"/>
        <v>0</v>
      </c>
      <c r="BL12" s="74"/>
      <c r="BM12" s="74"/>
      <c r="BN12" s="74">
        <f t="shared" si="42"/>
        <v>0</v>
      </c>
      <c r="BO12" s="74" t="str">
        <f t="shared" si="43"/>
        <v>-</v>
      </c>
      <c r="BP12" s="98" t="str">
        <f t="shared" si="44"/>
        <v>-</v>
      </c>
      <c r="BQ12" s="98" t="str">
        <f t="shared" si="45"/>
        <v>-</v>
      </c>
      <c r="BR12" s="98" t="str">
        <f t="shared" si="5"/>
        <v>-</v>
      </c>
      <c r="BS12" s="98" t="str">
        <f t="shared" si="6"/>
        <v>-</v>
      </c>
      <c r="BT12" s="98" t="str">
        <f t="shared" si="7"/>
        <v>-</v>
      </c>
      <c r="BU12" s="98" t="str">
        <f t="shared" si="8"/>
        <v>-</v>
      </c>
      <c r="BV12" s="98" t="str">
        <f t="shared" si="9"/>
        <v>-</v>
      </c>
      <c r="BW12" s="98" t="str">
        <f t="shared" si="10"/>
        <v>-</v>
      </c>
      <c r="BX12" s="74"/>
      <c r="BY12" s="74"/>
      <c r="BZ12" s="99" t="e">
        <f t="shared" si="85"/>
        <v>#DIV/0!</v>
      </c>
      <c r="CA12" s="99" t="e">
        <f t="shared" si="85"/>
        <v>#DIV/0!</v>
      </c>
      <c r="CB12" s="99" t="e">
        <f t="shared" si="85"/>
        <v>#DIV/0!</v>
      </c>
      <c r="CC12" s="99" t="e">
        <f t="shared" si="85"/>
        <v>#DIV/0!</v>
      </c>
      <c r="CD12" s="74" t="str">
        <f t="shared" si="11"/>
        <v>-</v>
      </c>
      <c r="CE12" s="74">
        <f t="shared" si="47"/>
        <v>0</v>
      </c>
      <c r="CF12" s="74">
        <f t="shared" si="48"/>
        <v>0</v>
      </c>
      <c r="CG12" s="98">
        <f t="shared" si="49"/>
        <v>0</v>
      </c>
      <c r="CH12" s="74">
        <f t="shared" si="12"/>
        <v>0</v>
      </c>
      <c r="CI12" s="74">
        <f t="shared" si="13"/>
        <v>0</v>
      </c>
      <c r="CJ12" s="74"/>
      <c r="CK12" s="74"/>
      <c r="CL12" s="74"/>
      <c r="CM12" s="74">
        <f t="shared" si="14"/>
        <v>0</v>
      </c>
      <c r="CN12" s="74">
        <f t="shared" si="50"/>
        <v>0</v>
      </c>
      <c r="CO12" s="98">
        <f t="shared" si="51"/>
        <v>0</v>
      </c>
      <c r="CP12" s="74">
        <f t="shared" si="15"/>
        <v>0</v>
      </c>
      <c r="CQ12" s="74">
        <f t="shared" si="16"/>
        <v>0</v>
      </c>
      <c r="CR12" s="74"/>
      <c r="CS12" s="74"/>
      <c r="CT12" s="74"/>
      <c r="CU12" s="74"/>
      <c r="CV12" s="98" t="str">
        <f t="shared" si="17"/>
        <v>-</v>
      </c>
      <c r="CW12" s="95" t="str">
        <f t="shared" si="18"/>
        <v>-</v>
      </c>
      <c r="CX12" s="74" t="str">
        <f t="shared" si="52"/>
        <v>-</v>
      </c>
      <c r="CY12" s="74" t="str">
        <f t="shared" si="19"/>
        <v>-</v>
      </c>
      <c r="CZ12" s="100" t="str">
        <f t="shared" si="20"/>
        <v>-</v>
      </c>
      <c r="DA12" s="58" t="str">
        <f t="shared" si="53"/>
        <v>-</v>
      </c>
      <c r="DB12" s="58" t="str">
        <f t="shared" si="54"/>
        <v>-</v>
      </c>
      <c r="DC12" s="58" t="str">
        <f t="shared" si="55"/>
        <v>-</v>
      </c>
      <c r="DD12" s="58" t="str">
        <f t="shared" si="56"/>
        <v>-</v>
      </c>
      <c r="DE12" s="58"/>
      <c r="DF12" s="58"/>
      <c r="DG12" s="58"/>
      <c r="DH12" s="98" t="str">
        <f t="shared" si="57"/>
        <v>-</v>
      </c>
      <c r="DI12" s="98" t="str">
        <f t="shared" si="58"/>
        <v>-</v>
      </c>
      <c r="DJ12" s="74" t="str">
        <f t="shared" si="59"/>
        <v>-</v>
      </c>
      <c r="DK12" s="74" t="str">
        <f t="shared" si="59"/>
        <v>-</v>
      </c>
      <c r="DL12" s="100" t="str">
        <f t="shared" si="22"/>
        <v>-</v>
      </c>
      <c r="DM12" s="58" t="str">
        <f t="shared" si="60"/>
        <v>-</v>
      </c>
      <c r="DN12" s="58" t="str">
        <f t="shared" si="61"/>
        <v>-</v>
      </c>
      <c r="DO12" s="58" t="str">
        <f t="shared" si="62"/>
        <v>-</v>
      </c>
      <c r="DP12" s="58" t="str">
        <f t="shared" si="63"/>
        <v>-</v>
      </c>
      <c r="DQ12" s="58"/>
      <c r="DR12" s="58"/>
      <c r="DS12" s="74"/>
      <c r="DT12" s="98" t="str">
        <f t="shared" si="86"/>
        <v>-</v>
      </c>
      <c r="DU12" s="98" t="str">
        <f t="shared" si="64"/>
        <v>-</v>
      </c>
      <c r="DV12" s="74" t="str">
        <f t="shared" si="65"/>
        <v>-</v>
      </c>
      <c r="DW12" s="74" t="str">
        <f t="shared" si="65"/>
        <v>-</v>
      </c>
      <c r="DX12" s="100" t="str">
        <f t="shared" si="24"/>
        <v>-</v>
      </c>
      <c r="DY12" s="58" t="str">
        <f t="shared" si="66"/>
        <v>-</v>
      </c>
      <c r="DZ12" s="58" t="str">
        <f t="shared" si="67"/>
        <v>-</v>
      </c>
      <c r="EA12" s="58" t="str">
        <f t="shared" si="68"/>
        <v>-</v>
      </c>
      <c r="EB12" s="58" t="str">
        <f t="shared" si="69"/>
        <v>-</v>
      </c>
      <c r="EC12" s="58"/>
      <c r="ED12" s="58"/>
      <c r="EE12" s="74"/>
      <c r="EF12" s="98" t="str">
        <f t="shared" si="70"/>
        <v>-</v>
      </c>
      <c r="EG12" s="98" t="str">
        <f t="shared" si="71"/>
        <v>-</v>
      </c>
      <c r="EH12" s="74" t="str">
        <f t="shared" si="72"/>
        <v>-</v>
      </c>
      <c r="EI12" s="74" t="str">
        <f t="shared" si="72"/>
        <v>-</v>
      </c>
      <c r="EJ12" s="100" t="str">
        <f t="shared" si="26"/>
        <v>-</v>
      </c>
      <c r="EK12" s="58" t="str">
        <f t="shared" si="73"/>
        <v>-</v>
      </c>
      <c r="EL12" s="58" t="str">
        <f t="shared" si="74"/>
        <v>-</v>
      </c>
      <c r="EM12" s="58" t="str">
        <f t="shared" si="75"/>
        <v>-</v>
      </c>
      <c r="EN12" s="58" t="str">
        <f t="shared" si="76"/>
        <v>-</v>
      </c>
      <c r="EO12" s="58"/>
      <c r="EP12" s="58"/>
      <c r="EQ12" s="74"/>
      <c r="ER12" s="98" t="str">
        <f t="shared" si="77"/>
        <v>-</v>
      </c>
      <c r="ES12" s="98" t="str">
        <f t="shared" si="78"/>
        <v>-</v>
      </c>
      <c r="ET12" s="98" t="str">
        <f t="shared" si="79"/>
        <v>-</v>
      </c>
      <c r="EU12" s="98" t="str">
        <f t="shared" si="80"/>
        <v>-</v>
      </c>
      <c r="EV12" s="74"/>
      <c r="EW12" s="74"/>
      <c r="EX12" s="74"/>
      <c r="EY12" s="74" t="str">
        <f>IF(E12=0,"-",LARGE(E6:E50,7))</f>
        <v>-</v>
      </c>
      <c r="EZ12" s="77" t="str">
        <f t="shared" si="81"/>
        <v>-</v>
      </c>
      <c r="FA12" s="77">
        <f t="shared" si="82"/>
        <v>0</v>
      </c>
      <c r="FB12" s="77" t="str">
        <f t="shared" si="83"/>
        <v>-</v>
      </c>
      <c r="FC12" s="77" t="str">
        <f>IF(FB12="-","-",SMALL(FB6:FB50,7))</f>
        <v>-</v>
      </c>
    </row>
    <row r="13" spans="1:159" s="77" customFormat="1">
      <c r="A13" s="29"/>
      <c r="B13" s="77" t="str">
        <f>IF(Main!$BL$5&gt;7,"x","")</f>
        <v/>
      </c>
      <c r="C13" s="95">
        <f>'1'!R10</f>
        <v>0</v>
      </c>
      <c r="D13" s="96">
        <f>'1'!J10</f>
        <v>0</v>
      </c>
      <c r="E13" s="96">
        <f>'1'!K10</f>
        <v>0</v>
      </c>
      <c r="F13" s="29"/>
      <c r="G13" s="77" t="str">
        <f>IF(Main!$BN$5&gt;7,"x","")</f>
        <v/>
      </c>
      <c r="H13" s="71"/>
      <c r="I13" s="71"/>
      <c r="J13" s="29"/>
      <c r="K13" s="29"/>
      <c r="L13" s="96">
        <f>'3'!R10</f>
        <v>0</v>
      </c>
      <c r="M13" s="77">
        <f>'3'!J10</f>
        <v>0</v>
      </c>
      <c r="N13" s="74">
        <f>'3'!K10</f>
        <v>0</v>
      </c>
      <c r="O13" s="74"/>
      <c r="P13" s="58"/>
      <c r="Q13" s="58" t="s">
        <v>28</v>
      </c>
      <c r="R13" s="97" t="e">
        <f>STDEV(AP6:AP35)</f>
        <v>#DIV/0!</v>
      </c>
      <c r="S13" s="97" t="e">
        <f>STDEV(BV6:BV35)</f>
        <v>#DIV/0!</v>
      </c>
      <c r="T13" s="97" t="e">
        <f>STDEV(ET6:ET35)</f>
        <v>#DIV/0!</v>
      </c>
      <c r="U13" s="74"/>
      <c r="V13" s="74"/>
      <c r="W13" s="74"/>
      <c r="X13" s="95"/>
      <c r="Y13" s="74"/>
      <c r="Z13" s="74"/>
      <c r="AA13" s="74"/>
      <c r="AB13" s="74"/>
      <c r="AC13" s="74"/>
      <c r="AD13" s="74"/>
      <c r="AE13" s="74"/>
      <c r="AF13" s="74"/>
      <c r="AG13" s="74"/>
      <c r="AH13" s="95"/>
      <c r="AI13" s="74"/>
      <c r="AJ13" s="98" t="str">
        <f t="shared" si="27"/>
        <v>-</v>
      </c>
      <c r="AK13" s="98" t="str">
        <f t="shared" si="28"/>
        <v>-</v>
      </c>
      <c r="AL13" s="98" t="str">
        <f t="shared" si="0"/>
        <v>-</v>
      </c>
      <c r="AM13" s="98" t="str">
        <f t="shared" si="29"/>
        <v>-</v>
      </c>
      <c r="AN13" s="98" t="str">
        <f t="shared" si="30"/>
        <v>-</v>
      </c>
      <c r="AO13" s="98" t="str">
        <f t="shared" si="31"/>
        <v>-</v>
      </c>
      <c r="AP13" s="98" t="str">
        <f t="shared" si="32"/>
        <v>-</v>
      </c>
      <c r="AQ13" s="98" t="str">
        <f t="shared" si="33"/>
        <v>-</v>
      </c>
      <c r="AR13" s="74"/>
      <c r="AS13" s="98"/>
      <c r="AT13" s="99" t="e">
        <f t="shared" si="84"/>
        <v>#DIV/0!</v>
      </c>
      <c r="AU13" s="99" t="e">
        <f t="shared" si="84"/>
        <v>#DIV/0!</v>
      </c>
      <c r="AV13" s="99" t="e">
        <f t="shared" si="84"/>
        <v>#DIV/0!</v>
      </c>
      <c r="AW13" s="99" t="e">
        <f t="shared" si="84"/>
        <v>#DIV/0!</v>
      </c>
      <c r="AX13" s="74" t="str">
        <f t="shared" si="35"/>
        <v>-</v>
      </c>
      <c r="AY13" s="74">
        <f t="shared" si="36"/>
        <v>0</v>
      </c>
      <c r="AZ13" s="74">
        <f t="shared" si="37"/>
        <v>0</v>
      </c>
      <c r="BA13" s="98">
        <f t="shared" si="38"/>
        <v>0</v>
      </c>
      <c r="BB13" s="74">
        <f t="shared" si="1"/>
        <v>0</v>
      </c>
      <c r="BC13" s="74">
        <f t="shared" si="2"/>
        <v>0</v>
      </c>
      <c r="BD13" s="74"/>
      <c r="BE13" s="74"/>
      <c r="BF13" s="74"/>
      <c r="BG13" s="74">
        <f t="shared" si="39"/>
        <v>0</v>
      </c>
      <c r="BH13" s="74">
        <f t="shared" si="40"/>
        <v>0</v>
      </c>
      <c r="BI13" s="98">
        <f t="shared" si="41"/>
        <v>0</v>
      </c>
      <c r="BJ13" s="74">
        <f t="shared" si="3"/>
        <v>0</v>
      </c>
      <c r="BK13" s="74">
        <f t="shared" si="4"/>
        <v>0</v>
      </c>
      <c r="BL13" s="74"/>
      <c r="BM13" s="74"/>
      <c r="BN13" s="74">
        <f t="shared" si="42"/>
        <v>0</v>
      </c>
      <c r="BO13" s="74" t="str">
        <f t="shared" si="43"/>
        <v>-</v>
      </c>
      <c r="BP13" s="98" t="str">
        <f t="shared" si="44"/>
        <v>-</v>
      </c>
      <c r="BQ13" s="98" t="str">
        <f t="shared" si="45"/>
        <v>-</v>
      </c>
      <c r="BR13" s="98" t="str">
        <f t="shared" si="5"/>
        <v>-</v>
      </c>
      <c r="BS13" s="98" t="str">
        <f t="shared" si="6"/>
        <v>-</v>
      </c>
      <c r="BT13" s="98" t="str">
        <f t="shared" si="7"/>
        <v>-</v>
      </c>
      <c r="BU13" s="98" t="str">
        <f t="shared" si="8"/>
        <v>-</v>
      </c>
      <c r="BV13" s="98" t="str">
        <f t="shared" si="9"/>
        <v>-</v>
      </c>
      <c r="BW13" s="98" t="str">
        <f t="shared" si="10"/>
        <v>-</v>
      </c>
      <c r="BX13" s="74"/>
      <c r="BY13" s="74"/>
      <c r="BZ13" s="99" t="e">
        <f t="shared" si="85"/>
        <v>#DIV/0!</v>
      </c>
      <c r="CA13" s="99" t="e">
        <f t="shared" si="85"/>
        <v>#DIV/0!</v>
      </c>
      <c r="CB13" s="99" t="e">
        <f t="shared" si="85"/>
        <v>#DIV/0!</v>
      </c>
      <c r="CC13" s="99" t="e">
        <f t="shared" si="85"/>
        <v>#DIV/0!</v>
      </c>
      <c r="CD13" s="74" t="str">
        <f t="shared" si="11"/>
        <v>-</v>
      </c>
      <c r="CE13" s="74">
        <f t="shared" si="47"/>
        <v>0</v>
      </c>
      <c r="CF13" s="74">
        <f t="shared" si="48"/>
        <v>0</v>
      </c>
      <c r="CG13" s="98">
        <f t="shared" si="49"/>
        <v>0</v>
      </c>
      <c r="CH13" s="74">
        <f t="shared" si="12"/>
        <v>0</v>
      </c>
      <c r="CI13" s="74">
        <f t="shared" si="13"/>
        <v>0</v>
      </c>
      <c r="CJ13" s="74"/>
      <c r="CK13" s="74"/>
      <c r="CL13" s="74"/>
      <c r="CM13" s="74">
        <f t="shared" si="14"/>
        <v>0</v>
      </c>
      <c r="CN13" s="74">
        <f t="shared" si="50"/>
        <v>0</v>
      </c>
      <c r="CO13" s="98">
        <f t="shared" si="51"/>
        <v>0</v>
      </c>
      <c r="CP13" s="74">
        <f t="shared" si="15"/>
        <v>0</v>
      </c>
      <c r="CQ13" s="74">
        <f t="shared" si="16"/>
        <v>0</v>
      </c>
      <c r="CR13" s="74"/>
      <c r="CS13" s="74"/>
      <c r="CT13" s="74"/>
      <c r="CU13" s="74"/>
      <c r="CV13" s="98" t="str">
        <f t="shared" si="17"/>
        <v>-</v>
      </c>
      <c r="CW13" s="95" t="str">
        <f t="shared" si="18"/>
        <v>-</v>
      </c>
      <c r="CX13" s="74" t="str">
        <f t="shared" si="52"/>
        <v>-</v>
      </c>
      <c r="CY13" s="74" t="str">
        <f t="shared" si="19"/>
        <v>-</v>
      </c>
      <c r="CZ13" s="100" t="str">
        <f t="shared" si="20"/>
        <v>-</v>
      </c>
      <c r="DA13" s="58" t="str">
        <f t="shared" si="53"/>
        <v>-</v>
      </c>
      <c r="DB13" s="58" t="str">
        <f t="shared" si="54"/>
        <v>-</v>
      </c>
      <c r="DC13" s="58" t="str">
        <f t="shared" si="55"/>
        <v>-</v>
      </c>
      <c r="DD13" s="58" t="str">
        <f t="shared" si="56"/>
        <v>-</v>
      </c>
      <c r="DE13" s="74">
        <f>SUM(DE6:DE9)</f>
        <v>0</v>
      </c>
      <c r="DF13" s="74"/>
      <c r="DG13" s="74"/>
      <c r="DH13" s="98" t="str">
        <f t="shared" si="57"/>
        <v>-</v>
      </c>
      <c r="DI13" s="98" t="str">
        <f t="shared" si="58"/>
        <v>-</v>
      </c>
      <c r="DJ13" s="74" t="str">
        <f t="shared" si="59"/>
        <v>-</v>
      </c>
      <c r="DK13" s="74" t="str">
        <f t="shared" si="59"/>
        <v>-</v>
      </c>
      <c r="DL13" s="100" t="str">
        <f t="shared" si="22"/>
        <v>-</v>
      </c>
      <c r="DM13" s="58" t="str">
        <f t="shared" si="60"/>
        <v>-</v>
      </c>
      <c r="DN13" s="58" t="str">
        <f t="shared" si="61"/>
        <v>-</v>
      </c>
      <c r="DO13" s="58" t="str">
        <f t="shared" si="62"/>
        <v>-</v>
      </c>
      <c r="DP13" s="58" t="str">
        <f t="shared" si="63"/>
        <v>-</v>
      </c>
      <c r="DQ13" s="74">
        <f>SUM(DQ6:DQ9)</f>
        <v>0</v>
      </c>
      <c r="DR13" s="58"/>
      <c r="DS13" s="74"/>
      <c r="DT13" s="98" t="str">
        <f t="shared" si="86"/>
        <v>-</v>
      </c>
      <c r="DU13" s="98" t="str">
        <f t="shared" si="64"/>
        <v>-</v>
      </c>
      <c r="DV13" s="74" t="str">
        <f t="shared" si="65"/>
        <v>-</v>
      </c>
      <c r="DW13" s="74" t="str">
        <f t="shared" si="65"/>
        <v>-</v>
      </c>
      <c r="DX13" s="100" t="str">
        <f t="shared" si="24"/>
        <v>-</v>
      </c>
      <c r="DY13" s="58" t="str">
        <f t="shared" si="66"/>
        <v>-</v>
      </c>
      <c r="DZ13" s="58" t="str">
        <f t="shared" si="67"/>
        <v>-</v>
      </c>
      <c r="EA13" s="58" t="str">
        <f t="shared" si="68"/>
        <v>-</v>
      </c>
      <c r="EB13" s="58" t="str">
        <f t="shared" si="69"/>
        <v>-</v>
      </c>
      <c r="EC13" s="74">
        <f>SUM(EC6:EC9)</f>
        <v>0</v>
      </c>
      <c r="ED13" s="58"/>
      <c r="EE13" s="74"/>
      <c r="EF13" s="98" t="str">
        <f t="shared" si="70"/>
        <v>-</v>
      </c>
      <c r="EG13" s="98" t="str">
        <f t="shared" si="71"/>
        <v>-</v>
      </c>
      <c r="EH13" s="74" t="str">
        <f t="shared" si="72"/>
        <v>-</v>
      </c>
      <c r="EI13" s="74" t="str">
        <f t="shared" si="72"/>
        <v>-</v>
      </c>
      <c r="EJ13" s="100" t="str">
        <f t="shared" si="26"/>
        <v>-</v>
      </c>
      <c r="EK13" s="58" t="str">
        <f t="shared" si="73"/>
        <v>-</v>
      </c>
      <c r="EL13" s="58" t="str">
        <f t="shared" si="74"/>
        <v>-</v>
      </c>
      <c r="EM13" s="58" t="str">
        <f t="shared" si="75"/>
        <v>-</v>
      </c>
      <c r="EN13" s="58" t="str">
        <f t="shared" si="76"/>
        <v>-</v>
      </c>
      <c r="EO13" s="74">
        <f>SUM(EO6:EO9)</f>
        <v>0</v>
      </c>
      <c r="EP13" s="58"/>
      <c r="EQ13" s="74"/>
      <c r="ER13" s="98" t="str">
        <f t="shared" si="77"/>
        <v>-</v>
      </c>
      <c r="ES13" s="98" t="str">
        <f t="shared" si="78"/>
        <v>-</v>
      </c>
      <c r="ET13" s="98" t="str">
        <f t="shared" si="79"/>
        <v>-</v>
      </c>
      <c r="EU13" s="98" t="str">
        <f t="shared" si="80"/>
        <v>-</v>
      </c>
      <c r="EV13" s="74"/>
      <c r="EW13" s="74"/>
      <c r="EX13" s="74"/>
      <c r="EY13" s="74" t="str">
        <f>IF(E13=0,"-",LARGE(E6:E50,8))</f>
        <v>-</v>
      </c>
      <c r="EZ13" s="77" t="str">
        <f t="shared" si="81"/>
        <v>-</v>
      </c>
      <c r="FA13" s="77">
        <f t="shared" si="82"/>
        <v>0</v>
      </c>
      <c r="FB13" s="77" t="str">
        <f t="shared" si="83"/>
        <v>-</v>
      </c>
      <c r="FC13" s="77" t="str">
        <f>IF(FB13="-","-",SMALL(FB6:FB50,8))</f>
        <v>-</v>
      </c>
    </row>
    <row r="14" spans="1:159" s="77" customFormat="1">
      <c r="B14" s="77" t="str">
        <f>IF(Main!$BL$5&gt;8,"x","")</f>
        <v/>
      </c>
      <c r="C14" s="95">
        <f>'1'!R11</f>
        <v>0</v>
      </c>
      <c r="D14" s="96">
        <f>'1'!J11</f>
        <v>0</v>
      </c>
      <c r="E14" s="96">
        <f>'1'!K11</f>
        <v>0</v>
      </c>
      <c r="F14" s="74"/>
      <c r="G14" s="77" t="str">
        <f>IF(Main!$BN$5&gt;8,"x","")</f>
        <v/>
      </c>
      <c r="H14" s="74"/>
      <c r="I14" s="74"/>
      <c r="J14" s="74"/>
      <c r="K14" s="74"/>
      <c r="L14" s="96">
        <f>'3'!R11</f>
        <v>0</v>
      </c>
      <c r="M14" s="77">
        <f>'3'!J11</f>
        <v>0</v>
      </c>
      <c r="N14" s="74">
        <f>'3'!K11</f>
        <v>0</v>
      </c>
      <c r="O14" s="74"/>
      <c r="P14" s="58"/>
      <c r="Q14" s="58" t="s">
        <v>29</v>
      </c>
      <c r="R14" s="97">
        <f>MAX(AP6:AP35)</f>
        <v>0</v>
      </c>
      <c r="S14" s="97">
        <f>MAX(BV6:BV35)</f>
        <v>0</v>
      </c>
      <c r="T14" s="97">
        <f>MAX(ET6:ET35)</f>
        <v>0</v>
      </c>
      <c r="U14" s="74"/>
      <c r="V14" s="74"/>
      <c r="W14" s="74"/>
      <c r="X14" s="95"/>
      <c r="Y14" s="74"/>
      <c r="Z14" s="74"/>
      <c r="AA14" s="74"/>
      <c r="AB14" s="74"/>
      <c r="AC14" s="74"/>
      <c r="AD14" s="74"/>
      <c r="AE14" s="74"/>
      <c r="AF14" s="74"/>
      <c r="AG14" s="74"/>
      <c r="AH14" s="95"/>
      <c r="AI14" s="74"/>
      <c r="AJ14" s="98" t="str">
        <f t="shared" si="27"/>
        <v>-</v>
      </c>
      <c r="AK14" s="98" t="str">
        <f t="shared" si="28"/>
        <v>-</v>
      </c>
      <c r="AL14" s="98" t="str">
        <f t="shared" si="0"/>
        <v>-</v>
      </c>
      <c r="AM14" s="98" t="str">
        <f t="shared" si="29"/>
        <v>-</v>
      </c>
      <c r="AN14" s="98" t="str">
        <f t="shared" si="30"/>
        <v>-</v>
      </c>
      <c r="AO14" s="98" t="str">
        <f t="shared" si="31"/>
        <v>-</v>
      </c>
      <c r="AP14" s="98" t="str">
        <f t="shared" si="32"/>
        <v>-</v>
      </c>
      <c r="AQ14" s="98" t="str">
        <f t="shared" si="33"/>
        <v>-</v>
      </c>
      <c r="AR14" s="74"/>
      <c r="AS14" s="98"/>
      <c r="AT14" s="99" t="e">
        <f t="shared" si="84"/>
        <v>#DIV/0!</v>
      </c>
      <c r="AU14" s="99" t="e">
        <f t="shared" si="84"/>
        <v>#DIV/0!</v>
      </c>
      <c r="AV14" s="99" t="e">
        <f t="shared" si="84"/>
        <v>#DIV/0!</v>
      </c>
      <c r="AW14" s="99" t="e">
        <f t="shared" si="84"/>
        <v>#DIV/0!</v>
      </c>
      <c r="AX14" s="74" t="str">
        <f t="shared" si="35"/>
        <v>-</v>
      </c>
      <c r="AY14" s="74">
        <f t="shared" si="36"/>
        <v>0</v>
      </c>
      <c r="AZ14" s="74">
        <f t="shared" si="37"/>
        <v>0</v>
      </c>
      <c r="BA14" s="98">
        <f t="shared" si="38"/>
        <v>0</v>
      </c>
      <c r="BB14" s="74">
        <f t="shared" si="1"/>
        <v>0</v>
      </c>
      <c r="BC14" s="74">
        <f t="shared" si="2"/>
        <v>0</v>
      </c>
      <c r="BD14" s="74"/>
      <c r="BE14" s="74"/>
      <c r="BF14" s="74"/>
      <c r="BG14" s="74">
        <f t="shared" si="39"/>
        <v>0</v>
      </c>
      <c r="BH14" s="74">
        <f t="shared" si="40"/>
        <v>0</v>
      </c>
      <c r="BI14" s="98">
        <f t="shared" si="41"/>
        <v>0</v>
      </c>
      <c r="BJ14" s="74">
        <f t="shared" si="3"/>
        <v>0</v>
      </c>
      <c r="BK14" s="74">
        <f t="shared" si="4"/>
        <v>0</v>
      </c>
      <c r="BL14" s="74"/>
      <c r="BM14" s="74"/>
      <c r="BN14" s="74">
        <f t="shared" si="42"/>
        <v>0</v>
      </c>
      <c r="BO14" s="74" t="str">
        <f t="shared" si="43"/>
        <v>-</v>
      </c>
      <c r="BP14" s="98" t="str">
        <f t="shared" si="44"/>
        <v>-</v>
      </c>
      <c r="BQ14" s="98" t="str">
        <f t="shared" si="45"/>
        <v>-</v>
      </c>
      <c r="BR14" s="98" t="str">
        <f t="shared" si="5"/>
        <v>-</v>
      </c>
      <c r="BS14" s="98" t="str">
        <f t="shared" si="6"/>
        <v>-</v>
      </c>
      <c r="BT14" s="98" t="str">
        <f t="shared" si="7"/>
        <v>-</v>
      </c>
      <c r="BU14" s="98" t="str">
        <f t="shared" si="8"/>
        <v>-</v>
      </c>
      <c r="BV14" s="98" t="str">
        <f t="shared" si="9"/>
        <v>-</v>
      </c>
      <c r="BW14" s="98" t="str">
        <f t="shared" si="10"/>
        <v>-</v>
      </c>
      <c r="BX14" s="74"/>
      <c r="BY14" s="74"/>
      <c r="BZ14" s="99" t="e">
        <f t="shared" si="85"/>
        <v>#DIV/0!</v>
      </c>
      <c r="CA14" s="99" t="e">
        <f t="shared" si="85"/>
        <v>#DIV/0!</v>
      </c>
      <c r="CB14" s="99" t="e">
        <f t="shared" si="85"/>
        <v>#DIV/0!</v>
      </c>
      <c r="CC14" s="99" t="e">
        <f t="shared" si="85"/>
        <v>#DIV/0!</v>
      </c>
      <c r="CD14" s="74" t="str">
        <f t="shared" si="11"/>
        <v>-</v>
      </c>
      <c r="CE14" s="74">
        <f t="shared" si="47"/>
        <v>0</v>
      </c>
      <c r="CF14" s="74">
        <f t="shared" si="48"/>
        <v>0</v>
      </c>
      <c r="CG14" s="98">
        <f t="shared" si="49"/>
        <v>0</v>
      </c>
      <c r="CH14" s="74">
        <f t="shared" si="12"/>
        <v>0</v>
      </c>
      <c r="CI14" s="74">
        <f t="shared" si="13"/>
        <v>0</v>
      </c>
      <c r="CJ14" s="74"/>
      <c r="CK14" s="74"/>
      <c r="CL14" s="74"/>
      <c r="CM14" s="74">
        <f t="shared" si="14"/>
        <v>0</v>
      </c>
      <c r="CN14" s="74">
        <f t="shared" si="50"/>
        <v>0</v>
      </c>
      <c r="CO14" s="98">
        <f t="shared" si="51"/>
        <v>0</v>
      </c>
      <c r="CP14" s="74">
        <f t="shared" si="15"/>
        <v>0</v>
      </c>
      <c r="CQ14" s="74">
        <f t="shared" si="16"/>
        <v>0</v>
      </c>
      <c r="CR14" s="74"/>
      <c r="CS14" s="74"/>
      <c r="CT14" s="74"/>
      <c r="CU14" s="74"/>
      <c r="CV14" s="98" t="str">
        <f t="shared" si="17"/>
        <v>-</v>
      </c>
      <c r="CW14" s="95" t="str">
        <f t="shared" si="18"/>
        <v>-</v>
      </c>
      <c r="CX14" s="74" t="str">
        <f t="shared" si="52"/>
        <v>-</v>
      </c>
      <c r="CY14" s="74" t="str">
        <f t="shared" si="19"/>
        <v>-</v>
      </c>
      <c r="CZ14" s="100" t="str">
        <f t="shared" si="20"/>
        <v>-</v>
      </c>
      <c r="DA14" s="58" t="str">
        <f t="shared" si="53"/>
        <v>-</v>
      </c>
      <c r="DB14" s="58" t="str">
        <f t="shared" si="54"/>
        <v>-</v>
      </c>
      <c r="DC14" s="58" t="str">
        <f t="shared" si="55"/>
        <v>-</v>
      </c>
      <c r="DD14" s="58" t="str">
        <f t="shared" si="56"/>
        <v>-</v>
      </c>
      <c r="DE14" s="74"/>
      <c r="DF14" s="74"/>
      <c r="DG14" s="74"/>
      <c r="DH14" s="98" t="str">
        <f t="shared" si="57"/>
        <v>-</v>
      </c>
      <c r="DI14" s="98" t="str">
        <f t="shared" si="58"/>
        <v>-</v>
      </c>
      <c r="DJ14" s="74" t="str">
        <f t="shared" si="59"/>
        <v>-</v>
      </c>
      <c r="DK14" s="74" t="str">
        <f t="shared" si="59"/>
        <v>-</v>
      </c>
      <c r="DL14" s="100" t="str">
        <f t="shared" si="22"/>
        <v>-</v>
      </c>
      <c r="DM14" s="58" t="str">
        <f t="shared" si="60"/>
        <v>-</v>
      </c>
      <c r="DN14" s="58" t="str">
        <f t="shared" si="61"/>
        <v>-</v>
      </c>
      <c r="DO14" s="58" t="str">
        <f t="shared" si="62"/>
        <v>-</v>
      </c>
      <c r="DP14" s="58" t="str">
        <f t="shared" si="63"/>
        <v>-</v>
      </c>
      <c r="DQ14" s="74"/>
      <c r="DR14" s="58"/>
      <c r="DS14" s="74"/>
      <c r="DT14" s="98" t="str">
        <f t="shared" si="86"/>
        <v>-</v>
      </c>
      <c r="DU14" s="98" t="str">
        <f t="shared" si="64"/>
        <v>-</v>
      </c>
      <c r="DV14" s="74" t="str">
        <f t="shared" si="65"/>
        <v>-</v>
      </c>
      <c r="DW14" s="74" t="str">
        <f t="shared" si="65"/>
        <v>-</v>
      </c>
      <c r="DX14" s="100" t="str">
        <f t="shared" si="24"/>
        <v>-</v>
      </c>
      <c r="DY14" s="58" t="str">
        <f t="shared" si="66"/>
        <v>-</v>
      </c>
      <c r="DZ14" s="58" t="str">
        <f t="shared" si="67"/>
        <v>-</v>
      </c>
      <c r="EA14" s="58" t="str">
        <f t="shared" si="68"/>
        <v>-</v>
      </c>
      <c r="EB14" s="58" t="str">
        <f t="shared" si="69"/>
        <v>-</v>
      </c>
      <c r="EC14" s="74"/>
      <c r="ED14" s="58"/>
      <c r="EE14" s="74"/>
      <c r="EF14" s="98" t="str">
        <f t="shared" si="70"/>
        <v>-</v>
      </c>
      <c r="EG14" s="98" t="str">
        <f t="shared" si="71"/>
        <v>-</v>
      </c>
      <c r="EH14" s="74" t="str">
        <f t="shared" si="72"/>
        <v>-</v>
      </c>
      <c r="EI14" s="74" t="str">
        <f t="shared" si="72"/>
        <v>-</v>
      </c>
      <c r="EJ14" s="100" t="str">
        <f t="shared" si="26"/>
        <v>-</v>
      </c>
      <c r="EK14" s="58" t="str">
        <f t="shared" si="73"/>
        <v>-</v>
      </c>
      <c r="EL14" s="58" t="str">
        <f t="shared" si="74"/>
        <v>-</v>
      </c>
      <c r="EM14" s="58" t="str">
        <f t="shared" si="75"/>
        <v>-</v>
      </c>
      <c r="EN14" s="58" t="str">
        <f t="shared" si="76"/>
        <v>-</v>
      </c>
      <c r="EO14" s="74"/>
      <c r="EP14" s="58"/>
      <c r="EQ14" s="74"/>
      <c r="ER14" s="98" t="str">
        <f t="shared" si="77"/>
        <v>-</v>
      </c>
      <c r="ES14" s="98" t="str">
        <f t="shared" si="78"/>
        <v>-</v>
      </c>
      <c r="ET14" s="98" t="str">
        <f t="shared" si="79"/>
        <v>-</v>
      </c>
      <c r="EU14" s="98" t="str">
        <f t="shared" si="80"/>
        <v>-</v>
      </c>
      <c r="EV14" s="74"/>
      <c r="EW14" s="74"/>
      <c r="EX14" s="74"/>
      <c r="EY14" s="74" t="str">
        <f>IF(E14=0,"-",LARGE(E6:E50,9))</f>
        <v>-</v>
      </c>
      <c r="EZ14" s="77" t="str">
        <f t="shared" si="81"/>
        <v>-</v>
      </c>
      <c r="FA14" s="77">
        <f t="shared" si="82"/>
        <v>0</v>
      </c>
      <c r="FB14" s="77" t="str">
        <f t="shared" si="83"/>
        <v>-</v>
      </c>
      <c r="FC14" s="77" t="str">
        <f>IF(FB14="-","-",SMALL(FB6:FB50,9))</f>
        <v>-</v>
      </c>
    </row>
    <row r="15" spans="1:159" s="77" customFormat="1">
      <c r="B15" s="77" t="str">
        <f>IF(Main!$BL$5&gt;9,"x","")</f>
        <v/>
      </c>
      <c r="C15" s="95">
        <f>'1'!R12</f>
        <v>0</v>
      </c>
      <c r="D15" s="96">
        <f>'1'!J12</f>
        <v>0</v>
      </c>
      <c r="E15" s="96">
        <f>'1'!K12</f>
        <v>0</v>
      </c>
      <c r="F15" s="74"/>
      <c r="G15" s="77" t="str">
        <f>IF(Main!$BN$5&gt;9,"x","")</f>
        <v/>
      </c>
      <c r="H15" s="74"/>
      <c r="I15" s="74"/>
      <c r="J15" s="74"/>
      <c r="K15" s="74"/>
      <c r="L15" s="96">
        <f>'3'!R12</f>
        <v>0</v>
      </c>
      <c r="M15" s="77">
        <f>'3'!J12</f>
        <v>0</v>
      </c>
      <c r="N15" s="74">
        <f>'3'!K12</f>
        <v>0</v>
      </c>
      <c r="O15" s="74"/>
      <c r="P15" s="58"/>
      <c r="Q15" s="80" t="s">
        <v>20</v>
      </c>
      <c r="R15" s="29"/>
      <c r="S15" s="29"/>
      <c r="T15" s="58">
        <f>DE11</f>
        <v>1</v>
      </c>
      <c r="U15" s="74"/>
      <c r="V15" s="74"/>
      <c r="W15" s="74"/>
      <c r="X15" s="95"/>
      <c r="Y15" s="74"/>
      <c r="Z15" s="74"/>
      <c r="AA15" s="74"/>
      <c r="AB15" s="74"/>
      <c r="AC15" s="74"/>
      <c r="AD15" s="74"/>
      <c r="AE15" s="74"/>
      <c r="AF15" s="74"/>
      <c r="AG15" s="74"/>
      <c r="AH15" s="95"/>
      <c r="AI15" s="74"/>
      <c r="AJ15" s="98" t="str">
        <f t="shared" si="27"/>
        <v>-</v>
      </c>
      <c r="AK15" s="98" t="str">
        <f t="shared" si="28"/>
        <v>-</v>
      </c>
      <c r="AL15" s="98" t="str">
        <f t="shared" si="0"/>
        <v>-</v>
      </c>
      <c r="AM15" s="98" t="str">
        <f t="shared" si="29"/>
        <v>-</v>
      </c>
      <c r="AN15" s="98" t="str">
        <f t="shared" si="30"/>
        <v>-</v>
      </c>
      <c r="AO15" s="98" t="str">
        <f t="shared" si="31"/>
        <v>-</v>
      </c>
      <c r="AP15" s="98" t="str">
        <f t="shared" si="32"/>
        <v>-</v>
      </c>
      <c r="AQ15" s="98" t="str">
        <f t="shared" si="33"/>
        <v>-</v>
      </c>
      <c r="AR15" s="74"/>
      <c r="AS15" s="98"/>
      <c r="AT15" s="99" t="e">
        <f t="shared" si="84"/>
        <v>#DIV/0!</v>
      </c>
      <c r="AU15" s="99" t="e">
        <f t="shared" si="84"/>
        <v>#DIV/0!</v>
      </c>
      <c r="AV15" s="99" t="e">
        <f t="shared" si="84"/>
        <v>#DIV/0!</v>
      </c>
      <c r="AW15" s="99" t="e">
        <f t="shared" si="84"/>
        <v>#DIV/0!</v>
      </c>
      <c r="AX15" s="74" t="str">
        <f t="shared" si="35"/>
        <v>-</v>
      </c>
      <c r="AY15" s="74">
        <f t="shared" si="36"/>
        <v>0</v>
      </c>
      <c r="AZ15" s="74">
        <f t="shared" si="37"/>
        <v>0</v>
      </c>
      <c r="BA15" s="98">
        <f t="shared" si="38"/>
        <v>0</v>
      </c>
      <c r="BB15" s="74">
        <f t="shared" si="1"/>
        <v>0</v>
      </c>
      <c r="BC15" s="74">
        <f t="shared" si="2"/>
        <v>0</v>
      </c>
      <c r="BD15" s="74"/>
      <c r="BE15" s="74"/>
      <c r="BF15" s="74"/>
      <c r="BG15" s="74">
        <f t="shared" si="39"/>
        <v>0</v>
      </c>
      <c r="BH15" s="74">
        <f t="shared" si="40"/>
        <v>0</v>
      </c>
      <c r="BI15" s="98">
        <f t="shared" si="41"/>
        <v>0</v>
      </c>
      <c r="BJ15" s="74">
        <f t="shared" si="3"/>
        <v>0</v>
      </c>
      <c r="BK15" s="74">
        <f t="shared" si="4"/>
        <v>0</v>
      </c>
      <c r="BL15" s="74"/>
      <c r="BM15" s="74"/>
      <c r="BN15" s="74">
        <f t="shared" si="42"/>
        <v>0</v>
      </c>
      <c r="BO15" s="74" t="str">
        <f t="shared" si="43"/>
        <v>-</v>
      </c>
      <c r="BP15" s="98" t="str">
        <f t="shared" si="44"/>
        <v>-</v>
      </c>
      <c r="BQ15" s="98" t="str">
        <f t="shared" si="45"/>
        <v>-</v>
      </c>
      <c r="BR15" s="98" t="str">
        <f t="shared" si="5"/>
        <v>-</v>
      </c>
      <c r="BS15" s="98" t="str">
        <f t="shared" si="6"/>
        <v>-</v>
      </c>
      <c r="BT15" s="98" t="str">
        <f t="shared" si="7"/>
        <v>-</v>
      </c>
      <c r="BU15" s="98" t="str">
        <f t="shared" si="8"/>
        <v>-</v>
      </c>
      <c r="BV15" s="98" t="str">
        <f t="shared" si="9"/>
        <v>-</v>
      </c>
      <c r="BW15" s="98" t="str">
        <f t="shared" si="10"/>
        <v>-</v>
      </c>
      <c r="BX15" s="74"/>
      <c r="BY15" s="98"/>
      <c r="BZ15" s="99" t="e">
        <f t="shared" si="85"/>
        <v>#DIV/0!</v>
      </c>
      <c r="CA15" s="99" t="e">
        <f t="shared" si="85"/>
        <v>#DIV/0!</v>
      </c>
      <c r="CB15" s="99" t="e">
        <f t="shared" si="85"/>
        <v>#DIV/0!</v>
      </c>
      <c r="CC15" s="99" t="e">
        <f t="shared" si="85"/>
        <v>#DIV/0!</v>
      </c>
      <c r="CD15" s="74" t="str">
        <f t="shared" si="11"/>
        <v>-</v>
      </c>
      <c r="CE15" s="74">
        <f t="shared" si="47"/>
        <v>0</v>
      </c>
      <c r="CF15" s="74">
        <f t="shared" si="48"/>
        <v>0</v>
      </c>
      <c r="CG15" s="98">
        <f t="shared" si="49"/>
        <v>0</v>
      </c>
      <c r="CH15" s="74">
        <f t="shared" si="12"/>
        <v>0</v>
      </c>
      <c r="CI15" s="74">
        <f t="shared" si="13"/>
        <v>0</v>
      </c>
      <c r="CJ15" s="74"/>
      <c r="CK15" s="74"/>
      <c r="CL15" s="74"/>
      <c r="CM15" s="74">
        <f t="shared" si="14"/>
        <v>0</v>
      </c>
      <c r="CN15" s="74">
        <f t="shared" si="50"/>
        <v>0</v>
      </c>
      <c r="CO15" s="98">
        <f t="shared" si="51"/>
        <v>0</v>
      </c>
      <c r="CP15" s="74">
        <f t="shared" si="15"/>
        <v>0</v>
      </c>
      <c r="CQ15" s="74">
        <f t="shared" si="16"/>
        <v>0</v>
      </c>
      <c r="CR15" s="74"/>
      <c r="CS15" s="74"/>
      <c r="CT15" s="74"/>
      <c r="CU15" s="74"/>
      <c r="CV15" s="98" t="str">
        <f t="shared" si="17"/>
        <v>-</v>
      </c>
      <c r="CW15" s="95" t="str">
        <f t="shared" si="18"/>
        <v>-</v>
      </c>
      <c r="CX15" s="74" t="str">
        <f t="shared" si="52"/>
        <v>-</v>
      </c>
      <c r="CY15" s="74" t="str">
        <f t="shared" si="19"/>
        <v>-</v>
      </c>
      <c r="CZ15" s="100" t="str">
        <f t="shared" si="20"/>
        <v>-</v>
      </c>
      <c r="DA15" s="58" t="str">
        <f t="shared" si="53"/>
        <v>-</v>
      </c>
      <c r="DB15" s="58" t="str">
        <f t="shared" si="54"/>
        <v>-</v>
      </c>
      <c r="DC15" s="58" t="str">
        <f t="shared" si="55"/>
        <v>-</v>
      </c>
      <c r="DD15" s="58" t="str">
        <f t="shared" si="56"/>
        <v>-</v>
      </c>
      <c r="DE15" s="74" t="e">
        <f>DE6/DE13</f>
        <v>#DIV/0!</v>
      </c>
      <c r="DF15" s="74"/>
      <c r="DG15" s="74"/>
      <c r="DH15" s="98" t="str">
        <f t="shared" si="57"/>
        <v>-</v>
      </c>
      <c r="DI15" s="98" t="str">
        <f t="shared" si="58"/>
        <v>-</v>
      </c>
      <c r="DJ15" s="74" t="str">
        <f t="shared" si="59"/>
        <v>-</v>
      </c>
      <c r="DK15" s="74" t="str">
        <f t="shared" si="59"/>
        <v>-</v>
      </c>
      <c r="DL15" s="100" t="str">
        <f t="shared" si="22"/>
        <v>-</v>
      </c>
      <c r="DM15" s="58" t="str">
        <f t="shared" si="60"/>
        <v>-</v>
      </c>
      <c r="DN15" s="58" t="str">
        <f t="shared" si="61"/>
        <v>-</v>
      </c>
      <c r="DO15" s="58" t="str">
        <f t="shared" si="62"/>
        <v>-</v>
      </c>
      <c r="DP15" s="58" t="str">
        <f t="shared" si="63"/>
        <v>-</v>
      </c>
      <c r="DQ15" s="74" t="e">
        <f>DQ6/DQ13</f>
        <v>#DIV/0!</v>
      </c>
      <c r="DR15" s="58"/>
      <c r="DS15" s="74"/>
      <c r="DT15" s="98" t="str">
        <f t="shared" si="86"/>
        <v>-</v>
      </c>
      <c r="DU15" s="98" t="str">
        <f t="shared" si="64"/>
        <v>-</v>
      </c>
      <c r="DV15" s="74" t="str">
        <f t="shared" si="65"/>
        <v>-</v>
      </c>
      <c r="DW15" s="74" t="str">
        <f t="shared" si="65"/>
        <v>-</v>
      </c>
      <c r="DX15" s="100" t="str">
        <f t="shared" si="24"/>
        <v>-</v>
      </c>
      <c r="DY15" s="58" t="str">
        <f t="shared" si="66"/>
        <v>-</v>
      </c>
      <c r="DZ15" s="58" t="str">
        <f t="shared" si="67"/>
        <v>-</v>
      </c>
      <c r="EA15" s="58" t="str">
        <f t="shared" si="68"/>
        <v>-</v>
      </c>
      <c r="EB15" s="58" t="str">
        <f t="shared" si="69"/>
        <v>-</v>
      </c>
      <c r="EC15" s="74" t="e">
        <f>EC6/EC13</f>
        <v>#DIV/0!</v>
      </c>
      <c r="ED15" s="58"/>
      <c r="EE15" s="74"/>
      <c r="EF15" s="98" t="str">
        <f t="shared" si="70"/>
        <v>-</v>
      </c>
      <c r="EG15" s="98" t="str">
        <f t="shared" si="71"/>
        <v>-</v>
      </c>
      <c r="EH15" s="74" t="str">
        <f t="shared" si="72"/>
        <v>-</v>
      </c>
      <c r="EI15" s="74" t="str">
        <f t="shared" si="72"/>
        <v>-</v>
      </c>
      <c r="EJ15" s="100" t="str">
        <f t="shared" si="26"/>
        <v>-</v>
      </c>
      <c r="EK15" s="58" t="str">
        <f t="shared" si="73"/>
        <v>-</v>
      </c>
      <c r="EL15" s="58" t="str">
        <f t="shared" si="74"/>
        <v>-</v>
      </c>
      <c r="EM15" s="58" t="str">
        <f t="shared" si="75"/>
        <v>-</v>
      </c>
      <c r="EN15" s="58" t="str">
        <f t="shared" si="76"/>
        <v>-</v>
      </c>
      <c r="EO15" s="74" t="e">
        <f>EO6/EO13</f>
        <v>#DIV/0!</v>
      </c>
      <c r="EP15" s="58"/>
      <c r="EQ15" s="74"/>
      <c r="ER15" s="98" t="str">
        <f t="shared" si="77"/>
        <v>-</v>
      </c>
      <c r="ES15" s="98" t="str">
        <f t="shared" si="78"/>
        <v>-</v>
      </c>
      <c r="ET15" s="98" t="str">
        <f t="shared" si="79"/>
        <v>-</v>
      </c>
      <c r="EU15" s="98" t="str">
        <f t="shared" si="80"/>
        <v>-</v>
      </c>
      <c r="EV15" s="74"/>
      <c r="EW15" s="74"/>
      <c r="EX15" s="74"/>
      <c r="EY15" s="74" t="str">
        <f>IF(E15=0,"-",LARGE(E6:E50,10))</f>
        <v>-</v>
      </c>
      <c r="EZ15" s="77" t="str">
        <f t="shared" si="81"/>
        <v>-</v>
      </c>
      <c r="FA15" s="77">
        <f t="shared" si="82"/>
        <v>0</v>
      </c>
      <c r="FB15" s="77" t="str">
        <f t="shared" si="83"/>
        <v>-</v>
      </c>
      <c r="FC15" s="77" t="str">
        <f>IF(FB15="-","-",SMALL(FB6:FB50,10))</f>
        <v>-</v>
      </c>
    </row>
    <row r="16" spans="1:159" s="77" customFormat="1">
      <c r="B16" s="77" t="str">
        <f>IF(Main!$BL$5&gt;10,"x","")</f>
        <v/>
      </c>
      <c r="C16" s="95">
        <f>'1'!R13</f>
        <v>0</v>
      </c>
      <c r="D16" s="96">
        <f>'1'!J13</f>
        <v>0</v>
      </c>
      <c r="E16" s="96">
        <f>'1'!K13</f>
        <v>0</v>
      </c>
      <c r="F16" s="74"/>
      <c r="G16" s="77" t="str">
        <f>IF(Main!$BN$5&gt;10,"x","")</f>
        <v/>
      </c>
      <c r="H16" s="74"/>
      <c r="I16" s="74"/>
      <c r="J16" s="74"/>
      <c r="K16" s="74"/>
      <c r="L16" s="96">
        <f>'3'!R13</f>
        <v>0</v>
      </c>
      <c r="M16" s="77">
        <f>'3'!J13</f>
        <v>0</v>
      </c>
      <c r="N16" s="74">
        <f>'3'!K13</f>
        <v>0</v>
      </c>
      <c r="O16" s="74"/>
      <c r="P16" s="58"/>
      <c r="Q16" s="80" t="s">
        <v>19</v>
      </c>
      <c r="R16" s="29"/>
      <c r="S16" s="29"/>
      <c r="T16" s="101" t="e">
        <f>DF6</f>
        <v>#DIV/0!</v>
      </c>
      <c r="U16" s="74"/>
      <c r="V16" s="74"/>
      <c r="W16" s="74"/>
      <c r="X16" s="95"/>
      <c r="Y16" s="74"/>
      <c r="Z16" s="74"/>
      <c r="AA16" s="74"/>
      <c r="AB16" s="74"/>
      <c r="AC16" s="74"/>
      <c r="AD16" s="74"/>
      <c r="AE16" s="74"/>
      <c r="AF16" s="74"/>
      <c r="AG16" s="74"/>
      <c r="AH16" s="95"/>
      <c r="AI16" s="74"/>
      <c r="AJ16" s="98" t="str">
        <f t="shared" si="27"/>
        <v>-</v>
      </c>
      <c r="AK16" s="98" t="str">
        <f t="shared" si="28"/>
        <v>-</v>
      </c>
      <c r="AL16" s="98" t="str">
        <f t="shared" si="0"/>
        <v>-</v>
      </c>
      <c r="AM16" s="98" t="str">
        <f t="shared" si="29"/>
        <v>-</v>
      </c>
      <c r="AN16" s="98" t="str">
        <f t="shared" si="30"/>
        <v>-</v>
      </c>
      <c r="AO16" s="98" t="str">
        <f t="shared" si="31"/>
        <v>-</v>
      </c>
      <c r="AP16" s="98" t="str">
        <f t="shared" si="32"/>
        <v>-</v>
      </c>
      <c r="AQ16" s="98" t="str">
        <f t="shared" si="33"/>
        <v>-</v>
      </c>
      <c r="AR16" s="74"/>
      <c r="AS16" s="98"/>
      <c r="AT16" s="99" t="e">
        <f t="shared" si="84"/>
        <v>#DIV/0!</v>
      </c>
      <c r="AU16" s="99" t="e">
        <f t="shared" si="84"/>
        <v>#DIV/0!</v>
      </c>
      <c r="AV16" s="99" t="e">
        <f t="shared" si="84"/>
        <v>#DIV/0!</v>
      </c>
      <c r="AW16" s="99" t="e">
        <f t="shared" si="84"/>
        <v>#DIV/0!</v>
      </c>
      <c r="AX16" s="74" t="str">
        <f t="shared" si="35"/>
        <v>-</v>
      </c>
      <c r="AY16" s="74">
        <f t="shared" si="36"/>
        <v>0</v>
      </c>
      <c r="AZ16" s="74">
        <f t="shared" si="37"/>
        <v>0</v>
      </c>
      <c r="BA16" s="98">
        <f t="shared" si="38"/>
        <v>0</v>
      </c>
      <c r="BB16" s="74">
        <f t="shared" si="1"/>
        <v>0</v>
      </c>
      <c r="BC16" s="74">
        <f t="shared" si="2"/>
        <v>0</v>
      </c>
      <c r="BD16" s="74"/>
      <c r="BE16" s="74"/>
      <c r="BF16" s="74"/>
      <c r="BG16" s="74">
        <f t="shared" si="39"/>
        <v>0</v>
      </c>
      <c r="BH16" s="74">
        <f t="shared" si="40"/>
        <v>0</v>
      </c>
      <c r="BI16" s="98">
        <f t="shared" si="41"/>
        <v>0</v>
      </c>
      <c r="BJ16" s="74">
        <f t="shared" si="3"/>
        <v>0</v>
      </c>
      <c r="BK16" s="74">
        <f t="shared" si="4"/>
        <v>0</v>
      </c>
      <c r="BL16" s="74"/>
      <c r="BM16" s="74"/>
      <c r="BN16" s="74">
        <f t="shared" si="42"/>
        <v>0</v>
      </c>
      <c r="BO16" s="74" t="str">
        <f t="shared" si="43"/>
        <v>-</v>
      </c>
      <c r="BP16" s="98" t="str">
        <f t="shared" si="44"/>
        <v>-</v>
      </c>
      <c r="BQ16" s="98" t="str">
        <f t="shared" si="45"/>
        <v>-</v>
      </c>
      <c r="BR16" s="98" t="str">
        <f t="shared" si="5"/>
        <v>-</v>
      </c>
      <c r="BS16" s="98" t="str">
        <f t="shared" si="6"/>
        <v>-</v>
      </c>
      <c r="BT16" s="98" t="str">
        <f t="shared" si="7"/>
        <v>-</v>
      </c>
      <c r="BU16" s="98" t="str">
        <f t="shared" si="8"/>
        <v>-</v>
      </c>
      <c r="BV16" s="98" t="str">
        <f t="shared" si="9"/>
        <v>-</v>
      </c>
      <c r="BW16" s="98" t="str">
        <f t="shared" si="10"/>
        <v>-</v>
      </c>
      <c r="BX16" s="74"/>
      <c r="BY16" s="98"/>
      <c r="BZ16" s="99" t="e">
        <f t="shared" si="85"/>
        <v>#DIV/0!</v>
      </c>
      <c r="CA16" s="99" t="e">
        <f t="shared" si="85"/>
        <v>#DIV/0!</v>
      </c>
      <c r="CB16" s="99" t="e">
        <f t="shared" si="85"/>
        <v>#DIV/0!</v>
      </c>
      <c r="CC16" s="99" t="e">
        <f t="shared" si="85"/>
        <v>#DIV/0!</v>
      </c>
      <c r="CD16" s="74" t="str">
        <f t="shared" si="11"/>
        <v>-</v>
      </c>
      <c r="CE16" s="74">
        <f t="shared" si="47"/>
        <v>0</v>
      </c>
      <c r="CF16" s="74">
        <f t="shared" si="48"/>
        <v>0</v>
      </c>
      <c r="CG16" s="98">
        <f t="shared" si="49"/>
        <v>0</v>
      </c>
      <c r="CH16" s="74">
        <f t="shared" si="12"/>
        <v>0</v>
      </c>
      <c r="CI16" s="74">
        <f t="shared" si="13"/>
        <v>0</v>
      </c>
      <c r="CJ16" s="74"/>
      <c r="CK16" s="74"/>
      <c r="CL16" s="74"/>
      <c r="CM16" s="74">
        <f t="shared" si="14"/>
        <v>0</v>
      </c>
      <c r="CN16" s="74">
        <f t="shared" si="50"/>
        <v>0</v>
      </c>
      <c r="CO16" s="98">
        <f t="shared" si="51"/>
        <v>0</v>
      </c>
      <c r="CP16" s="74">
        <f t="shared" si="15"/>
        <v>0</v>
      </c>
      <c r="CQ16" s="74">
        <f t="shared" si="16"/>
        <v>0</v>
      </c>
      <c r="CR16" s="74"/>
      <c r="CS16" s="74"/>
      <c r="CT16" s="74"/>
      <c r="CU16" s="74"/>
      <c r="CV16" s="98" t="str">
        <f t="shared" si="17"/>
        <v>-</v>
      </c>
      <c r="CW16" s="95" t="str">
        <f t="shared" si="18"/>
        <v>-</v>
      </c>
      <c r="CX16" s="74" t="str">
        <f t="shared" si="52"/>
        <v>-</v>
      </c>
      <c r="CY16" s="74" t="str">
        <f t="shared" si="19"/>
        <v>-</v>
      </c>
      <c r="CZ16" s="100" t="str">
        <f t="shared" si="20"/>
        <v>-</v>
      </c>
      <c r="DA16" s="58" t="str">
        <f t="shared" si="53"/>
        <v>-</v>
      </c>
      <c r="DB16" s="58" t="str">
        <f t="shared" si="54"/>
        <v>-</v>
      </c>
      <c r="DC16" s="58" t="str">
        <f t="shared" si="55"/>
        <v>-</v>
      </c>
      <c r="DD16" s="58" t="str">
        <f t="shared" si="56"/>
        <v>-</v>
      </c>
      <c r="DE16" s="74" t="e">
        <f>DE7/DE13</f>
        <v>#DIV/0!</v>
      </c>
      <c r="DF16" s="74"/>
      <c r="DG16" s="74"/>
      <c r="DH16" s="98" t="str">
        <f t="shared" si="57"/>
        <v>-</v>
      </c>
      <c r="DI16" s="98" t="str">
        <f t="shared" si="58"/>
        <v>-</v>
      </c>
      <c r="DJ16" s="74" t="str">
        <f t="shared" si="59"/>
        <v>-</v>
      </c>
      <c r="DK16" s="74" t="str">
        <f t="shared" si="59"/>
        <v>-</v>
      </c>
      <c r="DL16" s="100" t="str">
        <f t="shared" si="22"/>
        <v>-</v>
      </c>
      <c r="DM16" s="58" t="str">
        <f t="shared" si="60"/>
        <v>-</v>
      </c>
      <c r="DN16" s="58" t="str">
        <f t="shared" si="61"/>
        <v>-</v>
      </c>
      <c r="DO16" s="58" t="str">
        <f t="shared" si="62"/>
        <v>-</v>
      </c>
      <c r="DP16" s="58" t="str">
        <f t="shared" si="63"/>
        <v>-</v>
      </c>
      <c r="DQ16" s="74" t="e">
        <f>DQ7/DQ13</f>
        <v>#DIV/0!</v>
      </c>
      <c r="DR16" s="100"/>
      <c r="DS16" s="74"/>
      <c r="DT16" s="98" t="str">
        <f t="shared" si="86"/>
        <v>-</v>
      </c>
      <c r="DU16" s="98" t="str">
        <f t="shared" si="64"/>
        <v>-</v>
      </c>
      <c r="DV16" s="74" t="str">
        <f t="shared" si="65"/>
        <v>-</v>
      </c>
      <c r="DW16" s="74" t="str">
        <f t="shared" si="65"/>
        <v>-</v>
      </c>
      <c r="DX16" s="100" t="str">
        <f t="shared" si="24"/>
        <v>-</v>
      </c>
      <c r="DY16" s="58" t="str">
        <f t="shared" si="66"/>
        <v>-</v>
      </c>
      <c r="DZ16" s="58" t="str">
        <f t="shared" si="67"/>
        <v>-</v>
      </c>
      <c r="EA16" s="58" t="str">
        <f t="shared" si="68"/>
        <v>-</v>
      </c>
      <c r="EB16" s="58" t="str">
        <f t="shared" si="69"/>
        <v>-</v>
      </c>
      <c r="EC16" s="74" t="e">
        <f>EC7/EC13</f>
        <v>#DIV/0!</v>
      </c>
      <c r="ED16" s="100"/>
      <c r="EE16" s="74"/>
      <c r="EF16" s="98" t="str">
        <f t="shared" si="70"/>
        <v>-</v>
      </c>
      <c r="EG16" s="98" t="str">
        <f t="shared" si="71"/>
        <v>-</v>
      </c>
      <c r="EH16" s="74" t="str">
        <f t="shared" si="72"/>
        <v>-</v>
      </c>
      <c r="EI16" s="74" t="str">
        <f t="shared" si="72"/>
        <v>-</v>
      </c>
      <c r="EJ16" s="100" t="str">
        <f t="shared" si="26"/>
        <v>-</v>
      </c>
      <c r="EK16" s="58" t="str">
        <f t="shared" si="73"/>
        <v>-</v>
      </c>
      <c r="EL16" s="58" t="str">
        <f t="shared" si="74"/>
        <v>-</v>
      </c>
      <c r="EM16" s="58" t="str">
        <f t="shared" si="75"/>
        <v>-</v>
      </c>
      <c r="EN16" s="58" t="str">
        <f t="shared" si="76"/>
        <v>-</v>
      </c>
      <c r="EO16" s="74" t="e">
        <f>EO7/EO13</f>
        <v>#DIV/0!</v>
      </c>
      <c r="EP16" s="100"/>
      <c r="EQ16" s="74"/>
      <c r="ER16" s="98" t="str">
        <f t="shared" si="77"/>
        <v>-</v>
      </c>
      <c r="ES16" s="98" t="str">
        <f t="shared" si="78"/>
        <v>-</v>
      </c>
      <c r="ET16" s="98" t="str">
        <f t="shared" si="79"/>
        <v>-</v>
      </c>
      <c r="EU16" s="98" t="str">
        <f t="shared" si="80"/>
        <v>-</v>
      </c>
      <c r="EV16" s="74"/>
      <c r="EW16" s="74"/>
      <c r="EX16" s="74"/>
      <c r="EY16" s="74" t="str">
        <f>IF(E16=0,"-",LARGE(E6:E50,11))</f>
        <v>-</v>
      </c>
      <c r="EZ16" s="77" t="str">
        <f t="shared" si="81"/>
        <v>-</v>
      </c>
      <c r="FA16" s="77">
        <f t="shared" si="82"/>
        <v>0</v>
      </c>
      <c r="FB16" s="77" t="str">
        <f t="shared" si="83"/>
        <v>-</v>
      </c>
      <c r="FC16" s="77" t="str">
        <f>IF(FB16="-","-",SMALL(FB6:FB50,11))</f>
        <v>-</v>
      </c>
    </row>
    <row r="17" spans="1:159" s="77" customFormat="1">
      <c r="B17" s="77" t="str">
        <f>IF(Main!$BL$5&gt;11,"x","")</f>
        <v/>
      </c>
      <c r="C17" s="95">
        <f>'1'!R14</f>
        <v>0</v>
      </c>
      <c r="D17" s="96">
        <f>'1'!J14</f>
        <v>0</v>
      </c>
      <c r="E17" s="96">
        <f>'1'!K14</f>
        <v>0</v>
      </c>
      <c r="F17" s="74"/>
      <c r="G17" s="77" t="str">
        <f>IF(Main!$BN$5&gt;11,"x","")</f>
        <v/>
      </c>
      <c r="H17" s="74"/>
      <c r="I17" s="74"/>
      <c r="J17" s="74"/>
      <c r="K17" s="74"/>
      <c r="L17" s="96">
        <f>'3'!R14</f>
        <v>0</v>
      </c>
      <c r="M17" s="77">
        <f>'3'!J14</f>
        <v>0</v>
      </c>
      <c r="N17" s="74">
        <f>'3'!K14</f>
        <v>0</v>
      </c>
      <c r="O17" s="74"/>
      <c r="P17" s="58"/>
      <c r="Q17" s="80" t="s">
        <v>30</v>
      </c>
      <c r="R17" s="29"/>
      <c r="S17" s="29"/>
      <c r="T17" s="58">
        <f>EC11</f>
        <v>1</v>
      </c>
      <c r="U17" s="74"/>
      <c r="V17" s="74"/>
      <c r="W17" s="74"/>
      <c r="X17" s="95"/>
      <c r="Y17" s="74"/>
      <c r="Z17" s="74"/>
      <c r="AA17" s="74"/>
      <c r="AB17" s="74"/>
      <c r="AC17" s="74"/>
      <c r="AD17" s="74"/>
      <c r="AE17" s="74"/>
      <c r="AF17" s="74"/>
      <c r="AG17" s="74"/>
      <c r="AH17" s="95"/>
      <c r="AI17" s="74"/>
      <c r="AJ17" s="98" t="str">
        <f t="shared" si="27"/>
        <v>-</v>
      </c>
      <c r="AK17" s="98" t="str">
        <f t="shared" si="28"/>
        <v>-</v>
      </c>
      <c r="AL17" s="98" t="str">
        <f t="shared" si="0"/>
        <v>-</v>
      </c>
      <c r="AM17" s="98" t="str">
        <f t="shared" si="29"/>
        <v>-</v>
      </c>
      <c r="AN17" s="98" t="str">
        <f t="shared" si="30"/>
        <v>-</v>
      </c>
      <c r="AO17" s="98" t="str">
        <f t="shared" si="31"/>
        <v>-</v>
      </c>
      <c r="AP17" s="98" t="str">
        <f t="shared" si="32"/>
        <v>-</v>
      </c>
      <c r="AQ17" s="98" t="str">
        <f t="shared" si="33"/>
        <v>-</v>
      </c>
      <c r="AR17" s="74"/>
      <c r="AS17" s="98"/>
      <c r="AT17" s="99" t="e">
        <f t="shared" si="84"/>
        <v>#DIV/0!</v>
      </c>
      <c r="AU17" s="99" t="e">
        <f t="shared" si="84"/>
        <v>#DIV/0!</v>
      </c>
      <c r="AV17" s="99" t="e">
        <f t="shared" si="84"/>
        <v>#DIV/0!</v>
      </c>
      <c r="AW17" s="99" t="e">
        <f t="shared" si="84"/>
        <v>#DIV/0!</v>
      </c>
      <c r="AX17" s="74" t="str">
        <f t="shared" si="35"/>
        <v>-</v>
      </c>
      <c r="AY17" s="74">
        <f t="shared" si="36"/>
        <v>0</v>
      </c>
      <c r="AZ17" s="74">
        <f t="shared" si="37"/>
        <v>0</v>
      </c>
      <c r="BA17" s="98">
        <f t="shared" si="38"/>
        <v>0</v>
      </c>
      <c r="BB17" s="74">
        <f t="shared" si="1"/>
        <v>0</v>
      </c>
      <c r="BC17" s="74">
        <f t="shared" si="2"/>
        <v>0</v>
      </c>
      <c r="BD17" s="74"/>
      <c r="BE17" s="74"/>
      <c r="BF17" s="74"/>
      <c r="BG17" s="74">
        <f t="shared" si="39"/>
        <v>0</v>
      </c>
      <c r="BH17" s="74">
        <f t="shared" si="40"/>
        <v>0</v>
      </c>
      <c r="BI17" s="98">
        <f t="shared" si="41"/>
        <v>0</v>
      </c>
      <c r="BJ17" s="74">
        <f t="shared" si="3"/>
        <v>0</v>
      </c>
      <c r="BK17" s="74">
        <f t="shared" si="4"/>
        <v>0</v>
      </c>
      <c r="BL17" s="74"/>
      <c r="BM17" s="74"/>
      <c r="BN17" s="74">
        <f t="shared" si="42"/>
        <v>0</v>
      </c>
      <c r="BO17" s="74" t="str">
        <f t="shared" si="43"/>
        <v>-</v>
      </c>
      <c r="BP17" s="98" t="str">
        <f t="shared" si="44"/>
        <v>-</v>
      </c>
      <c r="BQ17" s="98" t="str">
        <f t="shared" si="45"/>
        <v>-</v>
      </c>
      <c r="BR17" s="98" t="str">
        <f t="shared" si="5"/>
        <v>-</v>
      </c>
      <c r="BS17" s="98" t="str">
        <f t="shared" si="6"/>
        <v>-</v>
      </c>
      <c r="BT17" s="98" t="str">
        <f t="shared" si="7"/>
        <v>-</v>
      </c>
      <c r="BU17" s="98" t="str">
        <f t="shared" si="8"/>
        <v>-</v>
      </c>
      <c r="BV17" s="98" t="str">
        <f t="shared" si="9"/>
        <v>-</v>
      </c>
      <c r="BW17" s="98" t="str">
        <f t="shared" si="10"/>
        <v>-</v>
      </c>
      <c r="BX17" s="74"/>
      <c r="BY17" s="98"/>
      <c r="BZ17" s="99" t="e">
        <f t="shared" si="85"/>
        <v>#DIV/0!</v>
      </c>
      <c r="CA17" s="99" t="e">
        <f t="shared" si="85"/>
        <v>#DIV/0!</v>
      </c>
      <c r="CB17" s="99" t="e">
        <f t="shared" si="85"/>
        <v>#DIV/0!</v>
      </c>
      <c r="CC17" s="99" t="e">
        <f t="shared" si="85"/>
        <v>#DIV/0!</v>
      </c>
      <c r="CD17" s="74" t="str">
        <f t="shared" si="11"/>
        <v>-</v>
      </c>
      <c r="CE17" s="74">
        <f t="shared" si="47"/>
        <v>0</v>
      </c>
      <c r="CF17" s="74">
        <f t="shared" si="48"/>
        <v>0</v>
      </c>
      <c r="CG17" s="98">
        <f t="shared" si="49"/>
        <v>0</v>
      </c>
      <c r="CH17" s="74">
        <f t="shared" si="12"/>
        <v>0</v>
      </c>
      <c r="CI17" s="74">
        <f t="shared" si="13"/>
        <v>0</v>
      </c>
      <c r="CJ17" s="74"/>
      <c r="CK17" s="74"/>
      <c r="CL17" s="74"/>
      <c r="CM17" s="74">
        <f t="shared" si="14"/>
        <v>0</v>
      </c>
      <c r="CN17" s="74">
        <f t="shared" si="50"/>
        <v>0</v>
      </c>
      <c r="CO17" s="98">
        <f t="shared" si="51"/>
        <v>0</v>
      </c>
      <c r="CP17" s="74">
        <f t="shared" si="15"/>
        <v>0</v>
      </c>
      <c r="CQ17" s="74">
        <f t="shared" si="16"/>
        <v>0</v>
      </c>
      <c r="CR17" s="74"/>
      <c r="CS17" s="74"/>
      <c r="CT17" s="74"/>
      <c r="CU17" s="74"/>
      <c r="CV17" s="98" t="str">
        <f t="shared" si="17"/>
        <v>-</v>
      </c>
      <c r="CW17" s="95" t="str">
        <f t="shared" si="18"/>
        <v>-</v>
      </c>
      <c r="CX17" s="74" t="str">
        <f t="shared" si="52"/>
        <v>-</v>
      </c>
      <c r="CY17" s="74" t="str">
        <f t="shared" si="19"/>
        <v>-</v>
      </c>
      <c r="CZ17" s="100" t="str">
        <f t="shared" si="20"/>
        <v>-</v>
      </c>
      <c r="DA17" s="58" t="str">
        <f t="shared" si="53"/>
        <v>-</v>
      </c>
      <c r="DB17" s="58" t="str">
        <f t="shared" si="54"/>
        <v>-</v>
      </c>
      <c r="DC17" s="58" t="str">
        <f t="shared" si="55"/>
        <v>-</v>
      </c>
      <c r="DD17" s="58" t="str">
        <f t="shared" si="56"/>
        <v>-</v>
      </c>
      <c r="DE17" s="74" t="e">
        <f>DE8/DE13</f>
        <v>#DIV/0!</v>
      </c>
      <c r="DF17" s="74"/>
      <c r="DG17" s="74"/>
      <c r="DH17" s="98" t="str">
        <f t="shared" si="57"/>
        <v>-</v>
      </c>
      <c r="DI17" s="98" t="str">
        <f t="shared" si="58"/>
        <v>-</v>
      </c>
      <c r="DJ17" s="74" t="str">
        <f t="shared" si="59"/>
        <v>-</v>
      </c>
      <c r="DK17" s="74" t="str">
        <f t="shared" si="59"/>
        <v>-</v>
      </c>
      <c r="DL17" s="100" t="str">
        <f t="shared" si="22"/>
        <v>-</v>
      </c>
      <c r="DM17" s="58" t="str">
        <f t="shared" si="60"/>
        <v>-</v>
      </c>
      <c r="DN17" s="58" t="str">
        <f t="shared" si="61"/>
        <v>-</v>
      </c>
      <c r="DO17" s="58" t="str">
        <f t="shared" si="62"/>
        <v>-</v>
      </c>
      <c r="DP17" s="58" t="str">
        <f t="shared" si="63"/>
        <v>-</v>
      </c>
      <c r="DQ17" s="74" t="e">
        <f>DQ8/DQ13</f>
        <v>#DIV/0!</v>
      </c>
      <c r="DR17" s="100"/>
      <c r="DS17" s="74"/>
      <c r="DT17" s="98" t="str">
        <f t="shared" si="86"/>
        <v>-</v>
      </c>
      <c r="DU17" s="98" t="str">
        <f t="shared" si="64"/>
        <v>-</v>
      </c>
      <c r="DV17" s="74" t="str">
        <f t="shared" si="65"/>
        <v>-</v>
      </c>
      <c r="DW17" s="74" t="str">
        <f t="shared" si="65"/>
        <v>-</v>
      </c>
      <c r="DX17" s="100" t="str">
        <f t="shared" si="24"/>
        <v>-</v>
      </c>
      <c r="DY17" s="58" t="str">
        <f t="shared" si="66"/>
        <v>-</v>
      </c>
      <c r="DZ17" s="58" t="str">
        <f t="shared" si="67"/>
        <v>-</v>
      </c>
      <c r="EA17" s="58" t="str">
        <f t="shared" si="68"/>
        <v>-</v>
      </c>
      <c r="EB17" s="58" t="str">
        <f t="shared" si="69"/>
        <v>-</v>
      </c>
      <c r="EC17" s="74" t="e">
        <f>EC8/EC13</f>
        <v>#DIV/0!</v>
      </c>
      <c r="ED17" s="100"/>
      <c r="EE17" s="74"/>
      <c r="EF17" s="98" t="str">
        <f t="shared" si="70"/>
        <v>-</v>
      </c>
      <c r="EG17" s="98" t="str">
        <f t="shared" si="71"/>
        <v>-</v>
      </c>
      <c r="EH17" s="74" t="str">
        <f t="shared" si="72"/>
        <v>-</v>
      </c>
      <c r="EI17" s="74" t="str">
        <f t="shared" si="72"/>
        <v>-</v>
      </c>
      <c r="EJ17" s="100" t="str">
        <f t="shared" si="26"/>
        <v>-</v>
      </c>
      <c r="EK17" s="58" t="str">
        <f t="shared" si="73"/>
        <v>-</v>
      </c>
      <c r="EL17" s="58" t="str">
        <f t="shared" si="74"/>
        <v>-</v>
      </c>
      <c r="EM17" s="58" t="str">
        <f t="shared" si="75"/>
        <v>-</v>
      </c>
      <c r="EN17" s="58" t="str">
        <f t="shared" si="76"/>
        <v>-</v>
      </c>
      <c r="EO17" s="74" t="e">
        <f>EO8/EO13</f>
        <v>#DIV/0!</v>
      </c>
      <c r="EP17" s="100"/>
      <c r="EQ17" s="74"/>
      <c r="ER17" s="98" t="str">
        <f t="shared" si="77"/>
        <v>-</v>
      </c>
      <c r="ES17" s="98" t="str">
        <f t="shared" si="78"/>
        <v>-</v>
      </c>
      <c r="ET17" s="98" t="str">
        <f t="shared" si="79"/>
        <v>-</v>
      </c>
      <c r="EU17" s="98" t="str">
        <f t="shared" si="80"/>
        <v>-</v>
      </c>
      <c r="EV17" s="74"/>
      <c r="EW17" s="74"/>
      <c r="EX17" s="74"/>
      <c r="EY17" s="74" t="str">
        <f>IF(E17=0,"-",LARGE(E6:E50,12))</f>
        <v>-</v>
      </c>
      <c r="EZ17" s="77" t="str">
        <f t="shared" si="81"/>
        <v>-</v>
      </c>
      <c r="FA17" s="77">
        <f t="shared" si="82"/>
        <v>0</v>
      </c>
      <c r="FB17" s="77" t="str">
        <f t="shared" si="83"/>
        <v>-</v>
      </c>
      <c r="FC17" s="77" t="str">
        <f>IF(FB17="-","-",SMALL(FB6:FB50,12))</f>
        <v>-</v>
      </c>
    </row>
    <row r="18" spans="1:159" s="77" customFormat="1">
      <c r="B18" s="77" t="str">
        <f>IF(Main!$BL$5&gt;12,"x","")</f>
        <v/>
      </c>
      <c r="C18" s="95">
        <f>'1'!R15</f>
        <v>0</v>
      </c>
      <c r="D18" s="96">
        <f>'1'!J15</f>
        <v>0</v>
      </c>
      <c r="E18" s="96">
        <f>'1'!K15</f>
        <v>0</v>
      </c>
      <c r="F18" s="74"/>
      <c r="G18" s="77" t="str">
        <f>IF(Main!$BN$5&gt;12,"x","")</f>
        <v/>
      </c>
      <c r="H18" s="74"/>
      <c r="I18" s="74"/>
      <c r="J18" s="74"/>
      <c r="K18" s="74"/>
      <c r="L18" s="96">
        <f>'3'!R15</f>
        <v>0</v>
      </c>
      <c r="M18" s="77">
        <f>'3'!J15</f>
        <v>0</v>
      </c>
      <c r="N18" s="74">
        <f>'3'!K15</f>
        <v>0</v>
      </c>
      <c r="O18" s="74"/>
      <c r="P18" s="58"/>
      <c r="Q18" s="80" t="s">
        <v>31</v>
      </c>
      <c r="R18" s="29"/>
      <c r="S18" s="29"/>
      <c r="T18" s="101" t="e">
        <f>ED6</f>
        <v>#DIV/0!</v>
      </c>
      <c r="U18" s="74"/>
      <c r="V18" s="74"/>
      <c r="W18" s="74"/>
      <c r="X18" s="95"/>
      <c r="Y18" s="74"/>
      <c r="Z18" s="74"/>
      <c r="AA18" s="74"/>
      <c r="AB18" s="74"/>
      <c r="AC18" s="74"/>
      <c r="AD18" s="74"/>
      <c r="AE18" s="74"/>
      <c r="AF18" s="74"/>
      <c r="AG18" s="74"/>
      <c r="AH18" s="95"/>
      <c r="AI18" s="74"/>
      <c r="AJ18" s="98" t="str">
        <f t="shared" si="27"/>
        <v>-</v>
      </c>
      <c r="AK18" s="98" t="str">
        <f t="shared" si="28"/>
        <v>-</v>
      </c>
      <c r="AL18" s="98" t="str">
        <f t="shared" si="0"/>
        <v>-</v>
      </c>
      <c r="AM18" s="98" t="str">
        <f t="shared" si="29"/>
        <v>-</v>
      </c>
      <c r="AN18" s="98" t="str">
        <f t="shared" si="30"/>
        <v>-</v>
      </c>
      <c r="AO18" s="98" t="str">
        <f t="shared" si="31"/>
        <v>-</v>
      </c>
      <c r="AP18" s="98" t="str">
        <f t="shared" si="32"/>
        <v>-</v>
      </c>
      <c r="AQ18" s="98" t="str">
        <f t="shared" si="33"/>
        <v>-</v>
      </c>
      <c r="AR18" s="74"/>
      <c r="AS18" s="98"/>
      <c r="AT18" s="99" t="e">
        <f t="shared" si="84"/>
        <v>#DIV/0!</v>
      </c>
      <c r="AU18" s="99" t="e">
        <f t="shared" si="84"/>
        <v>#DIV/0!</v>
      </c>
      <c r="AV18" s="99" t="e">
        <f t="shared" si="84"/>
        <v>#DIV/0!</v>
      </c>
      <c r="AW18" s="99" t="e">
        <f t="shared" si="84"/>
        <v>#DIV/0!</v>
      </c>
      <c r="AX18" s="74" t="str">
        <f t="shared" si="35"/>
        <v>-</v>
      </c>
      <c r="AY18" s="74">
        <f t="shared" si="36"/>
        <v>0</v>
      </c>
      <c r="AZ18" s="74">
        <f t="shared" si="37"/>
        <v>0</v>
      </c>
      <c r="BA18" s="98">
        <f t="shared" si="38"/>
        <v>0</v>
      </c>
      <c r="BB18" s="74">
        <f t="shared" si="1"/>
        <v>0</v>
      </c>
      <c r="BC18" s="74">
        <f t="shared" si="2"/>
        <v>0</v>
      </c>
      <c r="BD18" s="74"/>
      <c r="BE18" s="74"/>
      <c r="BF18" s="74"/>
      <c r="BG18" s="74">
        <f t="shared" si="39"/>
        <v>0</v>
      </c>
      <c r="BH18" s="74">
        <f t="shared" si="40"/>
        <v>0</v>
      </c>
      <c r="BI18" s="98">
        <f t="shared" si="41"/>
        <v>0</v>
      </c>
      <c r="BJ18" s="74">
        <f t="shared" si="3"/>
        <v>0</v>
      </c>
      <c r="BK18" s="74">
        <f t="shared" si="4"/>
        <v>0</v>
      </c>
      <c r="BL18" s="74"/>
      <c r="BM18" s="74"/>
      <c r="BN18" s="74">
        <f t="shared" si="42"/>
        <v>0</v>
      </c>
      <c r="BO18" s="74" t="str">
        <f t="shared" si="43"/>
        <v>-</v>
      </c>
      <c r="BP18" s="98" t="str">
        <f t="shared" si="44"/>
        <v>-</v>
      </c>
      <c r="BQ18" s="98" t="str">
        <f t="shared" si="45"/>
        <v>-</v>
      </c>
      <c r="BR18" s="98" t="str">
        <f t="shared" si="5"/>
        <v>-</v>
      </c>
      <c r="BS18" s="98" t="str">
        <f t="shared" si="6"/>
        <v>-</v>
      </c>
      <c r="BT18" s="98" t="str">
        <f t="shared" si="7"/>
        <v>-</v>
      </c>
      <c r="BU18" s="98" t="str">
        <f t="shared" si="8"/>
        <v>-</v>
      </c>
      <c r="BV18" s="98" t="str">
        <f t="shared" si="9"/>
        <v>-</v>
      </c>
      <c r="BW18" s="98" t="str">
        <f t="shared" si="10"/>
        <v>-</v>
      </c>
      <c r="BX18" s="74"/>
      <c r="BY18" s="98"/>
      <c r="BZ18" s="99" t="e">
        <f t="shared" si="85"/>
        <v>#DIV/0!</v>
      </c>
      <c r="CA18" s="99" t="e">
        <f t="shared" si="85"/>
        <v>#DIV/0!</v>
      </c>
      <c r="CB18" s="99" t="e">
        <f t="shared" si="85"/>
        <v>#DIV/0!</v>
      </c>
      <c r="CC18" s="99" t="e">
        <f t="shared" si="85"/>
        <v>#DIV/0!</v>
      </c>
      <c r="CD18" s="74" t="str">
        <f t="shared" si="11"/>
        <v>-</v>
      </c>
      <c r="CE18" s="74">
        <f t="shared" si="47"/>
        <v>0</v>
      </c>
      <c r="CF18" s="74">
        <f t="shared" si="48"/>
        <v>0</v>
      </c>
      <c r="CG18" s="98">
        <f t="shared" si="49"/>
        <v>0</v>
      </c>
      <c r="CH18" s="74">
        <f t="shared" si="12"/>
        <v>0</v>
      </c>
      <c r="CI18" s="74">
        <f t="shared" si="13"/>
        <v>0</v>
      </c>
      <c r="CJ18" s="74"/>
      <c r="CK18" s="74"/>
      <c r="CL18" s="74"/>
      <c r="CM18" s="74">
        <f t="shared" si="14"/>
        <v>0</v>
      </c>
      <c r="CN18" s="74">
        <f t="shared" si="50"/>
        <v>0</v>
      </c>
      <c r="CO18" s="98">
        <f t="shared" si="51"/>
        <v>0</v>
      </c>
      <c r="CP18" s="74">
        <f t="shared" si="15"/>
        <v>0</v>
      </c>
      <c r="CQ18" s="74">
        <f t="shared" si="16"/>
        <v>0</v>
      </c>
      <c r="CR18" s="74"/>
      <c r="CS18" s="74"/>
      <c r="CT18" s="74"/>
      <c r="CU18" s="74"/>
      <c r="CV18" s="98" t="str">
        <f t="shared" si="17"/>
        <v>-</v>
      </c>
      <c r="CW18" s="95" t="str">
        <f t="shared" si="18"/>
        <v>-</v>
      </c>
      <c r="CX18" s="74" t="str">
        <f t="shared" si="52"/>
        <v>-</v>
      </c>
      <c r="CY18" s="74" t="str">
        <f t="shared" si="19"/>
        <v>-</v>
      </c>
      <c r="CZ18" s="100" t="str">
        <f t="shared" si="20"/>
        <v>-</v>
      </c>
      <c r="DA18" s="58" t="str">
        <f t="shared" si="53"/>
        <v>-</v>
      </c>
      <c r="DB18" s="58" t="str">
        <f t="shared" si="54"/>
        <v>-</v>
      </c>
      <c r="DC18" s="58" t="str">
        <f t="shared" si="55"/>
        <v>-</v>
      </c>
      <c r="DD18" s="58" t="str">
        <f t="shared" si="56"/>
        <v>-</v>
      </c>
      <c r="DE18" s="74" t="e">
        <f>DE9/DE13</f>
        <v>#DIV/0!</v>
      </c>
      <c r="DF18" s="74"/>
      <c r="DG18" s="74"/>
      <c r="DH18" s="98" t="str">
        <f t="shared" si="57"/>
        <v>-</v>
      </c>
      <c r="DI18" s="98" t="str">
        <f t="shared" si="58"/>
        <v>-</v>
      </c>
      <c r="DJ18" s="74" t="str">
        <f t="shared" si="59"/>
        <v>-</v>
      </c>
      <c r="DK18" s="74" t="str">
        <f t="shared" si="59"/>
        <v>-</v>
      </c>
      <c r="DL18" s="100" t="str">
        <f t="shared" si="22"/>
        <v>-</v>
      </c>
      <c r="DM18" s="58" t="str">
        <f t="shared" si="60"/>
        <v>-</v>
      </c>
      <c r="DN18" s="58" t="str">
        <f t="shared" si="61"/>
        <v>-</v>
      </c>
      <c r="DO18" s="58" t="str">
        <f t="shared" si="62"/>
        <v>-</v>
      </c>
      <c r="DP18" s="58" t="str">
        <f t="shared" si="63"/>
        <v>-</v>
      </c>
      <c r="DQ18" s="74" t="e">
        <f>DQ9/DQ13</f>
        <v>#DIV/0!</v>
      </c>
      <c r="DR18" s="100"/>
      <c r="DS18" s="74"/>
      <c r="DT18" s="98" t="str">
        <f t="shared" si="86"/>
        <v>-</v>
      </c>
      <c r="DU18" s="98" t="str">
        <f t="shared" si="64"/>
        <v>-</v>
      </c>
      <c r="DV18" s="74" t="str">
        <f t="shared" si="65"/>
        <v>-</v>
      </c>
      <c r="DW18" s="74" t="str">
        <f t="shared" si="65"/>
        <v>-</v>
      </c>
      <c r="DX18" s="100" t="str">
        <f t="shared" si="24"/>
        <v>-</v>
      </c>
      <c r="DY18" s="58" t="str">
        <f t="shared" si="66"/>
        <v>-</v>
      </c>
      <c r="DZ18" s="58" t="str">
        <f t="shared" si="67"/>
        <v>-</v>
      </c>
      <c r="EA18" s="58" t="str">
        <f t="shared" si="68"/>
        <v>-</v>
      </c>
      <c r="EB18" s="58" t="str">
        <f t="shared" si="69"/>
        <v>-</v>
      </c>
      <c r="EC18" s="74" t="e">
        <f>EC9/EC13</f>
        <v>#DIV/0!</v>
      </c>
      <c r="ED18" s="100"/>
      <c r="EE18" s="74"/>
      <c r="EF18" s="98" t="str">
        <f t="shared" si="70"/>
        <v>-</v>
      </c>
      <c r="EG18" s="98" t="str">
        <f t="shared" si="71"/>
        <v>-</v>
      </c>
      <c r="EH18" s="74" t="str">
        <f t="shared" si="72"/>
        <v>-</v>
      </c>
      <c r="EI18" s="74" t="str">
        <f t="shared" si="72"/>
        <v>-</v>
      </c>
      <c r="EJ18" s="100" t="str">
        <f t="shared" si="26"/>
        <v>-</v>
      </c>
      <c r="EK18" s="58" t="str">
        <f t="shared" si="73"/>
        <v>-</v>
      </c>
      <c r="EL18" s="58" t="str">
        <f t="shared" si="74"/>
        <v>-</v>
      </c>
      <c r="EM18" s="58" t="str">
        <f t="shared" si="75"/>
        <v>-</v>
      </c>
      <c r="EN18" s="58" t="str">
        <f t="shared" si="76"/>
        <v>-</v>
      </c>
      <c r="EO18" s="74" t="e">
        <f>EO9/EO13</f>
        <v>#DIV/0!</v>
      </c>
      <c r="EP18" s="100"/>
      <c r="EQ18" s="74"/>
      <c r="ER18" s="98" t="str">
        <f t="shared" si="77"/>
        <v>-</v>
      </c>
      <c r="ES18" s="98" t="str">
        <f t="shared" si="78"/>
        <v>-</v>
      </c>
      <c r="ET18" s="98" t="str">
        <f t="shared" si="79"/>
        <v>-</v>
      </c>
      <c r="EU18" s="98" t="str">
        <f t="shared" si="80"/>
        <v>-</v>
      </c>
      <c r="EV18" s="74"/>
      <c r="EW18" s="74"/>
      <c r="EX18" s="74"/>
      <c r="EY18" s="74" t="str">
        <f>IF(E18=0,"-",LARGE(E6:E50,13))</f>
        <v>-</v>
      </c>
      <c r="EZ18" s="77" t="str">
        <f t="shared" si="81"/>
        <v>-</v>
      </c>
      <c r="FA18" s="77">
        <f t="shared" si="82"/>
        <v>0</v>
      </c>
      <c r="FB18" s="77" t="str">
        <f t="shared" si="83"/>
        <v>-</v>
      </c>
      <c r="FC18" s="77" t="str">
        <f>IF(FB18="-","-",SMALL(FB6:FB50,13))</f>
        <v>-</v>
      </c>
    </row>
    <row r="19" spans="1:159" s="77" customFormat="1">
      <c r="B19" s="77" t="str">
        <f>IF(Main!$BL$5&gt;13,"x","")</f>
        <v/>
      </c>
      <c r="C19" s="95">
        <f>'1'!R16</f>
        <v>0</v>
      </c>
      <c r="D19" s="96">
        <f>'1'!J16</f>
        <v>0</v>
      </c>
      <c r="E19" s="96">
        <f>'1'!K16</f>
        <v>0</v>
      </c>
      <c r="F19" s="74"/>
      <c r="G19" s="77" t="str">
        <f>IF(Main!$BN$5&gt;13,"x","")</f>
        <v/>
      </c>
      <c r="H19" s="74"/>
      <c r="I19" s="74"/>
      <c r="J19" s="74"/>
      <c r="K19" s="74"/>
      <c r="L19" s="96">
        <f>'3'!R16</f>
        <v>0</v>
      </c>
      <c r="M19" s="77">
        <f>'3'!J16</f>
        <v>0</v>
      </c>
      <c r="N19" s="74">
        <f>'3'!K16</f>
        <v>0</v>
      </c>
      <c r="O19" s="74"/>
      <c r="P19" s="58" t="s">
        <v>4</v>
      </c>
      <c r="Q19" s="58" t="s">
        <v>21</v>
      </c>
      <c r="R19" s="102" t="e">
        <f>AVERAGE(AO6:AO35)</f>
        <v>#DIV/0!</v>
      </c>
      <c r="S19" s="97" t="e">
        <f>AVERAGE(BU6:BU35)</f>
        <v>#DIV/0!</v>
      </c>
      <c r="T19" s="97" t="e">
        <f>AVERAGE(ES6:ES35)</f>
        <v>#DIV/0!</v>
      </c>
      <c r="U19" s="74"/>
      <c r="V19" s="74"/>
      <c r="W19" s="74"/>
      <c r="X19" s="95"/>
      <c r="Y19" s="74"/>
      <c r="Z19" s="74"/>
      <c r="AA19" s="74"/>
      <c r="AB19" s="74"/>
      <c r="AC19" s="74"/>
      <c r="AD19" s="74"/>
      <c r="AE19" s="74"/>
      <c r="AF19" s="74"/>
      <c r="AG19" s="74"/>
      <c r="AH19" s="95"/>
      <c r="AI19" s="74"/>
      <c r="AJ19" s="98" t="str">
        <f t="shared" si="27"/>
        <v>-</v>
      </c>
      <c r="AK19" s="98" t="str">
        <f t="shared" si="28"/>
        <v>-</v>
      </c>
      <c r="AL19" s="98" t="str">
        <f t="shared" si="0"/>
        <v>-</v>
      </c>
      <c r="AM19" s="98" t="str">
        <f t="shared" si="29"/>
        <v>-</v>
      </c>
      <c r="AN19" s="98" t="str">
        <f t="shared" si="30"/>
        <v>-</v>
      </c>
      <c r="AO19" s="98" t="str">
        <f t="shared" si="31"/>
        <v>-</v>
      </c>
      <c r="AP19" s="98" t="str">
        <f t="shared" si="32"/>
        <v>-</v>
      </c>
      <c r="AQ19" s="98" t="str">
        <f t="shared" si="33"/>
        <v>-</v>
      </c>
      <c r="AR19" s="74"/>
      <c r="AS19" s="98"/>
      <c r="AT19" s="99" t="e">
        <f t="shared" si="84"/>
        <v>#DIV/0!</v>
      </c>
      <c r="AU19" s="99" t="e">
        <f t="shared" si="84"/>
        <v>#DIV/0!</v>
      </c>
      <c r="AV19" s="99" t="e">
        <f t="shared" si="84"/>
        <v>#DIV/0!</v>
      </c>
      <c r="AW19" s="99" t="e">
        <f t="shared" si="84"/>
        <v>#DIV/0!</v>
      </c>
      <c r="AX19" s="74" t="str">
        <f t="shared" si="35"/>
        <v>-</v>
      </c>
      <c r="AY19" s="74">
        <f t="shared" si="36"/>
        <v>0</v>
      </c>
      <c r="AZ19" s="74">
        <f t="shared" si="37"/>
        <v>0</v>
      </c>
      <c r="BA19" s="98">
        <f t="shared" si="38"/>
        <v>0</v>
      </c>
      <c r="BB19" s="74">
        <f t="shared" si="1"/>
        <v>0</v>
      </c>
      <c r="BC19" s="74">
        <f t="shared" si="2"/>
        <v>0</v>
      </c>
      <c r="BD19" s="74"/>
      <c r="BE19" s="74"/>
      <c r="BF19" s="74"/>
      <c r="BG19" s="74">
        <f t="shared" si="39"/>
        <v>0</v>
      </c>
      <c r="BH19" s="74">
        <f t="shared" si="40"/>
        <v>0</v>
      </c>
      <c r="BI19" s="98">
        <f t="shared" si="41"/>
        <v>0</v>
      </c>
      <c r="BJ19" s="74">
        <f t="shared" si="3"/>
        <v>0</v>
      </c>
      <c r="BK19" s="74">
        <f t="shared" si="4"/>
        <v>0</v>
      </c>
      <c r="BL19" s="74"/>
      <c r="BM19" s="74"/>
      <c r="BN19" s="74">
        <f t="shared" si="42"/>
        <v>0</v>
      </c>
      <c r="BO19" s="74" t="str">
        <f t="shared" si="43"/>
        <v>-</v>
      </c>
      <c r="BP19" s="98" t="str">
        <f t="shared" si="44"/>
        <v>-</v>
      </c>
      <c r="BQ19" s="98" t="str">
        <f t="shared" si="45"/>
        <v>-</v>
      </c>
      <c r="BR19" s="98" t="str">
        <f t="shared" si="5"/>
        <v>-</v>
      </c>
      <c r="BS19" s="98" t="str">
        <f t="shared" si="6"/>
        <v>-</v>
      </c>
      <c r="BT19" s="98" t="str">
        <f t="shared" si="7"/>
        <v>-</v>
      </c>
      <c r="BU19" s="98" t="str">
        <f t="shared" si="8"/>
        <v>-</v>
      </c>
      <c r="BV19" s="98" t="str">
        <f t="shared" si="9"/>
        <v>-</v>
      </c>
      <c r="BW19" s="98" t="str">
        <f t="shared" si="10"/>
        <v>-</v>
      </c>
      <c r="BX19" s="74"/>
      <c r="BY19" s="98"/>
      <c r="BZ19" s="99" t="e">
        <f t="shared" si="85"/>
        <v>#DIV/0!</v>
      </c>
      <c r="CA19" s="99" t="e">
        <f t="shared" si="85"/>
        <v>#DIV/0!</v>
      </c>
      <c r="CB19" s="99" t="e">
        <f t="shared" si="85"/>
        <v>#DIV/0!</v>
      </c>
      <c r="CC19" s="99" t="e">
        <f t="shared" si="85"/>
        <v>#DIV/0!</v>
      </c>
      <c r="CD19" s="74" t="str">
        <f t="shared" si="11"/>
        <v>-</v>
      </c>
      <c r="CE19" s="74">
        <f t="shared" si="47"/>
        <v>0</v>
      </c>
      <c r="CF19" s="74">
        <f t="shared" si="48"/>
        <v>0</v>
      </c>
      <c r="CG19" s="98">
        <f t="shared" si="49"/>
        <v>0</v>
      </c>
      <c r="CH19" s="74">
        <f t="shared" si="12"/>
        <v>0</v>
      </c>
      <c r="CI19" s="74">
        <f t="shared" si="13"/>
        <v>0</v>
      </c>
      <c r="CJ19" s="74"/>
      <c r="CK19" s="74"/>
      <c r="CL19" s="74"/>
      <c r="CM19" s="74">
        <f t="shared" si="14"/>
        <v>0</v>
      </c>
      <c r="CN19" s="74">
        <f t="shared" si="50"/>
        <v>0</v>
      </c>
      <c r="CO19" s="98">
        <f t="shared" si="51"/>
        <v>0</v>
      </c>
      <c r="CP19" s="74">
        <f t="shared" si="15"/>
        <v>0</v>
      </c>
      <c r="CQ19" s="74">
        <f t="shared" si="16"/>
        <v>0</v>
      </c>
      <c r="CR19" s="74"/>
      <c r="CS19" s="74"/>
      <c r="CT19" s="74"/>
      <c r="CU19" s="74"/>
      <c r="CV19" s="98" t="str">
        <f t="shared" si="17"/>
        <v>-</v>
      </c>
      <c r="CW19" s="95" t="str">
        <f t="shared" si="18"/>
        <v>-</v>
      </c>
      <c r="CX19" s="74" t="str">
        <f t="shared" si="52"/>
        <v>-</v>
      </c>
      <c r="CY19" s="74" t="str">
        <f t="shared" si="19"/>
        <v>-</v>
      </c>
      <c r="CZ19" s="100" t="str">
        <f t="shared" si="20"/>
        <v>-</v>
      </c>
      <c r="DA19" s="58" t="str">
        <f t="shared" si="53"/>
        <v>-</v>
      </c>
      <c r="DB19" s="58" t="str">
        <f t="shared" si="54"/>
        <v>-</v>
      </c>
      <c r="DC19" s="58" t="str">
        <f t="shared" si="55"/>
        <v>-</v>
      </c>
      <c r="DD19" s="58" t="str">
        <f t="shared" si="56"/>
        <v>-</v>
      </c>
      <c r="DE19" s="74"/>
      <c r="DF19" s="74"/>
      <c r="DG19" s="74"/>
      <c r="DH19" s="98" t="str">
        <f t="shared" si="57"/>
        <v>-</v>
      </c>
      <c r="DI19" s="98" t="str">
        <f t="shared" si="58"/>
        <v>-</v>
      </c>
      <c r="DJ19" s="74" t="str">
        <f t="shared" si="59"/>
        <v>-</v>
      </c>
      <c r="DK19" s="74" t="str">
        <f t="shared" si="59"/>
        <v>-</v>
      </c>
      <c r="DL19" s="100" t="str">
        <f t="shared" si="22"/>
        <v>-</v>
      </c>
      <c r="DM19" s="58" t="str">
        <f t="shared" si="60"/>
        <v>-</v>
      </c>
      <c r="DN19" s="58" t="str">
        <f t="shared" si="61"/>
        <v>-</v>
      </c>
      <c r="DO19" s="58" t="str">
        <f t="shared" si="62"/>
        <v>-</v>
      </c>
      <c r="DP19" s="58" t="str">
        <f t="shared" si="63"/>
        <v>-</v>
      </c>
      <c r="DQ19" s="100"/>
      <c r="DR19" s="100"/>
      <c r="DS19" s="74"/>
      <c r="DT19" s="98" t="str">
        <f t="shared" si="86"/>
        <v>-</v>
      </c>
      <c r="DU19" s="98" t="str">
        <f t="shared" si="64"/>
        <v>-</v>
      </c>
      <c r="DV19" s="74" t="str">
        <f t="shared" si="65"/>
        <v>-</v>
      </c>
      <c r="DW19" s="74" t="str">
        <f t="shared" si="65"/>
        <v>-</v>
      </c>
      <c r="DX19" s="100" t="str">
        <f t="shared" si="24"/>
        <v>-</v>
      </c>
      <c r="DY19" s="58" t="str">
        <f t="shared" si="66"/>
        <v>-</v>
      </c>
      <c r="DZ19" s="58" t="str">
        <f t="shared" si="67"/>
        <v>-</v>
      </c>
      <c r="EA19" s="58" t="str">
        <f t="shared" si="68"/>
        <v>-</v>
      </c>
      <c r="EB19" s="58" t="str">
        <f t="shared" si="69"/>
        <v>-</v>
      </c>
      <c r="EC19" s="100"/>
      <c r="ED19" s="100"/>
      <c r="EE19" s="74"/>
      <c r="EF19" s="98" t="str">
        <f t="shared" si="70"/>
        <v>-</v>
      </c>
      <c r="EG19" s="98" t="str">
        <f t="shared" si="71"/>
        <v>-</v>
      </c>
      <c r="EH19" s="74" t="str">
        <f t="shared" si="72"/>
        <v>-</v>
      </c>
      <c r="EI19" s="74" t="str">
        <f t="shared" si="72"/>
        <v>-</v>
      </c>
      <c r="EJ19" s="100" t="str">
        <f t="shared" si="26"/>
        <v>-</v>
      </c>
      <c r="EK19" s="58" t="str">
        <f t="shared" si="73"/>
        <v>-</v>
      </c>
      <c r="EL19" s="58" t="str">
        <f t="shared" si="74"/>
        <v>-</v>
      </c>
      <c r="EM19" s="58" t="str">
        <f t="shared" si="75"/>
        <v>-</v>
      </c>
      <c r="EN19" s="58" t="str">
        <f t="shared" si="76"/>
        <v>-</v>
      </c>
      <c r="EO19" s="100"/>
      <c r="EP19" s="100"/>
      <c r="EQ19" s="74"/>
      <c r="ER19" s="98" t="str">
        <f t="shared" si="77"/>
        <v>-</v>
      </c>
      <c r="ES19" s="98" t="str">
        <f t="shared" si="78"/>
        <v>-</v>
      </c>
      <c r="ET19" s="98" t="str">
        <f t="shared" si="79"/>
        <v>-</v>
      </c>
      <c r="EU19" s="98" t="str">
        <f t="shared" si="80"/>
        <v>-</v>
      </c>
      <c r="EV19" s="74"/>
      <c r="EW19" s="74"/>
      <c r="EX19" s="74"/>
      <c r="EY19" s="74" t="str">
        <f>IF(E19=0,"-",LARGE(E6:E50,14))</f>
        <v>-</v>
      </c>
      <c r="EZ19" s="77" t="str">
        <f t="shared" si="81"/>
        <v>-</v>
      </c>
      <c r="FA19" s="77">
        <f t="shared" si="82"/>
        <v>0</v>
      </c>
      <c r="FB19" s="77" t="str">
        <f t="shared" si="83"/>
        <v>-</v>
      </c>
      <c r="FC19" s="77" t="str">
        <f>IF(FB19="-","-",SMALL(FB6:FB50,14))</f>
        <v>-</v>
      </c>
    </row>
    <row r="20" spans="1:159" s="77" customFormat="1">
      <c r="B20" s="77" t="str">
        <f>IF(Main!$BL$5&gt;14,"x","")</f>
        <v/>
      </c>
      <c r="C20" s="95">
        <f>'1'!R17</f>
        <v>0</v>
      </c>
      <c r="D20" s="96">
        <f>'1'!J17</f>
        <v>0</v>
      </c>
      <c r="E20" s="96">
        <f>'1'!K17</f>
        <v>0</v>
      </c>
      <c r="F20" s="74"/>
      <c r="G20" s="77" t="str">
        <f>IF(Main!$BN$5&gt;14,"x","")</f>
        <v/>
      </c>
      <c r="H20" s="74"/>
      <c r="I20" s="74"/>
      <c r="J20" s="74"/>
      <c r="K20" s="74"/>
      <c r="L20" s="96">
        <f>'3'!R17</f>
        <v>0</v>
      </c>
      <c r="M20" s="77">
        <f>'3'!J17</f>
        <v>0</v>
      </c>
      <c r="N20" s="74">
        <f>'3'!K17</f>
        <v>0</v>
      </c>
      <c r="O20" s="74"/>
      <c r="P20" s="58"/>
      <c r="Q20" s="58" t="s">
        <v>23</v>
      </c>
      <c r="R20" s="102" t="e">
        <f>STDEV(AO6:AO35)</f>
        <v>#DIV/0!</v>
      </c>
      <c r="S20" s="97" t="e">
        <f>STDEV(BU6:BU35)</f>
        <v>#DIV/0!</v>
      </c>
      <c r="T20" s="97" t="e">
        <f>STDEV(ES6:ES35)</f>
        <v>#DIV/0!</v>
      </c>
      <c r="U20" s="74"/>
      <c r="V20" s="74"/>
      <c r="W20" s="74"/>
      <c r="X20" s="95"/>
      <c r="Y20" s="74"/>
      <c r="Z20" s="74"/>
      <c r="AA20" s="74"/>
      <c r="AB20" s="74"/>
      <c r="AC20" s="74"/>
      <c r="AD20" s="74"/>
      <c r="AE20" s="74"/>
      <c r="AF20" s="74"/>
      <c r="AG20" s="74"/>
      <c r="AH20" s="95"/>
      <c r="AI20" s="74"/>
      <c r="AJ20" s="98" t="str">
        <f t="shared" si="27"/>
        <v>-</v>
      </c>
      <c r="AK20" s="98" t="str">
        <f t="shared" si="28"/>
        <v>-</v>
      </c>
      <c r="AL20" s="98" t="str">
        <f t="shared" si="0"/>
        <v>-</v>
      </c>
      <c r="AM20" s="98" t="str">
        <f t="shared" si="29"/>
        <v>-</v>
      </c>
      <c r="AN20" s="98" t="str">
        <f t="shared" si="30"/>
        <v>-</v>
      </c>
      <c r="AO20" s="98" t="str">
        <f t="shared" si="31"/>
        <v>-</v>
      </c>
      <c r="AP20" s="98" t="str">
        <f t="shared" si="32"/>
        <v>-</v>
      </c>
      <c r="AQ20" s="98" t="str">
        <f t="shared" si="33"/>
        <v>-</v>
      </c>
      <c r="AR20" s="74"/>
      <c r="AS20" s="98"/>
      <c r="AT20" s="99" t="e">
        <f t="shared" si="84"/>
        <v>#DIV/0!</v>
      </c>
      <c r="AU20" s="99" t="e">
        <f t="shared" si="84"/>
        <v>#DIV/0!</v>
      </c>
      <c r="AV20" s="99" t="e">
        <f t="shared" si="84"/>
        <v>#DIV/0!</v>
      </c>
      <c r="AW20" s="99" t="e">
        <f t="shared" si="84"/>
        <v>#DIV/0!</v>
      </c>
      <c r="AX20" s="74" t="str">
        <f t="shared" si="35"/>
        <v>-</v>
      </c>
      <c r="AY20" s="74">
        <f t="shared" si="36"/>
        <v>0</v>
      </c>
      <c r="AZ20" s="74">
        <f t="shared" si="37"/>
        <v>0</v>
      </c>
      <c r="BA20" s="98">
        <f t="shared" si="38"/>
        <v>0</v>
      </c>
      <c r="BB20" s="74">
        <f t="shared" si="1"/>
        <v>0</v>
      </c>
      <c r="BC20" s="74">
        <f t="shared" si="2"/>
        <v>0</v>
      </c>
      <c r="BD20" s="74"/>
      <c r="BE20" s="74"/>
      <c r="BF20" s="74"/>
      <c r="BG20" s="74">
        <f t="shared" si="39"/>
        <v>0</v>
      </c>
      <c r="BH20" s="74">
        <f t="shared" si="40"/>
        <v>0</v>
      </c>
      <c r="BI20" s="98">
        <f t="shared" si="41"/>
        <v>0</v>
      </c>
      <c r="BJ20" s="74">
        <f t="shared" si="3"/>
        <v>0</v>
      </c>
      <c r="BK20" s="74">
        <f t="shared" si="4"/>
        <v>0</v>
      </c>
      <c r="BL20" s="74"/>
      <c r="BM20" s="74"/>
      <c r="BN20" s="74">
        <f t="shared" si="42"/>
        <v>0</v>
      </c>
      <c r="BO20" s="74" t="str">
        <f t="shared" si="43"/>
        <v>-</v>
      </c>
      <c r="BP20" s="98" t="str">
        <f t="shared" si="44"/>
        <v>-</v>
      </c>
      <c r="BQ20" s="98" t="str">
        <f t="shared" si="45"/>
        <v>-</v>
      </c>
      <c r="BR20" s="98" t="str">
        <f t="shared" si="5"/>
        <v>-</v>
      </c>
      <c r="BS20" s="98" t="str">
        <f t="shared" si="6"/>
        <v>-</v>
      </c>
      <c r="BT20" s="98" t="str">
        <f t="shared" si="7"/>
        <v>-</v>
      </c>
      <c r="BU20" s="98" t="str">
        <f t="shared" si="8"/>
        <v>-</v>
      </c>
      <c r="BV20" s="98" t="str">
        <f t="shared" si="9"/>
        <v>-</v>
      </c>
      <c r="BW20" s="98" t="str">
        <f t="shared" si="10"/>
        <v>-</v>
      </c>
      <c r="BX20" s="74"/>
      <c r="BY20" s="98"/>
      <c r="BZ20" s="99" t="e">
        <f t="shared" si="85"/>
        <v>#DIV/0!</v>
      </c>
      <c r="CA20" s="99" t="e">
        <f t="shared" si="85"/>
        <v>#DIV/0!</v>
      </c>
      <c r="CB20" s="99" t="e">
        <f t="shared" si="85"/>
        <v>#DIV/0!</v>
      </c>
      <c r="CC20" s="99" t="e">
        <f t="shared" si="85"/>
        <v>#DIV/0!</v>
      </c>
      <c r="CD20" s="74" t="str">
        <f t="shared" si="11"/>
        <v>-</v>
      </c>
      <c r="CE20" s="74">
        <f t="shared" si="47"/>
        <v>0</v>
      </c>
      <c r="CF20" s="74">
        <f t="shared" si="48"/>
        <v>0</v>
      </c>
      <c r="CG20" s="98">
        <f t="shared" si="49"/>
        <v>0</v>
      </c>
      <c r="CH20" s="74">
        <f t="shared" si="12"/>
        <v>0</v>
      </c>
      <c r="CI20" s="74">
        <f t="shared" si="13"/>
        <v>0</v>
      </c>
      <c r="CJ20" s="74"/>
      <c r="CK20" s="74"/>
      <c r="CL20" s="74"/>
      <c r="CM20" s="74">
        <f t="shared" si="14"/>
        <v>0</v>
      </c>
      <c r="CN20" s="74">
        <f t="shared" si="50"/>
        <v>0</v>
      </c>
      <c r="CO20" s="98">
        <f t="shared" si="51"/>
        <v>0</v>
      </c>
      <c r="CP20" s="74">
        <f t="shared" si="15"/>
        <v>0</v>
      </c>
      <c r="CQ20" s="74">
        <f t="shared" si="16"/>
        <v>0</v>
      </c>
      <c r="CR20" s="74"/>
      <c r="CS20" s="74"/>
      <c r="CT20" s="74"/>
      <c r="CU20" s="74"/>
      <c r="CV20" s="98" t="str">
        <f t="shared" si="17"/>
        <v>-</v>
      </c>
      <c r="CW20" s="95" t="str">
        <f t="shared" si="18"/>
        <v>-</v>
      </c>
      <c r="CX20" s="74" t="str">
        <f t="shared" si="52"/>
        <v>-</v>
      </c>
      <c r="CY20" s="74" t="str">
        <f t="shared" si="19"/>
        <v>-</v>
      </c>
      <c r="CZ20" s="100" t="str">
        <f t="shared" si="20"/>
        <v>-</v>
      </c>
      <c r="DA20" s="58" t="str">
        <f t="shared" si="53"/>
        <v>-</v>
      </c>
      <c r="DB20" s="58" t="str">
        <f t="shared" si="54"/>
        <v>-</v>
      </c>
      <c r="DC20" s="58" t="str">
        <f t="shared" si="55"/>
        <v>-</v>
      </c>
      <c r="DD20" s="58" t="str">
        <f t="shared" si="56"/>
        <v>-</v>
      </c>
      <c r="DE20" s="74"/>
      <c r="DF20" s="74"/>
      <c r="DG20" s="74"/>
      <c r="DH20" s="98" t="str">
        <f t="shared" si="57"/>
        <v>-</v>
      </c>
      <c r="DI20" s="98" t="str">
        <f t="shared" si="58"/>
        <v>-</v>
      </c>
      <c r="DJ20" s="74" t="str">
        <f t="shared" si="59"/>
        <v>-</v>
      </c>
      <c r="DK20" s="74" t="str">
        <f t="shared" si="59"/>
        <v>-</v>
      </c>
      <c r="DL20" s="100" t="str">
        <f t="shared" si="22"/>
        <v>-</v>
      </c>
      <c r="DM20" s="58" t="str">
        <f t="shared" si="60"/>
        <v>-</v>
      </c>
      <c r="DN20" s="58" t="str">
        <f t="shared" si="61"/>
        <v>-</v>
      </c>
      <c r="DO20" s="58" t="str">
        <f t="shared" si="62"/>
        <v>-</v>
      </c>
      <c r="DP20" s="58" t="str">
        <f t="shared" si="63"/>
        <v>-</v>
      </c>
      <c r="DQ20" s="100"/>
      <c r="DR20" s="100"/>
      <c r="DS20" s="74"/>
      <c r="DT20" s="98" t="str">
        <f t="shared" si="86"/>
        <v>-</v>
      </c>
      <c r="DU20" s="98" t="str">
        <f t="shared" si="64"/>
        <v>-</v>
      </c>
      <c r="DV20" s="74" t="str">
        <f t="shared" si="65"/>
        <v>-</v>
      </c>
      <c r="DW20" s="74" t="str">
        <f t="shared" si="65"/>
        <v>-</v>
      </c>
      <c r="DX20" s="100" t="str">
        <f t="shared" si="24"/>
        <v>-</v>
      </c>
      <c r="DY20" s="58" t="str">
        <f t="shared" si="66"/>
        <v>-</v>
      </c>
      <c r="DZ20" s="58" t="str">
        <f t="shared" si="67"/>
        <v>-</v>
      </c>
      <c r="EA20" s="58" t="str">
        <f t="shared" si="68"/>
        <v>-</v>
      </c>
      <c r="EB20" s="58" t="str">
        <f t="shared" si="69"/>
        <v>-</v>
      </c>
      <c r="EC20" s="100"/>
      <c r="ED20" s="100"/>
      <c r="EE20" s="74"/>
      <c r="EF20" s="98" t="str">
        <f t="shared" si="70"/>
        <v>-</v>
      </c>
      <c r="EG20" s="98" t="str">
        <f t="shared" si="71"/>
        <v>-</v>
      </c>
      <c r="EH20" s="74" t="str">
        <f t="shared" si="72"/>
        <v>-</v>
      </c>
      <c r="EI20" s="74" t="str">
        <f t="shared" si="72"/>
        <v>-</v>
      </c>
      <c r="EJ20" s="100" t="str">
        <f t="shared" si="26"/>
        <v>-</v>
      </c>
      <c r="EK20" s="58" t="str">
        <f t="shared" si="73"/>
        <v>-</v>
      </c>
      <c r="EL20" s="58" t="str">
        <f t="shared" si="74"/>
        <v>-</v>
      </c>
      <c r="EM20" s="58" t="str">
        <f t="shared" si="75"/>
        <v>-</v>
      </c>
      <c r="EN20" s="58" t="str">
        <f t="shared" si="76"/>
        <v>-</v>
      </c>
      <c r="EO20" s="100"/>
      <c r="EP20" s="100"/>
      <c r="EQ20" s="74"/>
      <c r="ER20" s="98" t="str">
        <f t="shared" si="77"/>
        <v>-</v>
      </c>
      <c r="ES20" s="98" t="str">
        <f t="shared" si="78"/>
        <v>-</v>
      </c>
      <c r="ET20" s="98" t="str">
        <f t="shared" si="79"/>
        <v>-</v>
      </c>
      <c r="EU20" s="98" t="str">
        <f t="shared" si="80"/>
        <v>-</v>
      </c>
      <c r="EV20" s="74"/>
      <c r="EW20" s="74"/>
      <c r="EX20" s="74"/>
      <c r="EY20" s="74" t="str">
        <f>IF(E20=0,"-",LARGE(E6:E50,15))</f>
        <v>-</v>
      </c>
      <c r="EZ20" s="77" t="str">
        <f t="shared" si="81"/>
        <v>-</v>
      </c>
      <c r="FA20" s="77">
        <f t="shared" si="82"/>
        <v>0</v>
      </c>
      <c r="FB20" s="77" t="str">
        <f t="shared" si="83"/>
        <v>-</v>
      </c>
      <c r="FC20" s="77" t="str">
        <f>IF(FB20="-","-",SMALL(FB6:FB50,15))</f>
        <v>-</v>
      </c>
    </row>
    <row r="21" spans="1:159" s="77" customFormat="1">
      <c r="B21" s="77" t="str">
        <f>IF(Main!$BL$5&gt;15,"x","")</f>
        <v/>
      </c>
      <c r="C21" s="95">
        <f>'1'!R18</f>
        <v>0</v>
      </c>
      <c r="D21" s="96">
        <f>'1'!J18</f>
        <v>0</v>
      </c>
      <c r="E21" s="96">
        <f>'1'!K18</f>
        <v>0</v>
      </c>
      <c r="F21" s="74"/>
      <c r="G21" s="77" t="str">
        <f>IF(Main!$BN$5&gt;15,"x","")</f>
        <v/>
      </c>
      <c r="H21" s="74"/>
      <c r="I21" s="74"/>
      <c r="J21" s="74"/>
      <c r="K21" s="74"/>
      <c r="L21" s="96">
        <f>'3'!R18</f>
        <v>0</v>
      </c>
      <c r="M21" s="77">
        <f>'3'!J18</f>
        <v>0</v>
      </c>
      <c r="N21" s="74">
        <f>'3'!K18</f>
        <v>0</v>
      </c>
      <c r="O21" s="74"/>
      <c r="P21" s="58"/>
      <c r="Q21" s="58" t="s">
        <v>25</v>
      </c>
      <c r="R21" s="102">
        <f>MAX(AO6:AO35)</f>
        <v>0</v>
      </c>
      <c r="S21" s="97">
        <f>MAX(BU6:BU35)</f>
        <v>0</v>
      </c>
      <c r="T21" s="97">
        <f>MAX(ES6:ES35)</f>
        <v>0</v>
      </c>
      <c r="U21" s="74"/>
      <c r="V21" s="74"/>
      <c r="W21" s="74"/>
      <c r="X21" s="95"/>
      <c r="Y21" s="74"/>
      <c r="Z21" s="74"/>
      <c r="AA21" s="74"/>
      <c r="AB21" s="74"/>
      <c r="AC21" s="74"/>
      <c r="AD21" s="74"/>
      <c r="AE21" s="74"/>
      <c r="AF21" s="74"/>
      <c r="AG21" s="74"/>
      <c r="AH21" s="95"/>
      <c r="AI21" s="74"/>
      <c r="AJ21" s="98" t="str">
        <f t="shared" si="27"/>
        <v>-</v>
      </c>
      <c r="AK21" s="98" t="str">
        <f t="shared" si="28"/>
        <v>-</v>
      </c>
      <c r="AL21" s="98" t="str">
        <f t="shared" si="0"/>
        <v>-</v>
      </c>
      <c r="AM21" s="98" t="str">
        <f t="shared" si="29"/>
        <v>-</v>
      </c>
      <c r="AN21" s="98" t="str">
        <f t="shared" si="30"/>
        <v>-</v>
      </c>
      <c r="AO21" s="98" t="str">
        <f t="shared" si="31"/>
        <v>-</v>
      </c>
      <c r="AP21" s="98" t="str">
        <f t="shared" si="32"/>
        <v>-</v>
      </c>
      <c r="AQ21" s="98" t="str">
        <f t="shared" si="33"/>
        <v>-</v>
      </c>
      <c r="AR21" s="74"/>
      <c r="AS21" s="98"/>
      <c r="AT21" s="99" t="e">
        <f t="shared" si="84"/>
        <v>#DIV/0!</v>
      </c>
      <c r="AU21" s="99" t="e">
        <f t="shared" si="84"/>
        <v>#DIV/0!</v>
      </c>
      <c r="AV21" s="99" t="e">
        <f t="shared" si="84"/>
        <v>#DIV/0!</v>
      </c>
      <c r="AW21" s="99" t="e">
        <f t="shared" si="84"/>
        <v>#DIV/0!</v>
      </c>
      <c r="AX21" s="74" t="str">
        <f t="shared" si="35"/>
        <v>-</v>
      </c>
      <c r="AY21" s="74">
        <f t="shared" si="36"/>
        <v>0</v>
      </c>
      <c r="AZ21" s="74">
        <f t="shared" si="37"/>
        <v>0</v>
      </c>
      <c r="BA21" s="98">
        <f t="shared" si="38"/>
        <v>0</v>
      </c>
      <c r="BB21" s="74">
        <f t="shared" si="1"/>
        <v>0</v>
      </c>
      <c r="BC21" s="74">
        <f t="shared" si="2"/>
        <v>0</v>
      </c>
      <c r="BD21" s="74"/>
      <c r="BE21" s="74"/>
      <c r="BF21" s="74"/>
      <c r="BG21" s="74">
        <f t="shared" si="39"/>
        <v>0</v>
      </c>
      <c r="BH21" s="74">
        <f t="shared" si="40"/>
        <v>0</v>
      </c>
      <c r="BI21" s="98">
        <f t="shared" si="41"/>
        <v>0</v>
      </c>
      <c r="BJ21" s="74">
        <f t="shared" si="3"/>
        <v>0</v>
      </c>
      <c r="BK21" s="74">
        <f t="shared" si="4"/>
        <v>0</v>
      </c>
      <c r="BL21" s="74"/>
      <c r="BM21" s="74"/>
      <c r="BN21" s="74">
        <f t="shared" si="42"/>
        <v>0</v>
      </c>
      <c r="BO21" s="74" t="str">
        <f t="shared" si="43"/>
        <v>-</v>
      </c>
      <c r="BP21" s="98" t="str">
        <f t="shared" si="44"/>
        <v>-</v>
      </c>
      <c r="BQ21" s="98" t="str">
        <f t="shared" si="45"/>
        <v>-</v>
      </c>
      <c r="BR21" s="98" t="str">
        <f t="shared" si="5"/>
        <v>-</v>
      </c>
      <c r="BS21" s="98" t="str">
        <f t="shared" si="6"/>
        <v>-</v>
      </c>
      <c r="BT21" s="98" t="str">
        <f t="shared" si="7"/>
        <v>-</v>
      </c>
      <c r="BU21" s="98" t="str">
        <f t="shared" si="8"/>
        <v>-</v>
      </c>
      <c r="BV21" s="98" t="str">
        <f t="shared" si="9"/>
        <v>-</v>
      </c>
      <c r="BW21" s="98" t="str">
        <f t="shared" si="10"/>
        <v>-</v>
      </c>
      <c r="BX21" s="74"/>
      <c r="BY21" s="98"/>
      <c r="BZ21" s="99" t="e">
        <f t="shared" si="85"/>
        <v>#DIV/0!</v>
      </c>
      <c r="CA21" s="99" t="e">
        <f t="shared" si="85"/>
        <v>#DIV/0!</v>
      </c>
      <c r="CB21" s="99" t="e">
        <f t="shared" si="85"/>
        <v>#DIV/0!</v>
      </c>
      <c r="CC21" s="99" t="e">
        <f t="shared" si="85"/>
        <v>#DIV/0!</v>
      </c>
      <c r="CD21" s="74" t="str">
        <f t="shared" si="11"/>
        <v>-</v>
      </c>
      <c r="CE21" s="74">
        <f t="shared" si="47"/>
        <v>0</v>
      </c>
      <c r="CF21" s="74">
        <f t="shared" si="48"/>
        <v>0</v>
      </c>
      <c r="CG21" s="98">
        <f t="shared" si="49"/>
        <v>0</v>
      </c>
      <c r="CH21" s="74">
        <f t="shared" si="12"/>
        <v>0</v>
      </c>
      <c r="CI21" s="74">
        <f t="shared" si="13"/>
        <v>0</v>
      </c>
      <c r="CJ21" s="74"/>
      <c r="CK21" s="74"/>
      <c r="CL21" s="74"/>
      <c r="CM21" s="74">
        <f t="shared" si="14"/>
        <v>0</v>
      </c>
      <c r="CN21" s="74">
        <f t="shared" si="50"/>
        <v>0</v>
      </c>
      <c r="CO21" s="98">
        <f t="shared" si="51"/>
        <v>0</v>
      </c>
      <c r="CP21" s="74">
        <f t="shared" si="15"/>
        <v>0</v>
      </c>
      <c r="CQ21" s="74">
        <f t="shared" si="16"/>
        <v>0</v>
      </c>
      <c r="CR21" s="74"/>
      <c r="CS21" s="74"/>
      <c r="CT21" s="74"/>
      <c r="CU21" s="74"/>
      <c r="CV21" s="98" t="str">
        <f t="shared" si="17"/>
        <v>-</v>
      </c>
      <c r="CW21" s="95" t="str">
        <f t="shared" si="18"/>
        <v>-</v>
      </c>
      <c r="CX21" s="74" t="str">
        <f t="shared" si="52"/>
        <v>-</v>
      </c>
      <c r="CY21" s="74" t="str">
        <f t="shared" si="19"/>
        <v>-</v>
      </c>
      <c r="CZ21" s="100" t="str">
        <f t="shared" si="20"/>
        <v>-</v>
      </c>
      <c r="DA21" s="58" t="str">
        <f t="shared" si="53"/>
        <v>-</v>
      </c>
      <c r="DB21" s="58" t="str">
        <f t="shared" si="54"/>
        <v>-</v>
      </c>
      <c r="DC21" s="58" t="str">
        <f t="shared" si="55"/>
        <v>-</v>
      </c>
      <c r="DD21" s="58" t="str">
        <f t="shared" si="56"/>
        <v>-</v>
      </c>
      <c r="DE21" s="74"/>
      <c r="DF21" s="74"/>
      <c r="DG21" s="74"/>
      <c r="DH21" s="98" t="str">
        <f t="shared" si="57"/>
        <v>-</v>
      </c>
      <c r="DI21" s="98" t="str">
        <f t="shared" si="58"/>
        <v>-</v>
      </c>
      <c r="DJ21" s="74" t="str">
        <f t="shared" si="59"/>
        <v>-</v>
      </c>
      <c r="DK21" s="74" t="str">
        <f t="shared" si="59"/>
        <v>-</v>
      </c>
      <c r="DL21" s="100" t="str">
        <f t="shared" si="22"/>
        <v>-</v>
      </c>
      <c r="DM21" s="58" t="str">
        <f t="shared" si="60"/>
        <v>-</v>
      </c>
      <c r="DN21" s="58" t="str">
        <f t="shared" si="61"/>
        <v>-</v>
      </c>
      <c r="DO21" s="58" t="str">
        <f t="shared" si="62"/>
        <v>-</v>
      </c>
      <c r="DP21" s="58" t="str">
        <f t="shared" si="63"/>
        <v>-</v>
      </c>
      <c r="DQ21" s="100"/>
      <c r="DR21" s="100"/>
      <c r="DS21" s="74"/>
      <c r="DT21" s="98" t="str">
        <f t="shared" si="86"/>
        <v>-</v>
      </c>
      <c r="DU21" s="98" t="str">
        <f t="shared" si="64"/>
        <v>-</v>
      </c>
      <c r="DV21" s="74" t="str">
        <f t="shared" si="65"/>
        <v>-</v>
      </c>
      <c r="DW21" s="74" t="str">
        <f t="shared" si="65"/>
        <v>-</v>
      </c>
      <c r="DX21" s="100" t="str">
        <f t="shared" si="24"/>
        <v>-</v>
      </c>
      <c r="DY21" s="58" t="str">
        <f t="shared" si="66"/>
        <v>-</v>
      </c>
      <c r="DZ21" s="58" t="str">
        <f t="shared" si="67"/>
        <v>-</v>
      </c>
      <c r="EA21" s="58" t="str">
        <f t="shared" si="68"/>
        <v>-</v>
      </c>
      <c r="EB21" s="58" t="str">
        <f t="shared" si="69"/>
        <v>-</v>
      </c>
      <c r="EC21" s="100"/>
      <c r="ED21" s="100"/>
      <c r="EE21" s="74"/>
      <c r="EF21" s="98" t="str">
        <f t="shared" si="70"/>
        <v>-</v>
      </c>
      <c r="EG21" s="98" t="str">
        <f t="shared" si="71"/>
        <v>-</v>
      </c>
      <c r="EH21" s="74" t="str">
        <f t="shared" si="72"/>
        <v>-</v>
      </c>
      <c r="EI21" s="74" t="str">
        <f t="shared" si="72"/>
        <v>-</v>
      </c>
      <c r="EJ21" s="100" t="str">
        <f t="shared" si="26"/>
        <v>-</v>
      </c>
      <c r="EK21" s="58" t="str">
        <f t="shared" si="73"/>
        <v>-</v>
      </c>
      <c r="EL21" s="58" t="str">
        <f t="shared" si="74"/>
        <v>-</v>
      </c>
      <c r="EM21" s="58" t="str">
        <f t="shared" si="75"/>
        <v>-</v>
      </c>
      <c r="EN21" s="58" t="str">
        <f t="shared" si="76"/>
        <v>-</v>
      </c>
      <c r="EO21" s="100"/>
      <c r="EP21" s="100"/>
      <c r="EQ21" s="74"/>
      <c r="ER21" s="98" t="str">
        <f t="shared" si="77"/>
        <v>-</v>
      </c>
      <c r="ES21" s="98" t="str">
        <f t="shared" si="78"/>
        <v>-</v>
      </c>
      <c r="ET21" s="98" t="str">
        <f t="shared" si="79"/>
        <v>-</v>
      </c>
      <c r="EU21" s="98" t="str">
        <f t="shared" si="80"/>
        <v>-</v>
      </c>
      <c r="EV21" s="74"/>
      <c r="EW21" s="74"/>
      <c r="EX21" s="74"/>
      <c r="EY21" s="74" t="str">
        <f>IF(E21=0,"-",LARGE(E6:E50,16))</f>
        <v>-</v>
      </c>
      <c r="EZ21" s="77" t="str">
        <f t="shared" si="81"/>
        <v>-</v>
      </c>
      <c r="FA21" s="77">
        <f t="shared" si="82"/>
        <v>0</v>
      </c>
      <c r="FB21" s="77" t="str">
        <f t="shared" si="83"/>
        <v>-</v>
      </c>
      <c r="FC21" s="77" t="str">
        <f>IF(FB21="-","-",SMALL(FB6:FB50,16))</f>
        <v>-</v>
      </c>
    </row>
    <row r="22" spans="1:159" s="77" customFormat="1">
      <c r="B22" s="77" t="str">
        <f>IF(Main!$BL$5&gt;16,"x","")</f>
        <v/>
      </c>
      <c r="C22" s="95">
        <f>'1'!R19</f>
        <v>0</v>
      </c>
      <c r="D22" s="96">
        <f>'1'!J19</f>
        <v>0</v>
      </c>
      <c r="E22" s="96">
        <f>'1'!K19</f>
        <v>0</v>
      </c>
      <c r="F22" s="74"/>
      <c r="G22" s="77" t="str">
        <f>IF(Main!$BN$5&gt;16,"x","")</f>
        <v/>
      </c>
      <c r="H22" s="74"/>
      <c r="I22" s="74"/>
      <c r="J22" s="74"/>
      <c r="K22" s="74"/>
      <c r="L22" s="96">
        <f>'3'!R19</f>
        <v>0</v>
      </c>
      <c r="M22" s="77">
        <f>'3'!J19</f>
        <v>0</v>
      </c>
      <c r="N22" s="74">
        <f>'3'!K19</f>
        <v>0</v>
      </c>
      <c r="O22" s="74"/>
      <c r="P22" s="58"/>
      <c r="Q22" s="58" t="s">
        <v>26</v>
      </c>
      <c r="R22" s="65" t="e">
        <f>BM11</f>
        <v>#DIV/0!</v>
      </c>
      <c r="S22" s="65" t="e">
        <f>CS11</f>
        <v>#DIV/0!</v>
      </c>
      <c r="T22" s="97"/>
      <c r="U22" s="74"/>
      <c r="V22" s="74"/>
      <c r="W22" s="74"/>
      <c r="X22" s="95"/>
      <c r="Y22" s="74"/>
      <c r="Z22" s="74"/>
      <c r="AA22" s="74"/>
      <c r="AB22" s="74"/>
      <c r="AC22" s="74"/>
      <c r="AD22" s="74"/>
      <c r="AE22" s="74"/>
      <c r="AF22" s="74"/>
      <c r="AG22" s="74"/>
      <c r="AH22" s="95"/>
      <c r="AI22" s="74"/>
      <c r="AJ22" s="98" t="str">
        <f t="shared" si="27"/>
        <v>-</v>
      </c>
      <c r="AK22" s="98" t="str">
        <f t="shared" si="28"/>
        <v>-</v>
      </c>
      <c r="AL22" s="98" t="str">
        <f t="shared" si="0"/>
        <v>-</v>
      </c>
      <c r="AM22" s="98" t="str">
        <f t="shared" si="29"/>
        <v>-</v>
      </c>
      <c r="AN22" s="98" t="str">
        <f t="shared" si="30"/>
        <v>-</v>
      </c>
      <c r="AO22" s="98" t="str">
        <f t="shared" si="31"/>
        <v>-</v>
      </c>
      <c r="AP22" s="98" t="str">
        <f t="shared" si="32"/>
        <v>-</v>
      </c>
      <c r="AQ22" s="98" t="str">
        <f t="shared" si="33"/>
        <v>-</v>
      </c>
      <c r="AR22" s="98"/>
      <c r="AS22" s="98"/>
      <c r="AT22" s="99" t="e">
        <f t="shared" si="84"/>
        <v>#DIV/0!</v>
      </c>
      <c r="AU22" s="99" t="e">
        <f t="shared" si="84"/>
        <v>#DIV/0!</v>
      </c>
      <c r="AV22" s="99" t="e">
        <f t="shared" si="84"/>
        <v>#DIV/0!</v>
      </c>
      <c r="AW22" s="99" t="e">
        <f t="shared" si="84"/>
        <v>#DIV/0!</v>
      </c>
      <c r="AX22" s="74" t="str">
        <f t="shared" si="35"/>
        <v>-</v>
      </c>
      <c r="AY22" s="74">
        <f t="shared" si="36"/>
        <v>0</v>
      </c>
      <c r="AZ22" s="74">
        <f t="shared" si="37"/>
        <v>0</v>
      </c>
      <c r="BA22" s="98">
        <f t="shared" si="38"/>
        <v>0</v>
      </c>
      <c r="BB22" s="74">
        <f t="shared" si="1"/>
        <v>0</v>
      </c>
      <c r="BC22" s="74">
        <f t="shared" si="2"/>
        <v>0</v>
      </c>
      <c r="BD22" s="74"/>
      <c r="BE22" s="74"/>
      <c r="BF22" s="74"/>
      <c r="BG22" s="74">
        <f t="shared" si="39"/>
        <v>0</v>
      </c>
      <c r="BH22" s="74">
        <f t="shared" si="40"/>
        <v>0</v>
      </c>
      <c r="BI22" s="98">
        <f t="shared" si="41"/>
        <v>0</v>
      </c>
      <c r="BJ22" s="74">
        <f t="shared" si="3"/>
        <v>0</v>
      </c>
      <c r="BK22" s="74">
        <f t="shared" si="4"/>
        <v>0</v>
      </c>
      <c r="BL22" s="74"/>
      <c r="BM22" s="74"/>
      <c r="BN22" s="74">
        <f t="shared" si="42"/>
        <v>0</v>
      </c>
      <c r="BO22" s="74" t="str">
        <f t="shared" si="43"/>
        <v>-</v>
      </c>
      <c r="BP22" s="98" t="str">
        <f t="shared" si="44"/>
        <v>-</v>
      </c>
      <c r="BQ22" s="98" t="str">
        <f t="shared" si="45"/>
        <v>-</v>
      </c>
      <c r="BR22" s="98" t="str">
        <f t="shared" si="5"/>
        <v>-</v>
      </c>
      <c r="BS22" s="98" t="str">
        <f t="shared" si="6"/>
        <v>-</v>
      </c>
      <c r="BT22" s="98" t="str">
        <f t="shared" si="7"/>
        <v>-</v>
      </c>
      <c r="BU22" s="98" t="str">
        <f t="shared" si="8"/>
        <v>-</v>
      </c>
      <c r="BV22" s="98" t="str">
        <f t="shared" si="9"/>
        <v>-</v>
      </c>
      <c r="BW22" s="98" t="str">
        <f t="shared" si="10"/>
        <v>-</v>
      </c>
      <c r="BX22" s="74"/>
      <c r="BY22" s="98"/>
      <c r="BZ22" s="99" t="e">
        <f t="shared" si="85"/>
        <v>#DIV/0!</v>
      </c>
      <c r="CA22" s="99" t="e">
        <f t="shared" si="85"/>
        <v>#DIV/0!</v>
      </c>
      <c r="CB22" s="99" t="e">
        <f t="shared" si="85"/>
        <v>#DIV/0!</v>
      </c>
      <c r="CC22" s="99" t="e">
        <f t="shared" si="85"/>
        <v>#DIV/0!</v>
      </c>
      <c r="CD22" s="74" t="str">
        <f t="shared" si="11"/>
        <v>-</v>
      </c>
      <c r="CE22" s="74">
        <f t="shared" si="47"/>
        <v>0</v>
      </c>
      <c r="CF22" s="74">
        <f t="shared" si="48"/>
        <v>0</v>
      </c>
      <c r="CG22" s="98">
        <f t="shared" si="49"/>
        <v>0</v>
      </c>
      <c r="CH22" s="74">
        <f t="shared" si="12"/>
        <v>0</v>
      </c>
      <c r="CI22" s="74">
        <f t="shared" si="13"/>
        <v>0</v>
      </c>
      <c r="CJ22" s="74"/>
      <c r="CK22" s="74"/>
      <c r="CL22" s="74"/>
      <c r="CM22" s="74">
        <f t="shared" si="14"/>
        <v>0</v>
      </c>
      <c r="CN22" s="74">
        <f t="shared" si="50"/>
        <v>0</v>
      </c>
      <c r="CO22" s="98">
        <f t="shared" si="51"/>
        <v>0</v>
      </c>
      <c r="CP22" s="74">
        <f t="shared" si="15"/>
        <v>0</v>
      </c>
      <c r="CQ22" s="74">
        <f t="shared" si="16"/>
        <v>0</v>
      </c>
      <c r="CR22" s="74"/>
      <c r="CS22" s="74"/>
      <c r="CT22" s="74"/>
      <c r="CU22" s="74"/>
      <c r="CV22" s="98" t="str">
        <f t="shared" si="17"/>
        <v>-</v>
      </c>
      <c r="CW22" s="95" t="str">
        <f t="shared" si="18"/>
        <v>-</v>
      </c>
      <c r="CX22" s="74" t="str">
        <f t="shared" si="52"/>
        <v>-</v>
      </c>
      <c r="CY22" s="74" t="str">
        <f t="shared" si="19"/>
        <v>-</v>
      </c>
      <c r="CZ22" s="100" t="str">
        <f t="shared" si="20"/>
        <v>-</v>
      </c>
      <c r="DA22" s="58" t="str">
        <f t="shared" si="53"/>
        <v>-</v>
      </c>
      <c r="DB22" s="58" t="str">
        <f t="shared" si="54"/>
        <v>-</v>
      </c>
      <c r="DC22" s="58" t="str">
        <f t="shared" si="55"/>
        <v>-</v>
      </c>
      <c r="DD22" s="58" t="str">
        <f t="shared" si="56"/>
        <v>-</v>
      </c>
      <c r="DE22" s="74"/>
      <c r="DF22" s="74"/>
      <c r="DG22" s="74"/>
      <c r="DH22" s="98" t="str">
        <f t="shared" si="57"/>
        <v>-</v>
      </c>
      <c r="DI22" s="98" t="str">
        <f t="shared" si="58"/>
        <v>-</v>
      </c>
      <c r="DJ22" s="74" t="str">
        <f t="shared" si="59"/>
        <v>-</v>
      </c>
      <c r="DK22" s="74" t="str">
        <f t="shared" si="59"/>
        <v>-</v>
      </c>
      <c r="DL22" s="100" t="str">
        <f t="shared" si="22"/>
        <v>-</v>
      </c>
      <c r="DM22" s="58" t="str">
        <f t="shared" si="60"/>
        <v>-</v>
      </c>
      <c r="DN22" s="58" t="str">
        <f t="shared" si="61"/>
        <v>-</v>
      </c>
      <c r="DO22" s="58" t="str">
        <f t="shared" si="62"/>
        <v>-</v>
      </c>
      <c r="DP22" s="58" t="str">
        <f t="shared" si="63"/>
        <v>-</v>
      </c>
      <c r="DQ22" s="100"/>
      <c r="DR22" s="100"/>
      <c r="DS22" s="74"/>
      <c r="DT22" s="98" t="str">
        <f t="shared" si="86"/>
        <v>-</v>
      </c>
      <c r="DU22" s="98" t="str">
        <f t="shared" si="64"/>
        <v>-</v>
      </c>
      <c r="DV22" s="74" t="str">
        <f t="shared" si="65"/>
        <v>-</v>
      </c>
      <c r="DW22" s="74" t="str">
        <f t="shared" si="65"/>
        <v>-</v>
      </c>
      <c r="DX22" s="100" t="str">
        <f t="shared" si="24"/>
        <v>-</v>
      </c>
      <c r="DY22" s="58" t="str">
        <f t="shared" si="66"/>
        <v>-</v>
      </c>
      <c r="DZ22" s="58" t="str">
        <f t="shared" si="67"/>
        <v>-</v>
      </c>
      <c r="EA22" s="58" t="str">
        <f t="shared" si="68"/>
        <v>-</v>
      </c>
      <c r="EB22" s="58" t="str">
        <f t="shared" si="69"/>
        <v>-</v>
      </c>
      <c r="EC22" s="100"/>
      <c r="ED22" s="100"/>
      <c r="EE22" s="74"/>
      <c r="EF22" s="98" t="str">
        <f t="shared" si="70"/>
        <v>-</v>
      </c>
      <c r="EG22" s="98" t="str">
        <f t="shared" si="71"/>
        <v>-</v>
      </c>
      <c r="EH22" s="74" t="str">
        <f t="shared" si="72"/>
        <v>-</v>
      </c>
      <c r="EI22" s="74" t="str">
        <f t="shared" si="72"/>
        <v>-</v>
      </c>
      <c r="EJ22" s="100" t="str">
        <f t="shared" si="26"/>
        <v>-</v>
      </c>
      <c r="EK22" s="58" t="str">
        <f t="shared" si="73"/>
        <v>-</v>
      </c>
      <c r="EL22" s="58" t="str">
        <f t="shared" si="74"/>
        <v>-</v>
      </c>
      <c r="EM22" s="58" t="str">
        <f t="shared" si="75"/>
        <v>-</v>
      </c>
      <c r="EN22" s="58" t="str">
        <f t="shared" si="76"/>
        <v>-</v>
      </c>
      <c r="EO22" s="100"/>
      <c r="EP22" s="100"/>
      <c r="EQ22" s="74"/>
      <c r="ER22" s="98" t="str">
        <f t="shared" si="77"/>
        <v>-</v>
      </c>
      <c r="ES22" s="98" t="str">
        <f t="shared" si="78"/>
        <v>-</v>
      </c>
      <c r="ET22" s="98" t="str">
        <f t="shared" si="79"/>
        <v>-</v>
      </c>
      <c r="EU22" s="98" t="str">
        <f t="shared" si="80"/>
        <v>-</v>
      </c>
      <c r="EV22" s="74"/>
      <c r="EW22" s="74"/>
      <c r="EX22" s="74"/>
      <c r="EY22" s="74" t="str">
        <f>IF(E22=0,"-",LARGE(E6:E50,17))</f>
        <v>-</v>
      </c>
      <c r="EZ22" s="77" t="str">
        <f t="shared" si="81"/>
        <v>-</v>
      </c>
      <c r="FA22" s="77">
        <f t="shared" si="82"/>
        <v>0</v>
      </c>
      <c r="FB22" s="77" t="str">
        <f t="shared" si="83"/>
        <v>-</v>
      </c>
      <c r="FC22" s="77" t="str">
        <f>IF(FB22="-","-",SMALL(FB6:FB50,17))</f>
        <v>-</v>
      </c>
    </row>
    <row r="23" spans="1:159" s="77" customFormat="1">
      <c r="B23" s="77" t="str">
        <f>IF(Main!$BL$5&gt;17,"x","")</f>
        <v/>
      </c>
      <c r="C23" s="95">
        <f>'1'!R20</f>
        <v>0</v>
      </c>
      <c r="D23" s="96">
        <f>'1'!J20</f>
        <v>0</v>
      </c>
      <c r="E23" s="96">
        <f>'1'!K20</f>
        <v>0</v>
      </c>
      <c r="F23" s="74"/>
      <c r="G23" s="77" t="str">
        <f>IF(Main!$BN$5&gt;17,"x","")</f>
        <v/>
      </c>
      <c r="H23" s="74"/>
      <c r="I23" s="74"/>
      <c r="J23" s="74"/>
      <c r="K23" s="74"/>
      <c r="L23" s="96">
        <f>'3'!R20</f>
        <v>0</v>
      </c>
      <c r="M23" s="77">
        <f>'3'!J20</f>
        <v>0</v>
      </c>
      <c r="N23" s="74">
        <f>'3'!K20</f>
        <v>0</v>
      </c>
      <c r="O23" s="74"/>
      <c r="P23" s="58"/>
      <c r="Q23" s="58" t="s">
        <v>17</v>
      </c>
      <c r="R23" s="102" t="e">
        <f>AV17</f>
        <v>#DIV/0!</v>
      </c>
      <c r="S23" s="97" t="e">
        <f>CB19</f>
        <v>#DIV/0!</v>
      </c>
      <c r="T23" s="97"/>
      <c r="U23" s="74"/>
      <c r="V23" s="74"/>
      <c r="W23" s="74"/>
      <c r="X23" s="95"/>
      <c r="Y23" s="74"/>
      <c r="Z23" s="74"/>
      <c r="AA23" s="74"/>
      <c r="AB23" s="74"/>
      <c r="AC23" s="74"/>
      <c r="AD23" s="74"/>
      <c r="AE23" s="74"/>
      <c r="AF23" s="74"/>
      <c r="AG23" s="74"/>
      <c r="AH23" s="95"/>
      <c r="AI23" s="74"/>
      <c r="AJ23" s="98" t="str">
        <f t="shared" si="27"/>
        <v>-</v>
      </c>
      <c r="AK23" s="98" t="str">
        <f t="shared" si="28"/>
        <v>-</v>
      </c>
      <c r="AL23" s="98" t="str">
        <f t="shared" si="0"/>
        <v>-</v>
      </c>
      <c r="AM23" s="98" t="str">
        <f t="shared" si="29"/>
        <v>-</v>
      </c>
      <c r="AN23" s="98" t="str">
        <f t="shared" si="30"/>
        <v>-</v>
      </c>
      <c r="AO23" s="98" t="str">
        <f t="shared" si="31"/>
        <v>-</v>
      </c>
      <c r="AP23" s="98" t="str">
        <f t="shared" si="32"/>
        <v>-</v>
      </c>
      <c r="AQ23" s="98" t="str">
        <f t="shared" si="33"/>
        <v>-</v>
      </c>
      <c r="AR23" s="98"/>
      <c r="AS23" s="98"/>
      <c r="AT23" s="99" t="e">
        <f t="shared" si="84"/>
        <v>#DIV/0!</v>
      </c>
      <c r="AU23" s="99" t="e">
        <f t="shared" si="84"/>
        <v>#DIV/0!</v>
      </c>
      <c r="AV23" s="99" t="e">
        <f t="shared" si="84"/>
        <v>#DIV/0!</v>
      </c>
      <c r="AW23" s="99" t="e">
        <f t="shared" si="84"/>
        <v>#DIV/0!</v>
      </c>
      <c r="AX23" s="74" t="str">
        <f t="shared" si="35"/>
        <v>-</v>
      </c>
      <c r="AY23" s="74">
        <f t="shared" si="36"/>
        <v>0</v>
      </c>
      <c r="AZ23" s="74">
        <f t="shared" si="37"/>
        <v>0</v>
      </c>
      <c r="BA23" s="98">
        <f t="shared" si="38"/>
        <v>0</v>
      </c>
      <c r="BB23" s="74">
        <f t="shared" si="1"/>
        <v>0</v>
      </c>
      <c r="BC23" s="74">
        <f t="shared" si="2"/>
        <v>0</v>
      </c>
      <c r="BD23" s="74"/>
      <c r="BE23" s="74"/>
      <c r="BF23" s="74"/>
      <c r="BG23" s="74">
        <f t="shared" si="39"/>
        <v>0</v>
      </c>
      <c r="BH23" s="74">
        <f t="shared" si="40"/>
        <v>0</v>
      </c>
      <c r="BI23" s="98">
        <f t="shared" si="41"/>
        <v>0</v>
      </c>
      <c r="BJ23" s="74">
        <f t="shared" si="3"/>
        <v>0</v>
      </c>
      <c r="BK23" s="74">
        <f t="shared" si="4"/>
        <v>0</v>
      </c>
      <c r="BL23" s="74"/>
      <c r="BM23" s="74"/>
      <c r="BN23" s="74">
        <f t="shared" si="42"/>
        <v>0</v>
      </c>
      <c r="BO23" s="74" t="str">
        <f t="shared" si="43"/>
        <v>-</v>
      </c>
      <c r="BP23" s="98" t="str">
        <f t="shared" si="44"/>
        <v>-</v>
      </c>
      <c r="BQ23" s="98" t="str">
        <f t="shared" si="45"/>
        <v>-</v>
      </c>
      <c r="BR23" s="98" t="str">
        <f t="shared" si="5"/>
        <v>-</v>
      </c>
      <c r="BS23" s="98" t="str">
        <f t="shared" si="6"/>
        <v>-</v>
      </c>
      <c r="BT23" s="98" t="str">
        <f t="shared" si="7"/>
        <v>-</v>
      </c>
      <c r="BU23" s="98" t="str">
        <f t="shared" si="8"/>
        <v>-</v>
      </c>
      <c r="BV23" s="98" t="str">
        <f t="shared" si="9"/>
        <v>-</v>
      </c>
      <c r="BW23" s="98" t="str">
        <f t="shared" si="10"/>
        <v>-</v>
      </c>
      <c r="BX23" s="74"/>
      <c r="BY23" s="98"/>
      <c r="BZ23" s="99" t="e">
        <f t="shared" si="85"/>
        <v>#DIV/0!</v>
      </c>
      <c r="CA23" s="99" t="e">
        <f t="shared" si="85"/>
        <v>#DIV/0!</v>
      </c>
      <c r="CB23" s="99" t="e">
        <f t="shared" si="85"/>
        <v>#DIV/0!</v>
      </c>
      <c r="CC23" s="99" t="e">
        <f t="shared" si="85"/>
        <v>#DIV/0!</v>
      </c>
      <c r="CD23" s="74" t="str">
        <f t="shared" si="11"/>
        <v>-</v>
      </c>
      <c r="CE23" s="74">
        <f t="shared" si="47"/>
        <v>0</v>
      </c>
      <c r="CF23" s="74">
        <f t="shared" si="48"/>
        <v>0</v>
      </c>
      <c r="CG23" s="98">
        <f t="shared" si="49"/>
        <v>0</v>
      </c>
      <c r="CH23" s="74">
        <f t="shared" si="12"/>
        <v>0</v>
      </c>
      <c r="CI23" s="74">
        <f t="shared" si="13"/>
        <v>0</v>
      </c>
      <c r="CJ23" s="74"/>
      <c r="CK23" s="74"/>
      <c r="CL23" s="74"/>
      <c r="CM23" s="74">
        <f t="shared" si="14"/>
        <v>0</v>
      </c>
      <c r="CN23" s="74">
        <f t="shared" si="50"/>
        <v>0</v>
      </c>
      <c r="CO23" s="98">
        <f t="shared" si="51"/>
        <v>0</v>
      </c>
      <c r="CP23" s="74">
        <f t="shared" si="15"/>
        <v>0</v>
      </c>
      <c r="CQ23" s="74">
        <f t="shared" si="16"/>
        <v>0</v>
      </c>
      <c r="CR23" s="74"/>
      <c r="CS23" s="74"/>
      <c r="CT23" s="74"/>
      <c r="CU23" s="74"/>
      <c r="CV23" s="98" t="str">
        <f t="shared" si="17"/>
        <v>-</v>
      </c>
      <c r="CW23" s="95" t="str">
        <f t="shared" si="18"/>
        <v>-</v>
      </c>
      <c r="CX23" s="74" t="str">
        <f t="shared" si="52"/>
        <v>-</v>
      </c>
      <c r="CY23" s="74" t="str">
        <f t="shared" si="19"/>
        <v>-</v>
      </c>
      <c r="CZ23" s="100" t="str">
        <f t="shared" si="20"/>
        <v>-</v>
      </c>
      <c r="DA23" s="58" t="str">
        <f t="shared" si="53"/>
        <v>-</v>
      </c>
      <c r="DB23" s="58" t="str">
        <f t="shared" si="54"/>
        <v>-</v>
      </c>
      <c r="DC23" s="58" t="str">
        <f t="shared" si="55"/>
        <v>-</v>
      </c>
      <c r="DD23" s="58" t="str">
        <f t="shared" si="56"/>
        <v>-</v>
      </c>
      <c r="DE23" s="74"/>
      <c r="DF23" s="74"/>
      <c r="DG23" s="74"/>
      <c r="DH23" s="98" t="str">
        <f t="shared" si="57"/>
        <v>-</v>
      </c>
      <c r="DI23" s="98" t="str">
        <f t="shared" si="58"/>
        <v>-</v>
      </c>
      <c r="DJ23" s="74" t="str">
        <f t="shared" si="59"/>
        <v>-</v>
      </c>
      <c r="DK23" s="74" t="str">
        <f t="shared" si="59"/>
        <v>-</v>
      </c>
      <c r="DL23" s="100" t="str">
        <f t="shared" si="22"/>
        <v>-</v>
      </c>
      <c r="DM23" s="58" t="str">
        <f t="shared" si="60"/>
        <v>-</v>
      </c>
      <c r="DN23" s="58" t="str">
        <f t="shared" si="61"/>
        <v>-</v>
      </c>
      <c r="DO23" s="58" t="str">
        <f t="shared" si="62"/>
        <v>-</v>
      </c>
      <c r="DP23" s="58" t="str">
        <f t="shared" si="63"/>
        <v>-</v>
      </c>
      <c r="DQ23" s="100"/>
      <c r="DR23" s="100"/>
      <c r="DS23" s="74"/>
      <c r="DT23" s="98" t="str">
        <f t="shared" si="86"/>
        <v>-</v>
      </c>
      <c r="DU23" s="98" t="str">
        <f t="shared" si="64"/>
        <v>-</v>
      </c>
      <c r="DV23" s="74" t="str">
        <f t="shared" si="65"/>
        <v>-</v>
      </c>
      <c r="DW23" s="74" t="str">
        <f t="shared" si="65"/>
        <v>-</v>
      </c>
      <c r="DX23" s="100" t="str">
        <f t="shared" si="24"/>
        <v>-</v>
      </c>
      <c r="DY23" s="58" t="str">
        <f t="shared" si="66"/>
        <v>-</v>
      </c>
      <c r="DZ23" s="58" t="str">
        <f t="shared" si="67"/>
        <v>-</v>
      </c>
      <c r="EA23" s="58" t="str">
        <f t="shared" si="68"/>
        <v>-</v>
      </c>
      <c r="EB23" s="58" t="str">
        <f t="shared" si="69"/>
        <v>-</v>
      </c>
      <c r="EC23" s="100"/>
      <c r="ED23" s="100"/>
      <c r="EE23" s="74"/>
      <c r="EF23" s="98" t="str">
        <f t="shared" si="70"/>
        <v>-</v>
      </c>
      <c r="EG23" s="98" t="str">
        <f t="shared" si="71"/>
        <v>-</v>
      </c>
      <c r="EH23" s="74" t="str">
        <f t="shared" si="72"/>
        <v>-</v>
      </c>
      <c r="EI23" s="74" t="str">
        <f t="shared" si="72"/>
        <v>-</v>
      </c>
      <c r="EJ23" s="100" t="str">
        <f t="shared" si="26"/>
        <v>-</v>
      </c>
      <c r="EK23" s="58" t="str">
        <f t="shared" si="73"/>
        <v>-</v>
      </c>
      <c r="EL23" s="58" t="str">
        <f t="shared" si="74"/>
        <v>-</v>
      </c>
      <c r="EM23" s="58" t="str">
        <f t="shared" si="75"/>
        <v>-</v>
      </c>
      <c r="EN23" s="58" t="str">
        <f t="shared" si="76"/>
        <v>-</v>
      </c>
      <c r="EO23" s="100"/>
      <c r="EP23" s="100"/>
      <c r="EQ23" s="74"/>
      <c r="ER23" s="98" t="str">
        <f t="shared" si="77"/>
        <v>-</v>
      </c>
      <c r="ES23" s="98" t="str">
        <f t="shared" si="78"/>
        <v>-</v>
      </c>
      <c r="ET23" s="98" t="str">
        <f t="shared" si="79"/>
        <v>-</v>
      </c>
      <c r="EU23" s="98" t="str">
        <f t="shared" si="80"/>
        <v>-</v>
      </c>
      <c r="EV23" s="74"/>
      <c r="EW23" s="74"/>
      <c r="EX23" s="74"/>
      <c r="EY23" s="74" t="str">
        <f>IF(E23=0,"-",LARGE(E6:E50,18))</f>
        <v>-</v>
      </c>
      <c r="EZ23" s="77" t="str">
        <f t="shared" si="81"/>
        <v>-</v>
      </c>
      <c r="FA23" s="77">
        <f t="shared" si="82"/>
        <v>0</v>
      </c>
      <c r="FB23" s="77" t="str">
        <f t="shared" si="83"/>
        <v>-</v>
      </c>
      <c r="FC23" s="77" t="str">
        <f>IF(FB23="-","-",SMALL(FB6:FB50,18))</f>
        <v>-</v>
      </c>
    </row>
    <row r="24" spans="1:159" s="77" customFormat="1">
      <c r="B24" s="77" t="str">
        <f>IF(Main!$BL$5&gt;18,"x","")</f>
        <v/>
      </c>
      <c r="C24" s="95">
        <f>'1'!R21</f>
        <v>0</v>
      </c>
      <c r="D24" s="96">
        <f>'1'!J21</f>
        <v>0</v>
      </c>
      <c r="E24" s="96">
        <f>'1'!K21</f>
        <v>0</v>
      </c>
      <c r="F24" s="74"/>
      <c r="G24" s="77" t="str">
        <f>IF(Main!$BN$5&gt;18,"x","")</f>
        <v/>
      </c>
      <c r="H24" s="74"/>
      <c r="I24" s="74"/>
      <c r="J24" s="74"/>
      <c r="K24" s="74"/>
      <c r="L24" s="96">
        <f>'3'!R21</f>
        <v>0</v>
      </c>
      <c r="M24" s="77">
        <f>'3'!J21</f>
        <v>0</v>
      </c>
      <c r="N24" s="74">
        <f>'3'!K21</f>
        <v>0</v>
      </c>
      <c r="O24" s="74"/>
      <c r="P24" s="58"/>
      <c r="Q24" s="58" t="s">
        <v>18</v>
      </c>
      <c r="R24" s="102" t="e">
        <f>AW18</f>
        <v>#DIV/0!</v>
      </c>
      <c r="S24" s="97" t="e">
        <f>CC20</f>
        <v>#DIV/0!</v>
      </c>
      <c r="T24" s="97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95"/>
      <c r="AI24" s="74"/>
      <c r="AJ24" s="98" t="str">
        <f t="shared" si="27"/>
        <v>-</v>
      </c>
      <c r="AK24" s="98" t="str">
        <f t="shared" si="28"/>
        <v>-</v>
      </c>
      <c r="AL24" s="98" t="str">
        <f t="shared" si="0"/>
        <v>-</v>
      </c>
      <c r="AM24" s="98" t="str">
        <f t="shared" si="29"/>
        <v>-</v>
      </c>
      <c r="AN24" s="98" t="str">
        <f t="shared" si="30"/>
        <v>-</v>
      </c>
      <c r="AO24" s="98" t="str">
        <f t="shared" si="31"/>
        <v>-</v>
      </c>
      <c r="AP24" s="98" t="str">
        <f t="shared" si="32"/>
        <v>-</v>
      </c>
      <c r="AQ24" s="98" t="str">
        <f t="shared" si="33"/>
        <v>-</v>
      </c>
      <c r="AR24" s="98"/>
      <c r="AS24" s="98"/>
      <c r="AT24" s="99" t="e">
        <f t="shared" ref="AT24:AW39" si="87">AT23</f>
        <v>#DIV/0!</v>
      </c>
      <c r="AU24" s="99" t="e">
        <f t="shared" si="87"/>
        <v>#DIV/0!</v>
      </c>
      <c r="AV24" s="99" t="e">
        <f t="shared" si="87"/>
        <v>#DIV/0!</v>
      </c>
      <c r="AW24" s="99" t="e">
        <f t="shared" si="87"/>
        <v>#DIV/0!</v>
      </c>
      <c r="AX24" s="74" t="str">
        <f t="shared" si="35"/>
        <v>-</v>
      </c>
      <c r="AY24" s="74">
        <f t="shared" si="36"/>
        <v>0</v>
      </c>
      <c r="AZ24" s="74">
        <f t="shared" si="37"/>
        <v>0</v>
      </c>
      <c r="BA24" s="98">
        <f t="shared" si="38"/>
        <v>0</v>
      </c>
      <c r="BB24" s="74">
        <f t="shared" si="1"/>
        <v>0</v>
      </c>
      <c r="BC24" s="74">
        <f t="shared" si="2"/>
        <v>0</v>
      </c>
      <c r="BD24" s="74"/>
      <c r="BE24" s="74"/>
      <c r="BF24" s="74"/>
      <c r="BG24" s="74">
        <f t="shared" si="39"/>
        <v>0</v>
      </c>
      <c r="BH24" s="74">
        <f t="shared" si="40"/>
        <v>0</v>
      </c>
      <c r="BI24" s="98">
        <f t="shared" si="41"/>
        <v>0</v>
      </c>
      <c r="BJ24" s="74">
        <f t="shared" si="3"/>
        <v>0</v>
      </c>
      <c r="BK24" s="74">
        <f t="shared" si="4"/>
        <v>0</v>
      </c>
      <c r="BL24" s="74"/>
      <c r="BM24" s="74"/>
      <c r="BN24" s="74">
        <f t="shared" si="42"/>
        <v>0</v>
      </c>
      <c r="BO24" s="74" t="str">
        <f t="shared" si="43"/>
        <v>-</v>
      </c>
      <c r="BP24" s="98" t="str">
        <f t="shared" si="44"/>
        <v>-</v>
      </c>
      <c r="BQ24" s="98" t="str">
        <f t="shared" si="45"/>
        <v>-</v>
      </c>
      <c r="BR24" s="98" t="str">
        <f t="shared" si="5"/>
        <v>-</v>
      </c>
      <c r="BS24" s="98" t="str">
        <f t="shared" si="6"/>
        <v>-</v>
      </c>
      <c r="BT24" s="98" t="str">
        <f t="shared" si="7"/>
        <v>-</v>
      </c>
      <c r="BU24" s="98" t="str">
        <f t="shared" si="8"/>
        <v>-</v>
      </c>
      <c r="BV24" s="98" t="str">
        <f t="shared" si="9"/>
        <v>-</v>
      </c>
      <c r="BW24" s="98" t="str">
        <f t="shared" si="10"/>
        <v>-</v>
      </c>
      <c r="BX24" s="98"/>
      <c r="BY24" s="98"/>
      <c r="BZ24" s="99" t="e">
        <f t="shared" ref="BZ24:CC39" si="88">BZ23</f>
        <v>#DIV/0!</v>
      </c>
      <c r="CA24" s="99" t="e">
        <f t="shared" si="88"/>
        <v>#DIV/0!</v>
      </c>
      <c r="CB24" s="99" t="e">
        <f t="shared" si="88"/>
        <v>#DIV/0!</v>
      </c>
      <c r="CC24" s="99" t="e">
        <f t="shared" si="88"/>
        <v>#DIV/0!</v>
      </c>
      <c r="CD24" s="74" t="str">
        <f t="shared" si="11"/>
        <v>-</v>
      </c>
      <c r="CE24" s="74">
        <f t="shared" si="47"/>
        <v>0</v>
      </c>
      <c r="CF24" s="74">
        <f t="shared" si="48"/>
        <v>0</v>
      </c>
      <c r="CG24" s="98">
        <f t="shared" si="49"/>
        <v>0</v>
      </c>
      <c r="CH24" s="74">
        <f t="shared" si="12"/>
        <v>0</v>
      </c>
      <c r="CI24" s="74">
        <f t="shared" si="13"/>
        <v>0</v>
      </c>
      <c r="CJ24" s="74"/>
      <c r="CK24" s="74"/>
      <c r="CL24" s="74"/>
      <c r="CM24" s="74">
        <f t="shared" si="14"/>
        <v>0</v>
      </c>
      <c r="CN24" s="74">
        <f t="shared" si="50"/>
        <v>0</v>
      </c>
      <c r="CO24" s="98">
        <f t="shared" si="51"/>
        <v>0</v>
      </c>
      <c r="CP24" s="74">
        <f t="shared" si="15"/>
        <v>0</v>
      </c>
      <c r="CQ24" s="74">
        <f t="shared" si="16"/>
        <v>0</v>
      </c>
      <c r="CR24" s="74"/>
      <c r="CS24" s="74"/>
      <c r="CT24" s="74"/>
      <c r="CU24" s="74"/>
      <c r="CV24" s="98" t="str">
        <f t="shared" si="17"/>
        <v>-</v>
      </c>
      <c r="CW24" s="95" t="str">
        <f t="shared" si="18"/>
        <v>-</v>
      </c>
      <c r="CX24" s="74" t="str">
        <f t="shared" si="52"/>
        <v>-</v>
      </c>
      <c r="CY24" s="74" t="str">
        <f t="shared" si="19"/>
        <v>-</v>
      </c>
      <c r="CZ24" s="100" t="str">
        <f t="shared" si="20"/>
        <v>-</v>
      </c>
      <c r="DA24" s="58" t="str">
        <f t="shared" si="53"/>
        <v>-</v>
      </c>
      <c r="DB24" s="58" t="str">
        <f t="shared" si="54"/>
        <v>-</v>
      </c>
      <c r="DC24" s="58" t="str">
        <f t="shared" si="55"/>
        <v>-</v>
      </c>
      <c r="DD24" s="58" t="str">
        <f t="shared" si="56"/>
        <v>-</v>
      </c>
      <c r="DE24" s="74"/>
      <c r="DF24" s="74"/>
      <c r="DG24" s="74"/>
      <c r="DH24" s="98" t="str">
        <f t="shared" si="57"/>
        <v>-</v>
      </c>
      <c r="DI24" s="98" t="str">
        <f t="shared" si="58"/>
        <v>-</v>
      </c>
      <c r="DJ24" s="74" t="str">
        <f t="shared" si="59"/>
        <v>-</v>
      </c>
      <c r="DK24" s="74" t="str">
        <f t="shared" si="59"/>
        <v>-</v>
      </c>
      <c r="DL24" s="100" t="str">
        <f t="shared" si="22"/>
        <v>-</v>
      </c>
      <c r="DM24" s="58" t="str">
        <f t="shared" si="60"/>
        <v>-</v>
      </c>
      <c r="DN24" s="58" t="str">
        <f t="shared" si="61"/>
        <v>-</v>
      </c>
      <c r="DO24" s="58" t="str">
        <f t="shared" si="62"/>
        <v>-</v>
      </c>
      <c r="DP24" s="58" t="str">
        <f t="shared" si="63"/>
        <v>-</v>
      </c>
      <c r="DQ24" s="100"/>
      <c r="DR24" s="100"/>
      <c r="DS24" s="74"/>
      <c r="DT24" s="98" t="str">
        <f t="shared" si="86"/>
        <v>-</v>
      </c>
      <c r="DU24" s="98" t="str">
        <f t="shared" si="64"/>
        <v>-</v>
      </c>
      <c r="DV24" s="74" t="str">
        <f t="shared" si="65"/>
        <v>-</v>
      </c>
      <c r="DW24" s="74" t="str">
        <f t="shared" si="65"/>
        <v>-</v>
      </c>
      <c r="DX24" s="100" t="str">
        <f t="shared" si="24"/>
        <v>-</v>
      </c>
      <c r="DY24" s="58" t="str">
        <f t="shared" si="66"/>
        <v>-</v>
      </c>
      <c r="DZ24" s="58" t="str">
        <f t="shared" si="67"/>
        <v>-</v>
      </c>
      <c r="EA24" s="58" t="str">
        <f t="shared" si="68"/>
        <v>-</v>
      </c>
      <c r="EB24" s="58" t="str">
        <f t="shared" si="69"/>
        <v>-</v>
      </c>
      <c r="EC24" s="100"/>
      <c r="ED24" s="100"/>
      <c r="EE24" s="74"/>
      <c r="EF24" s="98" t="str">
        <f t="shared" si="70"/>
        <v>-</v>
      </c>
      <c r="EG24" s="98" t="str">
        <f t="shared" si="71"/>
        <v>-</v>
      </c>
      <c r="EH24" s="74" t="str">
        <f t="shared" si="72"/>
        <v>-</v>
      </c>
      <c r="EI24" s="74" t="str">
        <f t="shared" si="72"/>
        <v>-</v>
      </c>
      <c r="EJ24" s="100" t="str">
        <f t="shared" si="26"/>
        <v>-</v>
      </c>
      <c r="EK24" s="58" t="str">
        <f t="shared" si="73"/>
        <v>-</v>
      </c>
      <c r="EL24" s="58" t="str">
        <f t="shared" si="74"/>
        <v>-</v>
      </c>
      <c r="EM24" s="58" t="str">
        <f t="shared" si="75"/>
        <v>-</v>
      </c>
      <c r="EN24" s="58" t="str">
        <f t="shared" si="76"/>
        <v>-</v>
      </c>
      <c r="EO24" s="100"/>
      <c r="EP24" s="100"/>
      <c r="EQ24" s="74"/>
      <c r="ER24" s="98" t="str">
        <f t="shared" si="77"/>
        <v>-</v>
      </c>
      <c r="ES24" s="98" t="str">
        <f t="shared" si="78"/>
        <v>-</v>
      </c>
      <c r="ET24" s="98" t="str">
        <f t="shared" si="79"/>
        <v>-</v>
      </c>
      <c r="EU24" s="98" t="str">
        <f t="shared" si="80"/>
        <v>-</v>
      </c>
      <c r="EV24" s="74"/>
      <c r="EW24" s="74"/>
      <c r="EX24" s="74"/>
      <c r="EY24" s="74" t="str">
        <f>IF(E24=0,"-",LARGE(E6:E50,19))</f>
        <v>-</v>
      </c>
      <c r="EZ24" s="77" t="str">
        <f t="shared" si="81"/>
        <v>-</v>
      </c>
      <c r="FA24" s="77">
        <f t="shared" si="82"/>
        <v>0</v>
      </c>
      <c r="FB24" s="77" t="str">
        <f t="shared" si="83"/>
        <v>-</v>
      </c>
      <c r="FC24" s="77" t="str">
        <f>IF(FB24="-","-",SMALL(FB6:FB50,19))</f>
        <v>-</v>
      </c>
    </row>
    <row r="25" spans="1:159" s="77" customFormat="1">
      <c r="B25" s="77" t="str">
        <f>IF(Main!$BL$5&gt;19,"x","")</f>
        <v/>
      </c>
      <c r="C25" s="95">
        <f>'1'!R22</f>
        <v>0</v>
      </c>
      <c r="D25" s="96">
        <f>'1'!J22</f>
        <v>0</v>
      </c>
      <c r="E25" s="96">
        <f>'1'!K22</f>
        <v>0</v>
      </c>
      <c r="F25" s="74"/>
      <c r="G25" s="77" t="str">
        <f>IF(Main!$BN$5&gt;19,"x","")</f>
        <v/>
      </c>
      <c r="H25" s="74"/>
      <c r="I25" s="74"/>
      <c r="J25" s="74"/>
      <c r="K25" s="74"/>
      <c r="L25" s="96">
        <f>'3'!R22</f>
        <v>0</v>
      </c>
      <c r="M25" s="77">
        <f>'3'!J22</f>
        <v>0</v>
      </c>
      <c r="N25" s="74">
        <f>'3'!K22</f>
        <v>0</v>
      </c>
      <c r="O25" s="74"/>
      <c r="P25" s="58"/>
      <c r="Q25" s="58" t="s">
        <v>27</v>
      </c>
      <c r="R25" s="102" t="e">
        <f>AVERAGE(AQ6:AQ35)</f>
        <v>#DIV/0!</v>
      </c>
      <c r="S25" s="97" t="e">
        <f>AVERAGE(BW6:BW35)</f>
        <v>#DIV/0!</v>
      </c>
      <c r="T25" s="97" t="e">
        <f>AVERAGE(EU6:EU35)</f>
        <v>#DIV/0!</v>
      </c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95"/>
      <c r="AI25" s="74"/>
      <c r="AJ25" s="98" t="str">
        <f t="shared" si="27"/>
        <v>-</v>
      </c>
      <c r="AK25" s="98" t="str">
        <f t="shared" si="28"/>
        <v>-</v>
      </c>
      <c r="AL25" s="98" t="str">
        <f t="shared" si="0"/>
        <v>-</v>
      </c>
      <c r="AM25" s="98" t="str">
        <f t="shared" si="29"/>
        <v>-</v>
      </c>
      <c r="AN25" s="98" t="str">
        <f t="shared" si="30"/>
        <v>-</v>
      </c>
      <c r="AO25" s="98" t="str">
        <f t="shared" si="31"/>
        <v>-</v>
      </c>
      <c r="AP25" s="98" t="str">
        <f t="shared" si="32"/>
        <v>-</v>
      </c>
      <c r="AQ25" s="98" t="str">
        <f t="shared" si="33"/>
        <v>-</v>
      </c>
      <c r="AR25" s="98"/>
      <c r="AS25" s="98"/>
      <c r="AT25" s="99" t="e">
        <f t="shared" si="87"/>
        <v>#DIV/0!</v>
      </c>
      <c r="AU25" s="99" t="e">
        <f t="shared" si="87"/>
        <v>#DIV/0!</v>
      </c>
      <c r="AV25" s="99" t="e">
        <f t="shared" si="87"/>
        <v>#DIV/0!</v>
      </c>
      <c r="AW25" s="99" t="e">
        <f t="shared" si="87"/>
        <v>#DIV/0!</v>
      </c>
      <c r="AX25" s="74" t="str">
        <f t="shared" si="35"/>
        <v>-</v>
      </c>
      <c r="AY25" s="74">
        <f t="shared" si="36"/>
        <v>0</v>
      </c>
      <c r="AZ25" s="74">
        <f t="shared" si="37"/>
        <v>0</v>
      </c>
      <c r="BA25" s="98">
        <f t="shared" si="38"/>
        <v>0</v>
      </c>
      <c r="BB25" s="74">
        <f t="shared" si="1"/>
        <v>0</v>
      </c>
      <c r="BC25" s="74">
        <f t="shared" si="2"/>
        <v>0</v>
      </c>
      <c r="BD25" s="74"/>
      <c r="BE25" s="74"/>
      <c r="BF25" s="74"/>
      <c r="BG25" s="74">
        <f t="shared" si="39"/>
        <v>0</v>
      </c>
      <c r="BH25" s="74">
        <f t="shared" si="40"/>
        <v>0</v>
      </c>
      <c r="BI25" s="98">
        <f t="shared" si="41"/>
        <v>0</v>
      </c>
      <c r="BJ25" s="74">
        <f t="shared" si="3"/>
        <v>0</v>
      </c>
      <c r="BK25" s="74">
        <f t="shared" si="4"/>
        <v>0</v>
      </c>
      <c r="BL25" s="74"/>
      <c r="BM25" s="74"/>
      <c r="BN25" s="74">
        <f t="shared" si="42"/>
        <v>0</v>
      </c>
      <c r="BO25" s="74" t="str">
        <f t="shared" si="43"/>
        <v>-</v>
      </c>
      <c r="BP25" s="98" t="str">
        <f t="shared" si="44"/>
        <v>-</v>
      </c>
      <c r="BQ25" s="98" t="str">
        <f t="shared" si="45"/>
        <v>-</v>
      </c>
      <c r="BR25" s="98" t="str">
        <f t="shared" si="5"/>
        <v>-</v>
      </c>
      <c r="BS25" s="98" t="str">
        <f t="shared" si="6"/>
        <v>-</v>
      </c>
      <c r="BT25" s="98" t="str">
        <f t="shared" si="7"/>
        <v>-</v>
      </c>
      <c r="BU25" s="98" t="str">
        <f t="shared" si="8"/>
        <v>-</v>
      </c>
      <c r="BV25" s="98" t="str">
        <f t="shared" si="9"/>
        <v>-</v>
      </c>
      <c r="BW25" s="98" t="str">
        <f t="shared" si="10"/>
        <v>-</v>
      </c>
      <c r="BX25" s="98"/>
      <c r="BY25" s="98"/>
      <c r="BZ25" s="99" t="e">
        <f t="shared" si="88"/>
        <v>#DIV/0!</v>
      </c>
      <c r="CA25" s="99" t="e">
        <f t="shared" si="88"/>
        <v>#DIV/0!</v>
      </c>
      <c r="CB25" s="99" t="e">
        <f t="shared" si="88"/>
        <v>#DIV/0!</v>
      </c>
      <c r="CC25" s="99" t="e">
        <f t="shared" si="88"/>
        <v>#DIV/0!</v>
      </c>
      <c r="CD25" s="74" t="str">
        <f t="shared" si="11"/>
        <v>-</v>
      </c>
      <c r="CE25" s="74">
        <f t="shared" si="47"/>
        <v>0</v>
      </c>
      <c r="CF25" s="74">
        <f t="shared" si="48"/>
        <v>0</v>
      </c>
      <c r="CG25" s="98">
        <f t="shared" si="49"/>
        <v>0</v>
      </c>
      <c r="CH25" s="74">
        <f t="shared" si="12"/>
        <v>0</v>
      </c>
      <c r="CI25" s="74">
        <f t="shared" si="13"/>
        <v>0</v>
      </c>
      <c r="CJ25" s="74"/>
      <c r="CK25" s="74"/>
      <c r="CL25" s="74"/>
      <c r="CM25" s="74">
        <f t="shared" si="14"/>
        <v>0</v>
      </c>
      <c r="CN25" s="74">
        <f t="shared" si="50"/>
        <v>0</v>
      </c>
      <c r="CO25" s="98">
        <f t="shared" si="51"/>
        <v>0</v>
      </c>
      <c r="CP25" s="74">
        <f t="shared" si="15"/>
        <v>0</v>
      </c>
      <c r="CQ25" s="74">
        <f t="shared" si="16"/>
        <v>0</v>
      </c>
      <c r="CR25" s="74"/>
      <c r="CS25" s="74"/>
      <c r="CT25" s="74"/>
      <c r="CU25" s="74"/>
      <c r="CV25" s="98" t="str">
        <f t="shared" si="17"/>
        <v>-</v>
      </c>
      <c r="CW25" s="95" t="str">
        <f t="shared" si="18"/>
        <v>-</v>
      </c>
      <c r="CX25" s="74" t="str">
        <f t="shared" si="52"/>
        <v>-</v>
      </c>
      <c r="CY25" s="74" t="str">
        <f t="shared" si="19"/>
        <v>-</v>
      </c>
      <c r="CZ25" s="100" t="str">
        <f t="shared" si="20"/>
        <v>-</v>
      </c>
      <c r="DA25" s="58" t="str">
        <f t="shared" si="53"/>
        <v>-</v>
      </c>
      <c r="DB25" s="58" t="str">
        <f t="shared" si="54"/>
        <v>-</v>
      </c>
      <c r="DC25" s="58" t="str">
        <f t="shared" si="55"/>
        <v>-</v>
      </c>
      <c r="DD25" s="58" t="str">
        <f t="shared" si="56"/>
        <v>-</v>
      </c>
      <c r="DE25" s="74"/>
      <c r="DF25" s="74"/>
      <c r="DG25" s="74"/>
      <c r="DH25" s="98" t="str">
        <f t="shared" si="57"/>
        <v>-</v>
      </c>
      <c r="DI25" s="98" t="str">
        <f t="shared" si="58"/>
        <v>-</v>
      </c>
      <c r="DJ25" s="74" t="str">
        <f t="shared" si="59"/>
        <v>-</v>
      </c>
      <c r="DK25" s="74" t="str">
        <f t="shared" si="59"/>
        <v>-</v>
      </c>
      <c r="DL25" s="100" t="str">
        <f t="shared" si="22"/>
        <v>-</v>
      </c>
      <c r="DM25" s="58" t="str">
        <f t="shared" si="60"/>
        <v>-</v>
      </c>
      <c r="DN25" s="58" t="str">
        <f t="shared" si="61"/>
        <v>-</v>
      </c>
      <c r="DO25" s="58" t="str">
        <f t="shared" si="62"/>
        <v>-</v>
      </c>
      <c r="DP25" s="58" t="str">
        <f t="shared" si="63"/>
        <v>-</v>
      </c>
      <c r="DQ25" s="100"/>
      <c r="DR25" s="100"/>
      <c r="DS25" s="74"/>
      <c r="DT25" s="98" t="str">
        <f t="shared" si="86"/>
        <v>-</v>
      </c>
      <c r="DU25" s="98" t="str">
        <f t="shared" si="64"/>
        <v>-</v>
      </c>
      <c r="DV25" s="74" t="str">
        <f t="shared" si="65"/>
        <v>-</v>
      </c>
      <c r="DW25" s="74" t="str">
        <f t="shared" si="65"/>
        <v>-</v>
      </c>
      <c r="DX25" s="100" t="str">
        <f t="shared" si="24"/>
        <v>-</v>
      </c>
      <c r="DY25" s="58" t="str">
        <f t="shared" si="66"/>
        <v>-</v>
      </c>
      <c r="DZ25" s="58" t="str">
        <f t="shared" si="67"/>
        <v>-</v>
      </c>
      <c r="EA25" s="58" t="str">
        <f t="shared" si="68"/>
        <v>-</v>
      </c>
      <c r="EB25" s="58" t="str">
        <f t="shared" si="69"/>
        <v>-</v>
      </c>
      <c r="EC25" s="100"/>
      <c r="ED25" s="100"/>
      <c r="EE25" s="74"/>
      <c r="EF25" s="98" t="str">
        <f t="shared" si="70"/>
        <v>-</v>
      </c>
      <c r="EG25" s="98" t="str">
        <f t="shared" si="71"/>
        <v>-</v>
      </c>
      <c r="EH25" s="74" t="str">
        <f t="shared" si="72"/>
        <v>-</v>
      </c>
      <c r="EI25" s="74" t="str">
        <f t="shared" si="72"/>
        <v>-</v>
      </c>
      <c r="EJ25" s="100" t="str">
        <f t="shared" si="26"/>
        <v>-</v>
      </c>
      <c r="EK25" s="58" t="str">
        <f t="shared" si="73"/>
        <v>-</v>
      </c>
      <c r="EL25" s="58" t="str">
        <f t="shared" si="74"/>
        <v>-</v>
      </c>
      <c r="EM25" s="58" t="str">
        <f t="shared" si="75"/>
        <v>-</v>
      </c>
      <c r="EN25" s="58" t="str">
        <f t="shared" si="76"/>
        <v>-</v>
      </c>
      <c r="EO25" s="100"/>
      <c r="EP25" s="100"/>
      <c r="EQ25" s="74"/>
      <c r="ER25" s="98" t="str">
        <f t="shared" si="77"/>
        <v>-</v>
      </c>
      <c r="ES25" s="98" t="str">
        <f t="shared" si="78"/>
        <v>-</v>
      </c>
      <c r="ET25" s="98" t="str">
        <f t="shared" si="79"/>
        <v>-</v>
      </c>
      <c r="EU25" s="98" t="str">
        <f t="shared" si="80"/>
        <v>-</v>
      </c>
      <c r="EV25" s="74"/>
      <c r="EW25" s="74"/>
      <c r="EX25" s="74"/>
      <c r="EY25" s="74" t="str">
        <f>IF(E25=0,"-",LARGE(E6:E50,20))</f>
        <v>-</v>
      </c>
      <c r="EZ25" s="77" t="str">
        <f t="shared" si="81"/>
        <v>-</v>
      </c>
      <c r="FA25" s="77">
        <f t="shared" si="82"/>
        <v>0</v>
      </c>
      <c r="FB25" s="77" t="str">
        <f t="shared" si="83"/>
        <v>-</v>
      </c>
      <c r="FC25" s="77" t="str">
        <f>IF(FB25="-","-",SMALL(FB6:FB50,20))</f>
        <v>-</v>
      </c>
    </row>
    <row r="26" spans="1:159" s="77" customFormat="1">
      <c r="B26" s="77" t="str">
        <f>IF(Main!$BL$5&gt;20,"x","")</f>
        <v/>
      </c>
      <c r="C26" s="95">
        <f>'1'!R23</f>
        <v>0</v>
      </c>
      <c r="D26" s="96">
        <f>'1'!J23</f>
        <v>0</v>
      </c>
      <c r="E26" s="96">
        <f>'1'!K23</f>
        <v>0</v>
      </c>
      <c r="F26" s="74"/>
      <c r="G26" s="77" t="str">
        <f>IF(Main!$BN$5&gt;20,"x","")</f>
        <v/>
      </c>
      <c r="H26" s="74"/>
      <c r="I26" s="74"/>
      <c r="J26" s="74"/>
      <c r="K26" s="74"/>
      <c r="L26" s="96">
        <f>'3'!R23</f>
        <v>0</v>
      </c>
      <c r="M26" s="77">
        <f>'3'!J23</f>
        <v>0</v>
      </c>
      <c r="N26" s="74">
        <f>'3'!K23</f>
        <v>0</v>
      </c>
      <c r="O26" s="74"/>
      <c r="P26" s="58"/>
      <c r="Q26" s="58" t="s">
        <v>28</v>
      </c>
      <c r="R26" s="102" t="e">
        <f>STDEV(AQ6:AQ35)</f>
        <v>#DIV/0!</v>
      </c>
      <c r="S26" s="97" t="e">
        <f>STDEV(BW6:BW35)</f>
        <v>#DIV/0!</v>
      </c>
      <c r="T26" s="97" t="e">
        <f>STDEV(EU6:EU35)</f>
        <v>#DIV/0!</v>
      </c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95"/>
      <c r="AI26" s="74"/>
      <c r="AJ26" s="98" t="str">
        <f t="shared" si="27"/>
        <v>-</v>
      </c>
      <c r="AK26" s="98" t="str">
        <f t="shared" si="28"/>
        <v>-</v>
      </c>
      <c r="AL26" s="98" t="str">
        <f t="shared" si="0"/>
        <v>-</v>
      </c>
      <c r="AM26" s="98" t="str">
        <f t="shared" si="29"/>
        <v>-</v>
      </c>
      <c r="AN26" s="98" t="str">
        <f t="shared" si="30"/>
        <v>-</v>
      </c>
      <c r="AO26" s="98" t="str">
        <f t="shared" si="31"/>
        <v>-</v>
      </c>
      <c r="AP26" s="98" t="str">
        <f t="shared" si="32"/>
        <v>-</v>
      </c>
      <c r="AQ26" s="98" t="str">
        <f t="shared" si="33"/>
        <v>-</v>
      </c>
      <c r="AR26" s="98"/>
      <c r="AS26" s="98"/>
      <c r="AT26" s="99" t="e">
        <f t="shared" si="87"/>
        <v>#DIV/0!</v>
      </c>
      <c r="AU26" s="99" t="e">
        <f t="shared" si="87"/>
        <v>#DIV/0!</v>
      </c>
      <c r="AV26" s="99" t="e">
        <f t="shared" si="87"/>
        <v>#DIV/0!</v>
      </c>
      <c r="AW26" s="99" t="e">
        <f t="shared" si="87"/>
        <v>#DIV/0!</v>
      </c>
      <c r="AX26" s="74" t="str">
        <f t="shared" si="35"/>
        <v>-</v>
      </c>
      <c r="AY26" s="74">
        <f t="shared" si="36"/>
        <v>0</v>
      </c>
      <c r="AZ26" s="74">
        <f t="shared" si="37"/>
        <v>0</v>
      </c>
      <c r="BA26" s="98">
        <f t="shared" si="38"/>
        <v>0</v>
      </c>
      <c r="BB26" s="74">
        <f t="shared" si="1"/>
        <v>0</v>
      </c>
      <c r="BC26" s="74">
        <f t="shared" si="2"/>
        <v>0</v>
      </c>
      <c r="BD26" s="74"/>
      <c r="BE26" s="74"/>
      <c r="BF26" s="74"/>
      <c r="BG26" s="74">
        <f t="shared" si="39"/>
        <v>0</v>
      </c>
      <c r="BH26" s="74">
        <f t="shared" si="40"/>
        <v>0</v>
      </c>
      <c r="BI26" s="98">
        <f t="shared" si="41"/>
        <v>0</v>
      </c>
      <c r="BJ26" s="74">
        <f t="shared" si="3"/>
        <v>0</v>
      </c>
      <c r="BK26" s="74">
        <f t="shared" si="4"/>
        <v>0</v>
      </c>
      <c r="BL26" s="74"/>
      <c r="BM26" s="74"/>
      <c r="BN26" s="74">
        <f t="shared" si="42"/>
        <v>0</v>
      </c>
      <c r="BO26" s="74" t="str">
        <f t="shared" si="43"/>
        <v>-</v>
      </c>
      <c r="BP26" s="98" t="str">
        <f t="shared" si="44"/>
        <v>-</v>
      </c>
      <c r="BQ26" s="98" t="str">
        <f t="shared" si="45"/>
        <v>-</v>
      </c>
      <c r="BR26" s="98" t="str">
        <f t="shared" si="5"/>
        <v>-</v>
      </c>
      <c r="BS26" s="98" t="str">
        <f t="shared" si="6"/>
        <v>-</v>
      </c>
      <c r="BT26" s="98" t="str">
        <f t="shared" si="7"/>
        <v>-</v>
      </c>
      <c r="BU26" s="98" t="str">
        <f t="shared" si="8"/>
        <v>-</v>
      </c>
      <c r="BV26" s="98" t="str">
        <f t="shared" si="9"/>
        <v>-</v>
      </c>
      <c r="BW26" s="98" t="str">
        <f t="shared" si="10"/>
        <v>-</v>
      </c>
      <c r="BX26" s="98"/>
      <c r="BY26" s="98"/>
      <c r="BZ26" s="99" t="e">
        <f t="shared" si="88"/>
        <v>#DIV/0!</v>
      </c>
      <c r="CA26" s="99" t="e">
        <f t="shared" si="88"/>
        <v>#DIV/0!</v>
      </c>
      <c r="CB26" s="99" t="e">
        <f t="shared" si="88"/>
        <v>#DIV/0!</v>
      </c>
      <c r="CC26" s="99" t="e">
        <f t="shared" si="88"/>
        <v>#DIV/0!</v>
      </c>
      <c r="CD26" s="74" t="str">
        <f t="shared" si="11"/>
        <v>-</v>
      </c>
      <c r="CE26" s="74">
        <f t="shared" si="47"/>
        <v>0</v>
      </c>
      <c r="CF26" s="74">
        <f t="shared" si="48"/>
        <v>0</v>
      </c>
      <c r="CG26" s="98">
        <f t="shared" si="49"/>
        <v>0</v>
      </c>
      <c r="CH26" s="74">
        <f t="shared" si="12"/>
        <v>0</v>
      </c>
      <c r="CI26" s="74">
        <f t="shared" si="13"/>
        <v>0</v>
      </c>
      <c r="CJ26" s="74"/>
      <c r="CK26" s="74"/>
      <c r="CL26" s="74"/>
      <c r="CM26" s="74">
        <f t="shared" si="14"/>
        <v>0</v>
      </c>
      <c r="CN26" s="74">
        <f t="shared" si="50"/>
        <v>0</v>
      </c>
      <c r="CO26" s="98">
        <f t="shared" si="51"/>
        <v>0</v>
      </c>
      <c r="CP26" s="74">
        <f t="shared" si="15"/>
        <v>0</v>
      </c>
      <c r="CQ26" s="74">
        <f t="shared" si="16"/>
        <v>0</v>
      </c>
      <c r="CR26" s="74"/>
      <c r="CS26" s="74"/>
      <c r="CT26" s="74"/>
      <c r="CU26" s="74"/>
      <c r="CV26" s="98" t="str">
        <f t="shared" si="17"/>
        <v>-</v>
      </c>
      <c r="CW26" s="95" t="str">
        <f t="shared" si="18"/>
        <v>-</v>
      </c>
      <c r="CX26" s="74" t="str">
        <f t="shared" si="52"/>
        <v>-</v>
      </c>
      <c r="CY26" s="74" t="str">
        <f t="shared" si="19"/>
        <v>-</v>
      </c>
      <c r="CZ26" s="100" t="str">
        <f t="shared" si="20"/>
        <v>-</v>
      </c>
      <c r="DA26" s="58" t="str">
        <f t="shared" si="53"/>
        <v>-</v>
      </c>
      <c r="DB26" s="58" t="str">
        <f t="shared" si="54"/>
        <v>-</v>
      </c>
      <c r="DC26" s="58" t="str">
        <f t="shared" si="55"/>
        <v>-</v>
      </c>
      <c r="DD26" s="58" t="str">
        <f t="shared" si="56"/>
        <v>-</v>
      </c>
      <c r="DE26" s="74"/>
      <c r="DF26" s="74"/>
      <c r="DG26" s="74"/>
      <c r="DH26" s="98" t="str">
        <f t="shared" si="57"/>
        <v>-</v>
      </c>
      <c r="DI26" s="98" t="str">
        <f t="shared" si="58"/>
        <v>-</v>
      </c>
      <c r="DJ26" s="74" t="str">
        <f t="shared" si="59"/>
        <v>-</v>
      </c>
      <c r="DK26" s="74" t="str">
        <f t="shared" si="59"/>
        <v>-</v>
      </c>
      <c r="DL26" s="100" t="str">
        <f t="shared" si="22"/>
        <v>-</v>
      </c>
      <c r="DM26" s="58" t="str">
        <f t="shared" si="60"/>
        <v>-</v>
      </c>
      <c r="DN26" s="58" t="str">
        <f t="shared" si="61"/>
        <v>-</v>
      </c>
      <c r="DO26" s="58" t="str">
        <f t="shared" si="62"/>
        <v>-</v>
      </c>
      <c r="DP26" s="58" t="str">
        <f t="shared" si="63"/>
        <v>-</v>
      </c>
      <c r="DQ26" s="100"/>
      <c r="DR26" s="100"/>
      <c r="DS26" s="74"/>
      <c r="DT26" s="98" t="str">
        <f t="shared" si="86"/>
        <v>-</v>
      </c>
      <c r="DU26" s="98" t="str">
        <f t="shared" si="64"/>
        <v>-</v>
      </c>
      <c r="DV26" s="74" t="str">
        <f t="shared" si="65"/>
        <v>-</v>
      </c>
      <c r="DW26" s="74" t="str">
        <f t="shared" si="65"/>
        <v>-</v>
      </c>
      <c r="DX26" s="100" t="str">
        <f t="shared" si="24"/>
        <v>-</v>
      </c>
      <c r="DY26" s="58" t="str">
        <f t="shared" si="66"/>
        <v>-</v>
      </c>
      <c r="DZ26" s="58" t="str">
        <f t="shared" si="67"/>
        <v>-</v>
      </c>
      <c r="EA26" s="58" t="str">
        <f t="shared" si="68"/>
        <v>-</v>
      </c>
      <c r="EB26" s="58" t="str">
        <f t="shared" si="69"/>
        <v>-</v>
      </c>
      <c r="EC26" s="100"/>
      <c r="ED26" s="100"/>
      <c r="EE26" s="74"/>
      <c r="EF26" s="98" t="str">
        <f t="shared" si="70"/>
        <v>-</v>
      </c>
      <c r="EG26" s="98" t="str">
        <f t="shared" si="71"/>
        <v>-</v>
      </c>
      <c r="EH26" s="74" t="str">
        <f t="shared" si="72"/>
        <v>-</v>
      </c>
      <c r="EI26" s="74" t="str">
        <f t="shared" si="72"/>
        <v>-</v>
      </c>
      <c r="EJ26" s="100" t="str">
        <f t="shared" si="26"/>
        <v>-</v>
      </c>
      <c r="EK26" s="58" t="str">
        <f t="shared" si="73"/>
        <v>-</v>
      </c>
      <c r="EL26" s="58" t="str">
        <f t="shared" si="74"/>
        <v>-</v>
      </c>
      <c r="EM26" s="58" t="str">
        <f t="shared" si="75"/>
        <v>-</v>
      </c>
      <c r="EN26" s="58" t="str">
        <f t="shared" si="76"/>
        <v>-</v>
      </c>
      <c r="EO26" s="100"/>
      <c r="EP26" s="100"/>
      <c r="EQ26" s="74"/>
      <c r="ER26" s="98" t="str">
        <f t="shared" si="77"/>
        <v>-</v>
      </c>
      <c r="ES26" s="98" t="str">
        <f t="shared" si="78"/>
        <v>-</v>
      </c>
      <c r="ET26" s="98" t="str">
        <f t="shared" si="79"/>
        <v>-</v>
      </c>
      <c r="EU26" s="98" t="str">
        <f t="shared" si="80"/>
        <v>-</v>
      </c>
      <c r="EV26" s="74"/>
      <c r="EW26" s="74"/>
      <c r="EX26" s="74"/>
      <c r="EY26" s="74" t="str">
        <f>IF(E26=0,"-",LARGE(E6:E50,21))</f>
        <v>-</v>
      </c>
      <c r="EZ26" s="77" t="str">
        <f t="shared" si="81"/>
        <v>-</v>
      </c>
      <c r="FA26" s="77">
        <f t="shared" si="82"/>
        <v>0</v>
      </c>
      <c r="FB26" s="77" t="str">
        <f t="shared" si="83"/>
        <v>-</v>
      </c>
      <c r="FC26" s="77" t="str">
        <f>IF(FB26="-","-",SMALL(FB6:FB50,21))</f>
        <v>-</v>
      </c>
    </row>
    <row r="27" spans="1:159" s="77" customFormat="1">
      <c r="B27" s="77" t="str">
        <f>IF(Main!$BL$5&gt;21,"x","")</f>
        <v/>
      </c>
      <c r="C27" s="95">
        <f>'1'!R24</f>
        <v>0</v>
      </c>
      <c r="D27" s="96">
        <f>'1'!J24</f>
        <v>0</v>
      </c>
      <c r="E27" s="96">
        <f>'1'!K24</f>
        <v>0</v>
      </c>
      <c r="F27" s="74"/>
      <c r="G27" s="77" t="str">
        <f>IF(Main!$BN$5&gt;21,"x","")</f>
        <v/>
      </c>
      <c r="H27" s="74"/>
      <c r="I27" s="74"/>
      <c r="J27" s="74"/>
      <c r="K27" s="74"/>
      <c r="L27" s="96">
        <f>'3'!R24</f>
        <v>0</v>
      </c>
      <c r="M27" s="77">
        <f>'3'!J24</f>
        <v>0</v>
      </c>
      <c r="N27" s="74">
        <f>'3'!K24</f>
        <v>0</v>
      </c>
      <c r="O27" s="74"/>
      <c r="P27" s="58"/>
      <c r="Q27" s="58" t="s">
        <v>29</v>
      </c>
      <c r="R27" s="102">
        <f>MAX(AQ6:AQ35)</f>
        <v>0</v>
      </c>
      <c r="S27" s="97">
        <f>MAX(BW6:BW35)</f>
        <v>0</v>
      </c>
      <c r="T27" s="97">
        <f>MAX(EU6:EU35)</f>
        <v>0</v>
      </c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95"/>
      <c r="AI27" s="74"/>
      <c r="AJ27" s="98" t="str">
        <f t="shared" si="27"/>
        <v>-</v>
      </c>
      <c r="AK27" s="98" t="str">
        <f t="shared" si="28"/>
        <v>-</v>
      </c>
      <c r="AL27" s="98" t="str">
        <f t="shared" si="0"/>
        <v>-</v>
      </c>
      <c r="AM27" s="98" t="str">
        <f t="shared" si="29"/>
        <v>-</v>
      </c>
      <c r="AN27" s="98" t="str">
        <f t="shared" si="30"/>
        <v>-</v>
      </c>
      <c r="AO27" s="98" t="str">
        <f t="shared" si="31"/>
        <v>-</v>
      </c>
      <c r="AP27" s="98" t="str">
        <f t="shared" si="32"/>
        <v>-</v>
      </c>
      <c r="AQ27" s="98" t="str">
        <f t="shared" si="33"/>
        <v>-</v>
      </c>
      <c r="AR27" s="98"/>
      <c r="AS27" s="98"/>
      <c r="AT27" s="99" t="e">
        <f t="shared" si="87"/>
        <v>#DIV/0!</v>
      </c>
      <c r="AU27" s="99" t="e">
        <f t="shared" si="87"/>
        <v>#DIV/0!</v>
      </c>
      <c r="AV27" s="99" t="e">
        <f t="shared" si="87"/>
        <v>#DIV/0!</v>
      </c>
      <c r="AW27" s="99" t="e">
        <f t="shared" si="87"/>
        <v>#DIV/0!</v>
      </c>
      <c r="AX27" s="74" t="str">
        <f t="shared" si="35"/>
        <v>-</v>
      </c>
      <c r="AY27" s="74">
        <f t="shared" si="36"/>
        <v>0</v>
      </c>
      <c r="AZ27" s="74">
        <f t="shared" si="37"/>
        <v>0</v>
      </c>
      <c r="BA27" s="98">
        <f t="shared" si="38"/>
        <v>0</v>
      </c>
      <c r="BB27" s="74">
        <f t="shared" si="1"/>
        <v>0</v>
      </c>
      <c r="BC27" s="74">
        <f t="shared" si="2"/>
        <v>0</v>
      </c>
      <c r="BD27" s="74"/>
      <c r="BE27" s="74"/>
      <c r="BF27" s="74"/>
      <c r="BG27" s="74">
        <f t="shared" si="39"/>
        <v>0</v>
      </c>
      <c r="BH27" s="74">
        <f t="shared" si="40"/>
        <v>0</v>
      </c>
      <c r="BI27" s="98">
        <f t="shared" si="41"/>
        <v>0</v>
      </c>
      <c r="BJ27" s="74">
        <f t="shared" si="3"/>
        <v>0</v>
      </c>
      <c r="BK27" s="74">
        <f t="shared" si="4"/>
        <v>0</v>
      </c>
      <c r="BL27" s="74"/>
      <c r="BM27" s="74"/>
      <c r="BN27" s="74">
        <f t="shared" si="42"/>
        <v>0</v>
      </c>
      <c r="BO27" s="74" t="str">
        <f t="shared" si="43"/>
        <v>-</v>
      </c>
      <c r="BP27" s="98" t="str">
        <f t="shared" si="44"/>
        <v>-</v>
      </c>
      <c r="BQ27" s="98" t="str">
        <f t="shared" si="45"/>
        <v>-</v>
      </c>
      <c r="BR27" s="98" t="str">
        <f t="shared" si="5"/>
        <v>-</v>
      </c>
      <c r="BS27" s="98" t="str">
        <f t="shared" si="6"/>
        <v>-</v>
      </c>
      <c r="BT27" s="98" t="str">
        <f t="shared" si="7"/>
        <v>-</v>
      </c>
      <c r="BU27" s="98" t="str">
        <f t="shared" si="8"/>
        <v>-</v>
      </c>
      <c r="BV27" s="98" t="str">
        <f t="shared" si="9"/>
        <v>-</v>
      </c>
      <c r="BW27" s="98" t="str">
        <f t="shared" si="10"/>
        <v>-</v>
      </c>
      <c r="BX27" s="98"/>
      <c r="BY27" s="98"/>
      <c r="BZ27" s="99" t="e">
        <f t="shared" si="88"/>
        <v>#DIV/0!</v>
      </c>
      <c r="CA27" s="99" t="e">
        <f t="shared" si="88"/>
        <v>#DIV/0!</v>
      </c>
      <c r="CB27" s="99" t="e">
        <f t="shared" si="88"/>
        <v>#DIV/0!</v>
      </c>
      <c r="CC27" s="99" t="e">
        <f t="shared" si="88"/>
        <v>#DIV/0!</v>
      </c>
      <c r="CD27" s="74" t="str">
        <f t="shared" si="11"/>
        <v>-</v>
      </c>
      <c r="CE27" s="74">
        <f t="shared" si="47"/>
        <v>0</v>
      </c>
      <c r="CF27" s="74">
        <f t="shared" si="48"/>
        <v>0</v>
      </c>
      <c r="CG27" s="98">
        <f t="shared" si="49"/>
        <v>0</v>
      </c>
      <c r="CH27" s="74">
        <f t="shared" si="12"/>
        <v>0</v>
      </c>
      <c r="CI27" s="74">
        <f t="shared" si="13"/>
        <v>0</v>
      </c>
      <c r="CJ27" s="74"/>
      <c r="CK27" s="74"/>
      <c r="CL27" s="74"/>
      <c r="CM27" s="74">
        <f t="shared" si="14"/>
        <v>0</v>
      </c>
      <c r="CN27" s="74">
        <f t="shared" si="50"/>
        <v>0</v>
      </c>
      <c r="CO27" s="98">
        <f t="shared" si="51"/>
        <v>0</v>
      </c>
      <c r="CP27" s="74">
        <f t="shared" si="15"/>
        <v>0</v>
      </c>
      <c r="CQ27" s="74">
        <f t="shared" si="16"/>
        <v>0</v>
      </c>
      <c r="CR27" s="74"/>
      <c r="CS27" s="74"/>
      <c r="CT27" s="74"/>
      <c r="CU27" s="74"/>
      <c r="CV27" s="98" t="str">
        <f t="shared" si="17"/>
        <v>-</v>
      </c>
      <c r="CW27" s="95" t="str">
        <f t="shared" si="18"/>
        <v>-</v>
      </c>
      <c r="CX27" s="74" t="str">
        <f t="shared" si="52"/>
        <v>-</v>
      </c>
      <c r="CY27" s="74" t="str">
        <f t="shared" si="19"/>
        <v>-</v>
      </c>
      <c r="CZ27" s="100" t="str">
        <f t="shared" si="20"/>
        <v>-</v>
      </c>
      <c r="DA27" s="58" t="str">
        <f t="shared" si="53"/>
        <v>-</v>
      </c>
      <c r="DB27" s="58" t="str">
        <f t="shared" si="54"/>
        <v>-</v>
      </c>
      <c r="DC27" s="58" t="str">
        <f t="shared" si="55"/>
        <v>-</v>
      </c>
      <c r="DD27" s="58" t="str">
        <f t="shared" si="56"/>
        <v>-</v>
      </c>
      <c r="DE27" s="74"/>
      <c r="DF27" s="74"/>
      <c r="DG27" s="74"/>
      <c r="DH27" s="98" t="str">
        <f t="shared" si="57"/>
        <v>-</v>
      </c>
      <c r="DI27" s="98" t="str">
        <f t="shared" si="58"/>
        <v>-</v>
      </c>
      <c r="DJ27" s="74" t="str">
        <f t="shared" si="59"/>
        <v>-</v>
      </c>
      <c r="DK27" s="74" t="str">
        <f t="shared" si="59"/>
        <v>-</v>
      </c>
      <c r="DL27" s="100" t="str">
        <f t="shared" si="22"/>
        <v>-</v>
      </c>
      <c r="DM27" s="58" t="str">
        <f t="shared" si="60"/>
        <v>-</v>
      </c>
      <c r="DN27" s="58" t="str">
        <f t="shared" si="61"/>
        <v>-</v>
      </c>
      <c r="DO27" s="58" t="str">
        <f t="shared" si="62"/>
        <v>-</v>
      </c>
      <c r="DP27" s="58" t="str">
        <f t="shared" si="63"/>
        <v>-</v>
      </c>
      <c r="DQ27" s="100"/>
      <c r="DR27" s="100"/>
      <c r="DS27" s="74"/>
      <c r="DT27" s="98" t="str">
        <f t="shared" si="86"/>
        <v>-</v>
      </c>
      <c r="DU27" s="98" t="str">
        <f t="shared" si="64"/>
        <v>-</v>
      </c>
      <c r="DV27" s="74" t="str">
        <f t="shared" si="65"/>
        <v>-</v>
      </c>
      <c r="DW27" s="74" t="str">
        <f t="shared" si="65"/>
        <v>-</v>
      </c>
      <c r="DX27" s="100" t="str">
        <f t="shared" si="24"/>
        <v>-</v>
      </c>
      <c r="DY27" s="58" t="str">
        <f t="shared" si="66"/>
        <v>-</v>
      </c>
      <c r="DZ27" s="58" t="str">
        <f t="shared" si="67"/>
        <v>-</v>
      </c>
      <c r="EA27" s="58" t="str">
        <f t="shared" si="68"/>
        <v>-</v>
      </c>
      <c r="EB27" s="58" t="str">
        <f t="shared" si="69"/>
        <v>-</v>
      </c>
      <c r="EC27" s="100"/>
      <c r="ED27" s="100"/>
      <c r="EE27" s="74"/>
      <c r="EF27" s="98" t="str">
        <f t="shared" si="70"/>
        <v>-</v>
      </c>
      <c r="EG27" s="98" t="str">
        <f t="shared" si="71"/>
        <v>-</v>
      </c>
      <c r="EH27" s="74" t="str">
        <f t="shared" si="72"/>
        <v>-</v>
      </c>
      <c r="EI27" s="74" t="str">
        <f t="shared" si="72"/>
        <v>-</v>
      </c>
      <c r="EJ27" s="100" t="str">
        <f t="shared" si="26"/>
        <v>-</v>
      </c>
      <c r="EK27" s="58" t="str">
        <f t="shared" si="73"/>
        <v>-</v>
      </c>
      <c r="EL27" s="58" t="str">
        <f t="shared" si="74"/>
        <v>-</v>
      </c>
      <c r="EM27" s="58" t="str">
        <f t="shared" si="75"/>
        <v>-</v>
      </c>
      <c r="EN27" s="58" t="str">
        <f t="shared" si="76"/>
        <v>-</v>
      </c>
      <c r="EO27" s="100"/>
      <c r="EP27" s="100"/>
      <c r="EQ27" s="74"/>
      <c r="ER27" s="98" t="str">
        <f t="shared" si="77"/>
        <v>-</v>
      </c>
      <c r="ES27" s="98" t="str">
        <f t="shared" si="78"/>
        <v>-</v>
      </c>
      <c r="ET27" s="98" t="str">
        <f t="shared" si="79"/>
        <v>-</v>
      </c>
      <c r="EU27" s="98" t="str">
        <f t="shared" si="80"/>
        <v>-</v>
      </c>
      <c r="EV27" s="74"/>
      <c r="EW27" s="74"/>
      <c r="EX27" s="74"/>
      <c r="EY27" s="74" t="str">
        <f>IF(E27=0,"-",LARGE(E6:E50,22))</f>
        <v>-</v>
      </c>
      <c r="EZ27" s="77" t="str">
        <f t="shared" si="81"/>
        <v>-</v>
      </c>
      <c r="FA27" s="77">
        <f t="shared" si="82"/>
        <v>0</v>
      </c>
      <c r="FB27" s="77" t="str">
        <f t="shared" si="83"/>
        <v>-</v>
      </c>
      <c r="FC27" s="77" t="str">
        <f>IF(FB27="-","-",SMALL(FB6:FB50,22))</f>
        <v>-</v>
      </c>
    </row>
    <row r="28" spans="1:159" s="77" customFormat="1">
      <c r="A28" s="74"/>
      <c r="B28" s="77" t="str">
        <f>IF(Main!$BL$5&gt;22,"x","")</f>
        <v/>
      </c>
      <c r="C28" s="95">
        <f>'1'!R25</f>
        <v>0</v>
      </c>
      <c r="D28" s="96">
        <f>'1'!J25</f>
        <v>0</v>
      </c>
      <c r="E28" s="96">
        <f>'1'!K25</f>
        <v>0</v>
      </c>
      <c r="F28" s="74"/>
      <c r="G28" s="77" t="str">
        <f>IF(Main!$BN$5&gt;22,"x","")</f>
        <v/>
      </c>
      <c r="H28" s="74"/>
      <c r="I28" s="74"/>
      <c r="J28" s="74"/>
      <c r="K28" s="74"/>
      <c r="L28" s="96">
        <f>'3'!R25</f>
        <v>0</v>
      </c>
      <c r="M28" s="77">
        <f>'3'!J25</f>
        <v>0</v>
      </c>
      <c r="N28" s="74">
        <f>'3'!K25</f>
        <v>0</v>
      </c>
      <c r="O28" s="74"/>
      <c r="P28" s="58"/>
      <c r="Q28" s="80" t="s">
        <v>20</v>
      </c>
      <c r="R28" s="58"/>
      <c r="S28" s="58"/>
      <c r="T28" s="58">
        <f>DQ11</f>
        <v>1</v>
      </c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95"/>
      <c r="AI28" s="74"/>
      <c r="AJ28" s="98" t="str">
        <f t="shared" si="27"/>
        <v>-</v>
      </c>
      <c r="AK28" s="98" t="str">
        <f t="shared" si="28"/>
        <v>-</v>
      </c>
      <c r="AL28" s="98" t="str">
        <f t="shared" si="0"/>
        <v>-</v>
      </c>
      <c r="AM28" s="98" t="str">
        <f t="shared" si="29"/>
        <v>-</v>
      </c>
      <c r="AN28" s="98" t="str">
        <f t="shared" si="30"/>
        <v>-</v>
      </c>
      <c r="AO28" s="98" t="str">
        <f t="shared" si="31"/>
        <v>-</v>
      </c>
      <c r="AP28" s="98" t="str">
        <f t="shared" si="32"/>
        <v>-</v>
      </c>
      <c r="AQ28" s="98" t="str">
        <f t="shared" si="33"/>
        <v>-</v>
      </c>
      <c r="AR28" s="98"/>
      <c r="AS28" s="98"/>
      <c r="AT28" s="99" t="e">
        <f t="shared" si="87"/>
        <v>#DIV/0!</v>
      </c>
      <c r="AU28" s="99" t="e">
        <f t="shared" si="87"/>
        <v>#DIV/0!</v>
      </c>
      <c r="AV28" s="99" t="e">
        <f t="shared" si="87"/>
        <v>#DIV/0!</v>
      </c>
      <c r="AW28" s="99" t="e">
        <f t="shared" si="87"/>
        <v>#DIV/0!</v>
      </c>
      <c r="AX28" s="74" t="str">
        <f t="shared" si="35"/>
        <v>-</v>
      </c>
      <c r="AY28" s="74">
        <f t="shared" si="36"/>
        <v>0</v>
      </c>
      <c r="AZ28" s="74">
        <f t="shared" si="37"/>
        <v>0</v>
      </c>
      <c r="BA28" s="98">
        <f t="shared" si="38"/>
        <v>0</v>
      </c>
      <c r="BB28" s="74">
        <f t="shared" si="1"/>
        <v>0</v>
      </c>
      <c r="BC28" s="74">
        <f t="shared" si="2"/>
        <v>0</v>
      </c>
      <c r="BD28" s="74"/>
      <c r="BE28" s="74"/>
      <c r="BF28" s="74"/>
      <c r="BG28" s="74">
        <f t="shared" si="39"/>
        <v>0</v>
      </c>
      <c r="BH28" s="74">
        <f t="shared" si="40"/>
        <v>0</v>
      </c>
      <c r="BI28" s="98">
        <f t="shared" si="41"/>
        <v>0</v>
      </c>
      <c r="BJ28" s="74">
        <f t="shared" si="3"/>
        <v>0</v>
      </c>
      <c r="BK28" s="74">
        <f t="shared" si="4"/>
        <v>0</v>
      </c>
      <c r="BL28" s="74"/>
      <c r="BM28" s="74"/>
      <c r="BN28" s="74">
        <f t="shared" si="42"/>
        <v>0</v>
      </c>
      <c r="BO28" s="74" t="str">
        <f t="shared" si="43"/>
        <v>-</v>
      </c>
      <c r="BP28" s="98" t="str">
        <f t="shared" si="44"/>
        <v>-</v>
      </c>
      <c r="BQ28" s="98" t="str">
        <f t="shared" si="45"/>
        <v>-</v>
      </c>
      <c r="BR28" s="98" t="str">
        <f t="shared" si="5"/>
        <v>-</v>
      </c>
      <c r="BS28" s="98" t="str">
        <f t="shared" si="6"/>
        <v>-</v>
      </c>
      <c r="BT28" s="98" t="str">
        <f t="shared" si="7"/>
        <v>-</v>
      </c>
      <c r="BU28" s="98" t="str">
        <f t="shared" si="8"/>
        <v>-</v>
      </c>
      <c r="BV28" s="98" t="str">
        <f t="shared" si="9"/>
        <v>-</v>
      </c>
      <c r="BW28" s="98" t="str">
        <f t="shared" si="10"/>
        <v>-</v>
      </c>
      <c r="BX28" s="98"/>
      <c r="BY28" s="98"/>
      <c r="BZ28" s="99" t="e">
        <f t="shared" si="88"/>
        <v>#DIV/0!</v>
      </c>
      <c r="CA28" s="99" t="e">
        <f t="shared" si="88"/>
        <v>#DIV/0!</v>
      </c>
      <c r="CB28" s="99" t="e">
        <f t="shared" si="88"/>
        <v>#DIV/0!</v>
      </c>
      <c r="CC28" s="99" t="e">
        <f t="shared" si="88"/>
        <v>#DIV/0!</v>
      </c>
      <c r="CD28" s="74" t="str">
        <f t="shared" si="11"/>
        <v>-</v>
      </c>
      <c r="CE28" s="74">
        <f t="shared" si="47"/>
        <v>0</v>
      </c>
      <c r="CF28" s="74">
        <f t="shared" si="48"/>
        <v>0</v>
      </c>
      <c r="CG28" s="98">
        <f t="shared" si="49"/>
        <v>0</v>
      </c>
      <c r="CH28" s="74">
        <f t="shared" si="12"/>
        <v>0</v>
      </c>
      <c r="CI28" s="74">
        <f t="shared" si="13"/>
        <v>0</v>
      </c>
      <c r="CJ28" s="74"/>
      <c r="CK28" s="74"/>
      <c r="CL28" s="74"/>
      <c r="CM28" s="74">
        <f t="shared" si="14"/>
        <v>0</v>
      </c>
      <c r="CN28" s="74">
        <f t="shared" si="50"/>
        <v>0</v>
      </c>
      <c r="CO28" s="98">
        <f t="shared" si="51"/>
        <v>0</v>
      </c>
      <c r="CP28" s="74">
        <f t="shared" si="15"/>
        <v>0</v>
      </c>
      <c r="CQ28" s="74">
        <f t="shared" si="16"/>
        <v>0</v>
      </c>
      <c r="CR28" s="74"/>
      <c r="CS28" s="74"/>
      <c r="CT28" s="74"/>
      <c r="CU28" s="74"/>
      <c r="CV28" s="98" t="str">
        <f t="shared" si="17"/>
        <v>-</v>
      </c>
      <c r="CW28" s="95" t="str">
        <f t="shared" si="18"/>
        <v>-</v>
      </c>
      <c r="CX28" s="74" t="str">
        <f t="shared" si="52"/>
        <v>-</v>
      </c>
      <c r="CY28" s="74" t="str">
        <f t="shared" si="19"/>
        <v>-</v>
      </c>
      <c r="CZ28" s="100" t="str">
        <f t="shared" si="20"/>
        <v>-</v>
      </c>
      <c r="DA28" s="58" t="str">
        <f t="shared" si="53"/>
        <v>-</v>
      </c>
      <c r="DB28" s="58" t="str">
        <f t="shared" si="54"/>
        <v>-</v>
      </c>
      <c r="DC28" s="58" t="str">
        <f t="shared" si="55"/>
        <v>-</v>
      </c>
      <c r="DD28" s="58" t="str">
        <f t="shared" si="56"/>
        <v>-</v>
      </c>
      <c r="DE28" s="74"/>
      <c r="DF28" s="74"/>
      <c r="DG28" s="74"/>
      <c r="DH28" s="98" t="str">
        <f t="shared" si="57"/>
        <v>-</v>
      </c>
      <c r="DI28" s="98" t="str">
        <f t="shared" si="58"/>
        <v>-</v>
      </c>
      <c r="DJ28" s="74" t="str">
        <f t="shared" si="59"/>
        <v>-</v>
      </c>
      <c r="DK28" s="74" t="str">
        <f t="shared" si="59"/>
        <v>-</v>
      </c>
      <c r="DL28" s="100" t="str">
        <f t="shared" si="22"/>
        <v>-</v>
      </c>
      <c r="DM28" s="58" t="str">
        <f t="shared" si="60"/>
        <v>-</v>
      </c>
      <c r="DN28" s="58" t="str">
        <f t="shared" si="61"/>
        <v>-</v>
      </c>
      <c r="DO28" s="58" t="str">
        <f t="shared" si="62"/>
        <v>-</v>
      </c>
      <c r="DP28" s="58" t="str">
        <f t="shared" si="63"/>
        <v>-</v>
      </c>
      <c r="DQ28" s="100"/>
      <c r="DR28" s="100"/>
      <c r="DS28" s="74"/>
      <c r="DT28" s="98" t="str">
        <f t="shared" si="86"/>
        <v>-</v>
      </c>
      <c r="DU28" s="98" t="str">
        <f t="shared" si="64"/>
        <v>-</v>
      </c>
      <c r="DV28" s="74" t="str">
        <f t="shared" si="65"/>
        <v>-</v>
      </c>
      <c r="DW28" s="74" t="str">
        <f t="shared" si="65"/>
        <v>-</v>
      </c>
      <c r="DX28" s="100" t="str">
        <f t="shared" si="24"/>
        <v>-</v>
      </c>
      <c r="DY28" s="58" t="str">
        <f t="shared" si="66"/>
        <v>-</v>
      </c>
      <c r="DZ28" s="58" t="str">
        <f t="shared" si="67"/>
        <v>-</v>
      </c>
      <c r="EA28" s="58" t="str">
        <f t="shared" si="68"/>
        <v>-</v>
      </c>
      <c r="EB28" s="58" t="str">
        <f t="shared" si="69"/>
        <v>-</v>
      </c>
      <c r="EC28" s="100"/>
      <c r="ED28" s="100"/>
      <c r="EE28" s="74"/>
      <c r="EF28" s="98" t="str">
        <f t="shared" si="70"/>
        <v>-</v>
      </c>
      <c r="EG28" s="98" t="str">
        <f t="shared" si="71"/>
        <v>-</v>
      </c>
      <c r="EH28" s="74" t="str">
        <f t="shared" si="72"/>
        <v>-</v>
      </c>
      <c r="EI28" s="74" t="str">
        <f t="shared" si="72"/>
        <v>-</v>
      </c>
      <c r="EJ28" s="100" t="str">
        <f t="shared" si="26"/>
        <v>-</v>
      </c>
      <c r="EK28" s="58" t="str">
        <f t="shared" si="73"/>
        <v>-</v>
      </c>
      <c r="EL28" s="58" t="str">
        <f t="shared" si="74"/>
        <v>-</v>
      </c>
      <c r="EM28" s="58" t="str">
        <f t="shared" si="75"/>
        <v>-</v>
      </c>
      <c r="EN28" s="58" t="str">
        <f t="shared" si="76"/>
        <v>-</v>
      </c>
      <c r="EO28" s="100"/>
      <c r="EP28" s="100"/>
      <c r="EQ28" s="74"/>
      <c r="ER28" s="98" t="str">
        <f t="shared" si="77"/>
        <v>-</v>
      </c>
      <c r="ES28" s="98" t="str">
        <f t="shared" si="78"/>
        <v>-</v>
      </c>
      <c r="ET28" s="98" t="str">
        <f t="shared" si="79"/>
        <v>-</v>
      </c>
      <c r="EU28" s="98" t="str">
        <f t="shared" si="80"/>
        <v>-</v>
      </c>
      <c r="EV28" s="74"/>
      <c r="EW28" s="74"/>
      <c r="EX28" s="74"/>
      <c r="EY28" s="74" t="str">
        <f>IF(E28=0,"-",LARGE(E6:E50,23))</f>
        <v>-</v>
      </c>
      <c r="EZ28" s="77" t="str">
        <f t="shared" si="81"/>
        <v>-</v>
      </c>
      <c r="FA28" s="77">
        <f t="shared" si="82"/>
        <v>0</v>
      </c>
      <c r="FB28" s="77" t="str">
        <f t="shared" si="83"/>
        <v>-</v>
      </c>
      <c r="FC28" s="77" t="str">
        <f>IF(FB28="-","-",SMALL(FB6:FB50,23))</f>
        <v>-</v>
      </c>
    </row>
    <row r="29" spans="1:159" s="77" customFormat="1">
      <c r="A29" s="74"/>
      <c r="B29" s="77" t="str">
        <f>IF(Main!$BL$5&gt;23,"x","")</f>
        <v/>
      </c>
      <c r="C29" s="95">
        <f>'1'!R26</f>
        <v>0</v>
      </c>
      <c r="D29" s="96">
        <f>'1'!J26</f>
        <v>0</v>
      </c>
      <c r="E29" s="96">
        <f>'1'!K26</f>
        <v>0</v>
      </c>
      <c r="G29" s="77" t="str">
        <f>IF(Main!$BN$5&gt;23,"x","")</f>
        <v/>
      </c>
      <c r="H29" s="74"/>
      <c r="I29" s="74"/>
      <c r="J29" s="74"/>
      <c r="K29" s="74"/>
      <c r="L29" s="96">
        <f>'3'!R26</f>
        <v>0</v>
      </c>
      <c r="M29" s="77">
        <f>'3'!J26</f>
        <v>0</v>
      </c>
      <c r="N29" s="74">
        <f>'3'!K26</f>
        <v>0</v>
      </c>
      <c r="O29" s="74"/>
      <c r="P29" s="58"/>
      <c r="Q29" s="80" t="s">
        <v>19</v>
      </c>
      <c r="R29" s="58"/>
      <c r="S29" s="58"/>
      <c r="T29" s="101" t="e">
        <f>DR6</f>
        <v>#DIV/0!</v>
      </c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98" t="str">
        <f t="shared" si="27"/>
        <v>-</v>
      </c>
      <c r="AK29" s="98" t="str">
        <f t="shared" si="28"/>
        <v>-</v>
      </c>
      <c r="AL29" s="98" t="str">
        <f t="shared" si="0"/>
        <v>-</v>
      </c>
      <c r="AM29" s="98" t="str">
        <f t="shared" si="29"/>
        <v>-</v>
      </c>
      <c r="AN29" s="98" t="str">
        <f t="shared" si="30"/>
        <v>-</v>
      </c>
      <c r="AO29" s="98" t="str">
        <f t="shared" si="31"/>
        <v>-</v>
      </c>
      <c r="AP29" s="98" t="str">
        <f t="shared" si="32"/>
        <v>-</v>
      </c>
      <c r="AQ29" s="98" t="str">
        <f t="shared" si="33"/>
        <v>-</v>
      </c>
      <c r="AR29" s="98"/>
      <c r="AS29" s="98"/>
      <c r="AT29" s="99" t="e">
        <f t="shared" si="87"/>
        <v>#DIV/0!</v>
      </c>
      <c r="AU29" s="99" t="e">
        <f t="shared" si="87"/>
        <v>#DIV/0!</v>
      </c>
      <c r="AV29" s="99" t="e">
        <f t="shared" si="87"/>
        <v>#DIV/0!</v>
      </c>
      <c r="AW29" s="99" t="e">
        <f t="shared" si="87"/>
        <v>#DIV/0!</v>
      </c>
      <c r="AX29" s="74" t="str">
        <f t="shared" si="35"/>
        <v>-</v>
      </c>
      <c r="AY29" s="74">
        <f t="shared" si="36"/>
        <v>0</v>
      </c>
      <c r="AZ29" s="74">
        <f t="shared" si="37"/>
        <v>0</v>
      </c>
      <c r="BA29" s="98">
        <f t="shared" si="38"/>
        <v>0</v>
      </c>
      <c r="BB29" s="74">
        <f t="shared" si="1"/>
        <v>0</v>
      </c>
      <c r="BC29" s="74">
        <f t="shared" si="2"/>
        <v>0</v>
      </c>
      <c r="BD29" s="74"/>
      <c r="BE29" s="74"/>
      <c r="BF29" s="74"/>
      <c r="BG29" s="74">
        <f t="shared" si="39"/>
        <v>0</v>
      </c>
      <c r="BH29" s="74">
        <f t="shared" si="40"/>
        <v>0</v>
      </c>
      <c r="BI29" s="98">
        <f t="shared" si="41"/>
        <v>0</v>
      </c>
      <c r="BJ29" s="74">
        <f t="shared" si="3"/>
        <v>0</v>
      </c>
      <c r="BK29" s="74">
        <f t="shared" si="4"/>
        <v>0</v>
      </c>
      <c r="BL29" s="74"/>
      <c r="BM29" s="74"/>
      <c r="BN29" s="74">
        <f t="shared" si="42"/>
        <v>0</v>
      </c>
      <c r="BO29" s="74" t="str">
        <f t="shared" si="43"/>
        <v>-</v>
      </c>
      <c r="BP29" s="98" t="str">
        <f t="shared" si="44"/>
        <v>-</v>
      </c>
      <c r="BQ29" s="98" t="str">
        <f t="shared" si="45"/>
        <v>-</v>
      </c>
      <c r="BR29" s="98" t="str">
        <f t="shared" si="5"/>
        <v>-</v>
      </c>
      <c r="BS29" s="98" t="str">
        <f t="shared" si="6"/>
        <v>-</v>
      </c>
      <c r="BT29" s="98" t="str">
        <f t="shared" si="7"/>
        <v>-</v>
      </c>
      <c r="BU29" s="98" t="str">
        <f t="shared" si="8"/>
        <v>-</v>
      </c>
      <c r="BV29" s="98" t="str">
        <f t="shared" si="9"/>
        <v>-</v>
      </c>
      <c r="BW29" s="98" t="str">
        <f t="shared" si="10"/>
        <v>-</v>
      </c>
      <c r="BX29" s="98"/>
      <c r="BY29" s="98"/>
      <c r="BZ29" s="99" t="e">
        <f t="shared" si="88"/>
        <v>#DIV/0!</v>
      </c>
      <c r="CA29" s="99" t="e">
        <f t="shared" si="88"/>
        <v>#DIV/0!</v>
      </c>
      <c r="CB29" s="99" t="e">
        <f t="shared" si="88"/>
        <v>#DIV/0!</v>
      </c>
      <c r="CC29" s="99" t="e">
        <f t="shared" si="88"/>
        <v>#DIV/0!</v>
      </c>
      <c r="CD29" s="74" t="str">
        <f t="shared" si="11"/>
        <v>-</v>
      </c>
      <c r="CE29" s="74">
        <f t="shared" si="47"/>
        <v>0</v>
      </c>
      <c r="CF29" s="74">
        <f t="shared" si="48"/>
        <v>0</v>
      </c>
      <c r="CG29" s="98">
        <f t="shared" si="49"/>
        <v>0</v>
      </c>
      <c r="CH29" s="74">
        <f t="shared" si="12"/>
        <v>0</v>
      </c>
      <c r="CI29" s="74">
        <f t="shared" si="13"/>
        <v>0</v>
      </c>
      <c r="CJ29" s="74"/>
      <c r="CK29" s="74"/>
      <c r="CL29" s="74"/>
      <c r="CM29" s="74">
        <f t="shared" si="14"/>
        <v>0</v>
      </c>
      <c r="CN29" s="74">
        <f t="shared" si="50"/>
        <v>0</v>
      </c>
      <c r="CO29" s="98">
        <f t="shared" si="51"/>
        <v>0</v>
      </c>
      <c r="CP29" s="74">
        <f t="shared" si="15"/>
        <v>0</v>
      </c>
      <c r="CQ29" s="74">
        <f t="shared" si="16"/>
        <v>0</v>
      </c>
      <c r="CR29" s="74"/>
      <c r="CS29" s="74"/>
      <c r="CT29" s="74"/>
      <c r="CU29" s="74"/>
      <c r="CV29" s="98" t="str">
        <f t="shared" si="17"/>
        <v>-</v>
      </c>
      <c r="CW29" s="95" t="str">
        <f t="shared" si="18"/>
        <v>-</v>
      </c>
      <c r="CX29" s="74" t="str">
        <f t="shared" si="52"/>
        <v>-</v>
      </c>
      <c r="CY29" s="74" t="str">
        <f t="shared" si="19"/>
        <v>-</v>
      </c>
      <c r="CZ29" s="100" t="str">
        <f t="shared" si="20"/>
        <v>-</v>
      </c>
      <c r="DA29" s="58" t="str">
        <f t="shared" si="53"/>
        <v>-</v>
      </c>
      <c r="DB29" s="58" t="str">
        <f t="shared" si="54"/>
        <v>-</v>
      </c>
      <c r="DC29" s="58" t="str">
        <f t="shared" si="55"/>
        <v>-</v>
      </c>
      <c r="DD29" s="58" t="str">
        <f t="shared" si="56"/>
        <v>-</v>
      </c>
      <c r="DE29" s="74"/>
      <c r="DF29" s="74"/>
      <c r="DG29" s="74"/>
      <c r="DH29" s="98" t="str">
        <f t="shared" si="57"/>
        <v>-</v>
      </c>
      <c r="DI29" s="98" t="str">
        <f t="shared" si="58"/>
        <v>-</v>
      </c>
      <c r="DJ29" s="74" t="str">
        <f t="shared" si="59"/>
        <v>-</v>
      </c>
      <c r="DK29" s="74" t="str">
        <f t="shared" si="59"/>
        <v>-</v>
      </c>
      <c r="DL29" s="100" t="str">
        <f t="shared" si="22"/>
        <v>-</v>
      </c>
      <c r="DM29" s="58" t="str">
        <f t="shared" si="60"/>
        <v>-</v>
      </c>
      <c r="DN29" s="58" t="str">
        <f t="shared" si="61"/>
        <v>-</v>
      </c>
      <c r="DO29" s="58" t="str">
        <f t="shared" si="62"/>
        <v>-</v>
      </c>
      <c r="DP29" s="58" t="str">
        <f t="shared" si="63"/>
        <v>-</v>
      </c>
      <c r="DQ29" s="100"/>
      <c r="DR29" s="100"/>
      <c r="DS29" s="74"/>
      <c r="DT29" s="98" t="str">
        <f t="shared" si="86"/>
        <v>-</v>
      </c>
      <c r="DU29" s="98" t="str">
        <f t="shared" si="64"/>
        <v>-</v>
      </c>
      <c r="DV29" s="74" t="str">
        <f t="shared" si="65"/>
        <v>-</v>
      </c>
      <c r="DW29" s="74" t="str">
        <f t="shared" si="65"/>
        <v>-</v>
      </c>
      <c r="DX29" s="100" t="str">
        <f t="shared" si="24"/>
        <v>-</v>
      </c>
      <c r="DY29" s="58" t="str">
        <f t="shared" si="66"/>
        <v>-</v>
      </c>
      <c r="DZ29" s="58" t="str">
        <f t="shared" si="67"/>
        <v>-</v>
      </c>
      <c r="EA29" s="58" t="str">
        <f t="shared" si="68"/>
        <v>-</v>
      </c>
      <c r="EB29" s="58" t="str">
        <f t="shared" si="69"/>
        <v>-</v>
      </c>
      <c r="EC29" s="100"/>
      <c r="ED29" s="100"/>
      <c r="EE29" s="74"/>
      <c r="EF29" s="98" t="str">
        <f t="shared" si="70"/>
        <v>-</v>
      </c>
      <c r="EG29" s="98" t="str">
        <f t="shared" si="71"/>
        <v>-</v>
      </c>
      <c r="EH29" s="74" t="str">
        <f t="shared" si="72"/>
        <v>-</v>
      </c>
      <c r="EI29" s="74" t="str">
        <f t="shared" si="72"/>
        <v>-</v>
      </c>
      <c r="EJ29" s="100" t="str">
        <f t="shared" si="26"/>
        <v>-</v>
      </c>
      <c r="EK29" s="58" t="str">
        <f t="shared" si="73"/>
        <v>-</v>
      </c>
      <c r="EL29" s="58" t="str">
        <f t="shared" si="74"/>
        <v>-</v>
      </c>
      <c r="EM29" s="58" t="str">
        <f t="shared" si="75"/>
        <v>-</v>
      </c>
      <c r="EN29" s="58" t="str">
        <f t="shared" si="76"/>
        <v>-</v>
      </c>
      <c r="EO29" s="100"/>
      <c r="EP29" s="100"/>
      <c r="EQ29" s="74"/>
      <c r="ER29" s="98" t="str">
        <f t="shared" si="77"/>
        <v>-</v>
      </c>
      <c r="ES29" s="98" t="str">
        <f t="shared" si="78"/>
        <v>-</v>
      </c>
      <c r="ET29" s="98" t="str">
        <f t="shared" si="79"/>
        <v>-</v>
      </c>
      <c r="EU29" s="98" t="str">
        <f t="shared" si="80"/>
        <v>-</v>
      </c>
      <c r="EV29" s="74"/>
      <c r="EW29" s="74"/>
      <c r="EX29" s="74"/>
      <c r="EY29" s="74" t="str">
        <f>IF(E29=0,"-",LARGE(E6:E50,24))</f>
        <v>-</v>
      </c>
      <c r="EZ29" s="77" t="str">
        <f t="shared" si="81"/>
        <v>-</v>
      </c>
      <c r="FA29" s="77">
        <f t="shared" si="82"/>
        <v>0</v>
      </c>
      <c r="FB29" s="77" t="str">
        <f t="shared" si="83"/>
        <v>-</v>
      </c>
      <c r="FC29" s="77" t="str">
        <f>IF(FB29="-","-",SMALL(FB6:FB50,24))</f>
        <v>-</v>
      </c>
    </row>
    <row r="30" spans="1:159" s="77" customFormat="1">
      <c r="A30" s="74"/>
      <c r="B30" s="77" t="str">
        <f>IF(Main!$BL$5&gt;24,"x","")</f>
        <v/>
      </c>
      <c r="C30" s="95">
        <f>'1'!R27</f>
        <v>0</v>
      </c>
      <c r="D30" s="96">
        <f>'1'!J27</f>
        <v>0</v>
      </c>
      <c r="E30" s="96">
        <f>'1'!K27</f>
        <v>0</v>
      </c>
      <c r="G30" s="77" t="str">
        <f>IF(Main!$BN$5&gt;24,"x","")</f>
        <v/>
      </c>
      <c r="H30" s="74"/>
      <c r="I30" s="74"/>
      <c r="J30" s="74"/>
      <c r="K30" s="74"/>
      <c r="L30" s="96">
        <f>'3'!R27</f>
        <v>0</v>
      </c>
      <c r="M30" s="77">
        <f>'3'!J27</f>
        <v>0</v>
      </c>
      <c r="N30" s="74">
        <f>'3'!K27</f>
        <v>0</v>
      </c>
      <c r="O30" s="74"/>
      <c r="P30" s="58"/>
      <c r="Q30" s="80" t="s">
        <v>30</v>
      </c>
      <c r="R30" s="29"/>
      <c r="S30" s="29"/>
      <c r="T30" s="58">
        <f>EO11</f>
        <v>1</v>
      </c>
      <c r="AB30" s="74"/>
      <c r="AC30" s="74"/>
      <c r="AE30" s="74"/>
      <c r="AJ30" s="98" t="str">
        <f t="shared" si="27"/>
        <v>-</v>
      </c>
      <c r="AK30" s="98" t="str">
        <f t="shared" si="28"/>
        <v>-</v>
      </c>
      <c r="AL30" s="98" t="str">
        <f t="shared" si="0"/>
        <v>-</v>
      </c>
      <c r="AM30" s="98" t="str">
        <f t="shared" si="29"/>
        <v>-</v>
      </c>
      <c r="AN30" s="98" t="str">
        <f t="shared" si="30"/>
        <v>-</v>
      </c>
      <c r="AO30" s="98" t="str">
        <f t="shared" si="31"/>
        <v>-</v>
      </c>
      <c r="AP30" s="98" t="str">
        <f t="shared" si="32"/>
        <v>-</v>
      </c>
      <c r="AQ30" s="98" t="str">
        <f t="shared" si="33"/>
        <v>-</v>
      </c>
      <c r="AR30" s="98"/>
      <c r="AS30" s="98"/>
      <c r="AT30" s="103" t="e">
        <f t="shared" si="87"/>
        <v>#DIV/0!</v>
      </c>
      <c r="AU30" s="103" t="e">
        <f t="shared" si="87"/>
        <v>#DIV/0!</v>
      </c>
      <c r="AV30" s="103" t="e">
        <f t="shared" si="87"/>
        <v>#DIV/0!</v>
      </c>
      <c r="AW30" s="103" t="e">
        <f t="shared" si="87"/>
        <v>#DIV/0!</v>
      </c>
      <c r="AX30" s="74" t="str">
        <f t="shared" si="35"/>
        <v>-</v>
      </c>
      <c r="AY30" s="74">
        <f t="shared" si="36"/>
        <v>0</v>
      </c>
      <c r="AZ30" s="74">
        <f t="shared" si="37"/>
        <v>0</v>
      </c>
      <c r="BA30" s="98">
        <f t="shared" si="38"/>
        <v>0</v>
      </c>
      <c r="BB30" s="74">
        <f t="shared" si="1"/>
        <v>0</v>
      </c>
      <c r="BC30" s="74">
        <f t="shared" si="2"/>
        <v>0</v>
      </c>
      <c r="BG30" s="74">
        <f t="shared" si="39"/>
        <v>0</v>
      </c>
      <c r="BH30" s="74">
        <f t="shared" si="40"/>
        <v>0</v>
      </c>
      <c r="BI30" s="98">
        <f t="shared" si="41"/>
        <v>0</v>
      </c>
      <c r="BJ30" s="74">
        <f t="shared" si="3"/>
        <v>0</v>
      </c>
      <c r="BK30" s="74">
        <f t="shared" si="4"/>
        <v>0</v>
      </c>
      <c r="BN30" s="74">
        <f t="shared" si="42"/>
        <v>0</v>
      </c>
      <c r="BO30" s="74" t="str">
        <f t="shared" si="43"/>
        <v>-</v>
      </c>
      <c r="BP30" s="98" t="str">
        <f t="shared" si="44"/>
        <v>-</v>
      </c>
      <c r="BQ30" s="98" t="str">
        <f t="shared" si="45"/>
        <v>-</v>
      </c>
      <c r="BR30" s="98" t="str">
        <f t="shared" si="5"/>
        <v>-</v>
      </c>
      <c r="BS30" s="98" t="str">
        <f t="shared" si="6"/>
        <v>-</v>
      </c>
      <c r="BT30" s="98" t="str">
        <f t="shared" si="7"/>
        <v>-</v>
      </c>
      <c r="BU30" s="98" t="str">
        <f t="shared" si="8"/>
        <v>-</v>
      </c>
      <c r="BV30" s="98" t="str">
        <f t="shared" si="9"/>
        <v>-</v>
      </c>
      <c r="BW30" s="98" t="str">
        <f t="shared" si="10"/>
        <v>-</v>
      </c>
      <c r="BX30" s="98"/>
      <c r="BY30" s="98"/>
      <c r="BZ30" s="103" t="e">
        <f t="shared" si="88"/>
        <v>#DIV/0!</v>
      </c>
      <c r="CA30" s="103" t="e">
        <f t="shared" si="88"/>
        <v>#DIV/0!</v>
      </c>
      <c r="CB30" s="103" t="e">
        <f t="shared" si="88"/>
        <v>#DIV/0!</v>
      </c>
      <c r="CC30" s="103" t="e">
        <f t="shared" si="88"/>
        <v>#DIV/0!</v>
      </c>
      <c r="CD30" s="74" t="str">
        <f t="shared" si="11"/>
        <v>-</v>
      </c>
      <c r="CE30" s="74">
        <f t="shared" si="47"/>
        <v>0</v>
      </c>
      <c r="CF30" s="74">
        <f t="shared" si="48"/>
        <v>0</v>
      </c>
      <c r="CG30" s="98">
        <f t="shared" si="49"/>
        <v>0</v>
      </c>
      <c r="CH30" s="74">
        <f t="shared" si="12"/>
        <v>0</v>
      </c>
      <c r="CI30" s="74">
        <f t="shared" si="13"/>
        <v>0</v>
      </c>
      <c r="CM30" s="74">
        <f t="shared" si="14"/>
        <v>0</v>
      </c>
      <c r="CN30" s="74">
        <f t="shared" si="50"/>
        <v>0</v>
      </c>
      <c r="CO30" s="98">
        <f t="shared" si="51"/>
        <v>0</v>
      </c>
      <c r="CP30" s="74">
        <f t="shared" si="15"/>
        <v>0</v>
      </c>
      <c r="CQ30" s="74">
        <f t="shared" si="16"/>
        <v>0</v>
      </c>
      <c r="CV30" s="98" t="str">
        <f t="shared" si="17"/>
        <v>-</v>
      </c>
      <c r="CW30" s="95" t="str">
        <f t="shared" si="18"/>
        <v>-</v>
      </c>
      <c r="CX30" s="74" t="str">
        <f t="shared" si="52"/>
        <v>-</v>
      </c>
      <c r="CY30" s="74" t="str">
        <f t="shared" si="19"/>
        <v>-</v>
      </c>
      <c r="CZ30" s="100" t="str">
        <f t="shared" si="20"/>
        <v>-</v>
      </c>
      <c r="DA30" s="58" t="str">
        <f t="shared" si="53"/>
        <v>-</v>
      </c>
      <c r="DB30" s="58" t="str">
        <f t="shared" si="54"/>
        <v>-</v>
      </c>
      <c r="DC30" s="58" t="str">
        <f t="shared" si="55"/>
        <v>-</v>
      </c>
      <c r="DD30" s="58" t="str">
        <f t="shared" si="56"/>
        <v>-</v>
      </c>
      <c r="DH30" s="98" t="str">
        <f t="shared" si="57"/>
        <v>-</v>
      </c>
      <c r="DI30" s="98" t="str">
        <f t="shared" si="58"/>
        <v>-</v>
      </c>
      <c r="DJ30" s="74" t="str">
        <f t="shared" si="59"/>
        <v>-</v>
      </c>
      <c r="DK30" s="74" t="str">
        <f t="shared" si="59"/>
        <v>-</v>
      </c>
      <c r="DL30" s="100" t="str">
        <f t="shared" si="22"/>
        <v>-</v>
      </c>
      <c r="DM30" s="58" t="str">
        <f t="shared" si="60"/>
        <v>-</v>
      </c>
      <c r="DN30" s="58" t="str">
        <f t="shared" si="61"/>
        <v>-</v>
      </c>
      <c r="DO30" s="58" t="str">
        <f t="shared" si="62"/>
        <v>-</v>
      </c>
      <c r="DP30" s="58" t="str">
        <f t="shared" si="63"/>
        <v>-</v>
      </c>
      <c r="DQ30" s="100"/>
      <c r="DR30" s="100"/>
      <c r="DT30" s="98" t="str">
        <f t="shared" si="86"/>
        <v>-</v>
      </c>
      <c r="DU30" s="98" t="str">
        <f t="shared" si="64"/>
        <v>-</v>
      </c>
      <c r="DV30" s="74" t="str">
        <f t="shared" si="65"/>
        <v>-</v>
      </c>
      <c r="DW30" s="74" t="str">
        <f t="shared" si="65"/>
        <v>-</v>
      </c>
      <c r="DX30" s="100" t="str">
        <f t="shared" si="24"/>
        <v>-</v>
      </c>
      <c r="DY30" s="58" t="str">
        <f t="shared" si="66"/>
        <v>-</v>
      </c>
      <c r="DZ30" s="58" t="str">
        <f t="shared" si="67"/>
        <v>-</v>
      </c>
      <c r="EA30" s="58" t="str">
        <f t="shared" si="68"/>
        <v>-</v>
      </c>
      <c r="EB30" s="58" t="str">
        <f t="shared" si="69"/>
        <v>-</v>
      </c>
      <c r="EC30" s="100"/>
      <c r="ED30" s="100"/>
      <c r="EF30" s="98" t="str">
        <f t="shared" si="70"/>
        <v>-</v>
      </c>
      <c r="EG30" s="98" t="str">
        <f t="shared" si="71"/>
        <v>-</v>
      </c>
      <c r="EH30" s="74" t="str">
        <f t="shared" si="72"/>
        <v>-</v>
      </c>
      <c r="EI30" s="74" t="str">
        <f t="shared" si="72"/>
        <v>-</v>
      </c>
      <c r="EJ30" s="100" t="str">
        <f t="shared" si="26"/>
        <v>-</v>
      </c>
      <c r="EK30" s="58" t="str">
        <f t="shared" si="73"/>
        <v>-</v>
      </c>
      <c r="EL30" s="58" t="str">
        <f t="shared" si="74"/>
        <v>-</v>
      </c>
      <c r="EM30" s="58" t="str">
        <f t="shared" si="75"/>
        <v>-</v>
      </c>
      <c r="EN30" s="58" t="str">
        <f t="shared" si="76"/>
        <v>-</v>
      </c>
      <c r="EO30" s="100"/>
      <c r="EP30" s="100"/>
      <c r="ER30" s="79" t="str">
        <f t="shared" si="77"/>
        <v>-</v>
      </c>
      <c r="ES30" s="79" t="str">
        <f t="shared" si="78"/>
        <v>-</v>
      </c>
      <c r="ET30" s="79" t="str">
        <f t="shared" si="79"/>
        <v>-</v>
      </c>
      <c r="EU30" s="79" t="str">
        <f t="shared" si="80"/>
        <v>-</v>
      </c>
      <c r="EY30" s="74" t="str">
        <f>IF(E30=0,"-",LARGE(E6:E50,25))</f>
        <v>-</v>
      </c>
      <c r="EZ30" s="77" t="str">
        <f t="shared" si="81"/>
        <v>-</v>
      </c>
      <c r="FA30" s="77">
        <f t="shared" si="82"/>
        <v>0</v>
      </c>
      <c r="FB30" s="77" t="str">
        <f t="shared" si="83"/>
        <v>-</v>
      </c>
      <c r="FC30" s="77" t="str">
        <f>IF(FB30="-","-",SMALL(FB6:FB50,25))</f>
        <v>-</v>
      </c>
    </row>
    <row r="31" spans="1:159" s="77" customFormat="1">
      <c r="A31" s="74"/>
      <c r="B31" s="77" t="str">
        <f>IF(Main!$BL$5&gt;25,"x","")</f>
        <v/>
      </c>
      <c r="C31" s="95">
        <f>'1'!R28</f>
        <v>0</v>
      </c>
      <c r="D31" s="96">
        <f>'1'!J28</f>
        <v>0</v>
      </c>
      <c r="E31" s="96">
        <f>'1'!K28</f>
        <v>0</v>
      </c>
      <c r="G31" s="77" t="str">
        <f>IF(Main!$BN$5&gt;25,"x","")</f>
        <v/>
      </c>
      <c r="H31" s="74"/>
      <c r="I31" s="74"/>
      <c r="J31" s="74"/>
      <c r="K31" s="74"/>
      <c r="L31" s="96">
        <f>'3'!R28</f>
        <v>0</v>
      </c>
      <c r="M31" s="77">
        <f>'3'!J28</f>
        <v>0</v>
      </c>
      <c r="N31" s="74">
        <f>'3'!K28</f>
        <v>0</v>
      </c>
      <c r="O31" s="74"/>
      <c r="P31" s="58"/>
      <c r="Q31" s="80" t="s">
        <v>31</v>
      </c>
      <c r="R31" s="29"/>
      <c r="S31" s="29"/>
      <c r="T31" s="101" t="e">
        <f>EP6</f>
        <v>#DIV/0!</v>
      </c>
      <c r="AB31" s="74"/>
      <c r="AC31" s="74"/>
      <c r="AE31" s="74"/>
      <c r="AJ31" s="98" t="str">
        <f t="shared" si="27"/>
        <v>-</v>
      </c>
      <c r="AK31" s="98" t="str">
        <f t="shared" si="28"/>
        <v>-</v>
      </c>
      <c r="AL31" s="98" t="str">
        <f t="shared" si="0"/>
        <v>-</v>
      </c>
      <c r="AM31" s="98" t="str">
        <f t="shared" si="29"/>
        <v>-</v>
      </c>
      <c r="AN31" s="98" t="str">
        <f t="shared" si="30"/>
        <v>-</v>
      </c>
      <c r="AO31" s="98" t="str">
        <f t="shared" si="31"/>
        <v>-</v>
      </c>
      <c r="AP31" s="98" t="str">
        <f t="shared" si="32"/>
        <v>-</v>
      </c>
      <c r="AQ31" s="98" t="str">
        <f t="shared" si="33"/>
        <v>-</v>
      </c>
      <c r="AR31" s="98"/>
      <c r="AS31" s="98"/>
      <c r="AT31" s="103" t="e">
        <f t="shared" si="87"/>
        <v>#DIV/0!</v>
      </c>
      <c r="AU31" s="103" t="e">
        <f t="shared" si="87"/>
        <v>#DIV/0!</v>
      </c>
      <c r="AV31" s="103" t="e">
        <f t="shared" si="87"/>
        <v>#DIV/0!</v>
      </c>
      <c r="AW31" s="103" t="e">
        <f t="shared" si="87"/>
        <v>#DIV/0!</v>
      </c>
      <c r="AX31" s="74" t="str">
        <f t="shared" si="35"/>
        <v>-</v>
      </c>
      <c r="AY31" s="74">
        <f t="shared" si="36"/>
        <v>0</v>
      </c>
      <c r="AZ31" s="74">
        <f t="shared" si="37"/>
        <v>0</v>
      </c>
      <c r="BA31" s="98">
        <f t="shared" si="38"/>
        <v>0</v>
      </c>
      <c r="BB31" s="74">
        <f t="shared" si="1"/>
        <v>0</v>
      </c>
      <c r="BC31" s="74">
        <f t="shared" si="2"/>
        <v>0</v>
      </c>
      <c r="BG31" s="74">
        <f t="shared" si="39"/>
        <v>0</v>
      </c>
      <c r="BH31" s="74">
        <f t="shared" si="40"/>
        <v>0</v>
      </c>
      <c r="BI31" s="98">
        <f t="shared" si="41"/>
        <v>0</v>
      </c>
      <c r="BJ31" s="74">
        <f t="shared" si="3"/>
        <v>0</v>
      </c>
      <c r="BK31" s="74">
        <f t="shared" si="4"/>
        <v>0</v>
      </c>
      <c r="BN31" s="74">
        <f t="shared" si="42"/>
        <v>0</v>
      </c>
      <c r="BO31" s="74" t="str">
        <f t="shared" si="43"/>
        <v>-</v>
      </c>
      <c r="BP31" s="98" t="str">
        <f t="shared" si="44"/>
        <v>-</v>
      </c>
      <c r="BQ31" s="98" t="str">
        <f t="shared" si="45"/>
        <v>-</v>
      </c>
      <c r="BR31" s="98" t="str">
        <f t="shared" si="5"/>
        <v>-</v>
      </c>
      <c r="BS31" s="98" t="str">
        <f t="shared" si="6"/>
        <v>-</v>
      </c>
      <c r="BT31" s="98" t="str">
        <f t="shared" si="7"/>
        <v>-</v>
      </c>
      <c r="BU31" s="98" t="str">
        <f t="shared" si="8"/>
        <v>-</v>
      </c>
      <c r="BV31" s="98" t="str">
        <f t="shared" si="9"/>
        <v>-</v>
      </c>
      <c r="BW31" s="98" t="str">
        <f t="shared" si="10"/>
        <v>-</v>
      </c>
      <c r="BX31" s="98"/>
      <c r="BY31" s="98"/>
      <c r="BZ31" s="103" t="e">
        <f t="shared" si="88"/>
        <v>#DIV/0!</v>
      </c>
      <c r="CA31" s="103" t="e">
        <f t="shared" si="88"/>
        <v>#DIV/0!</v>
      </c>
      <c r="CB31" s="103" t="e">
        <f t="shared" si="88"/>
        <v>#DIV/0!</v>
      </c>
      <c r="CC31" s="103" t="e">
        <f t="shared" si="88"/>
        <v>#DIV/0!</v>
      </c>
      <c r="CD31" s="74" t="str">
        <f t="shared" si="11"/>
        <v>-</v>
      </c>
      <c r="CE31" s="74">
        <f t="shared" si="47"/>
        <v>0</v>
      </c>
      <c r="CF31" s="74">
        <f t="shared" si="48"/>
        <v>0</v>
      </c>
      <c r="CG31" s="98">
        <f t="shared" si="49"/>
        <v>0</v>
      </c>
      <c r="CH31" s="74">
        <f t="shared" si="12"/>
        <v>0</v>
      </c>
      <c r="CI31" s="74">
        <f t="shared" si="13"/>
        <v>0</v>
      </c>
      <c r="CM31" s="74">
        <f t="shared" si="14"/>
        <v>0</v>
      </c>
      <c r="CN31" s="74">
        <f t="shared" si="50"/>
        <v>0</v>
      </c>
      <c r="CO31" s="98">
        <f t="shared" si="51"/>
        <v>0</v>
      </c>
      <c r="CP31" s="74">
        <f t="shared" si="15"/>
        <v>0</v>
      </c>
      <c r="CQ31" s="74">
        <f t="shared" si="16"/>
        <v>0</v>
      </c>
      <c r="CV31" s="98" t="str">
        <f t="shared" si="17"/>
        <v>-</v>
      </c>
      <c r="CW31" s="95" t="str">
        <f t="shared" si="18"/>
        <v>-</v>
      </c>
      <c r="CX31" s="74" t="str">
        <f t="shared" si="52"/>
        <v>-</v>
      </c>
      <c r="CY31" s="74" t="str">
        <f t="shared" si="19"/>
        <v>-</v>
      </c>
      <c r="CZ31" s="100" t="str">
        <f t="shared" si="20"/>
        <v>-</v>
      </c>
      <c r="DA31" s="58" t="str">
        <f t="shared" si="53"/>
        <v>-</v>
      </c>
      <c r="DB31" s="58" t="str">
        <f t="shared" si="54"/>
        <v>-</v>
      </c>
      <c r="DC31" s="58" t="str">
        <f t="shared" si="55"/>
        <v>-</v>
      </c>
      <c r="DD31" s="58" t="str">
        <f t="shared" si="56"/>
        <v>-</v>
      </c>
      <c r="DH31" s="98" t="str">
        <f t="shared" si="57"/>
        <v>-</v>
      </c>
      <c r="DI31" s="98" t="str">
        <f t="shared" si="58"/>
        <v>-</v>
      </c>
      <c r="DJ31" s="74" t="str">
        <f t="shared" si="59"/>
        <v>-</v>
      </c>
      <c r="DK31" s="74" t="str">
        <f t="shared" si="59"/>
        <v>-</v>
      </c>
      <c r="DL31" s="100" t="str">
        <f t="shared" si="22"/>
        <v>-</v>
      </c>
      <c r="DM31" s="58" t="str">
        <f t="shared" si="60"/>
        <v>-</v>
      </c>
      <c r="DN31" s="58" t="str">
        <f t="shared" si="61"/>
        <v>-</v>
      </c>
      <c r="DO31" s="58" t="str">
        <f t="shared" si="62"/>
        <v>-</v>
      </c>
      <c r="DP31" s="58" t="str">
        <f t="shared" si="63"/>
        <v>-</v>
      </c>
      <c r="DQ31" s="100"/>
      <c r="DR31" s="100"/>
      <c r="DT31" s="98" t="str">
        <f t="shared" si="86"/>
        <v>-</v>
      </c>
      <c r="DU31" s="98" t="str">
        <f t="shared" si="64"/>
        <v>-</v>
      </c>
      <c r="DV31" s="74" t="str">
        <f t="shared" si="65"/>
        <v>-</v>
      </c>
      <c r="DW31" s="74" t="str">
        <f t="shared" si="65"/>
        <v>-</v>
      </c>
      <c r="DX31" s="100" t="str">
        <f t="shared" si="24"/>
        <v>-</v>
      </c>
      <c r="DY31" s="58" t="str">
        <f t="shared" si="66"/>
        <v>-</v>
      </c>
      <c r="DZ31" s="58" t="str">
        <f t="shared" si="67"/>
        <v>-</v>
      </c>
      <c r="EA31" s="58" t="str">
        <f t="shared" si="68"/>
        <v>-</v>
      </c>
      <c r="EB31" s="58" t="str">
        <f t="shared" si="69"/>
        <v>-</v>
      </c>
      <c r="EC31" s="100"/>
      <c r="ED31" s="100"/>
      <c r="EF31" s="98" t="str">
        <f t="shared" si="70"/>
        <v>-</v>
      </c>
      <c r="EG31" s="98" t="str">
        <f t="shared" si="71"/>
        <v>-</v>
      </c>
      <c r="EH31" s="74" t="str">
        <f t="shared" si="72"/>
        <v>-</v>
      </c>
      <c r="EI31" s="74" t="str">
        <f t="shared" si="72"/>
        <v>-</v>
      </c>
      <c r="EJ31" s="100" t="str">
        <f t="shared" si="26"/>
        <v>-</v>
      </c>
      <c r="EK31" s="58" t="str">
        <f t="shared" si="73"/>
        <v>-</v>
      </c>
      <c r="EL31" s="58" t="str">
        <f t="shared" si="74"/>
        <v>-</v>
      </c>
      <c r="EM31" s="58" t="str">
        <f t="shared" si="75"/>
        <v>-</v>
      </c>
      <c r="EN31" s="58" t="str">
        <f t="shared" si="76"/>
        <v>-</v>
      </c>
      <c r="EO31" s="100"/>
      <c r="EP31" s="100"/>
      <c r="ER31" s="79" t="str">
        <f t="shared" si="77"/>
        <v>-</v>
      </c>
      <c r="ES31" s="79" t="str">
        <f t="shared" si="78"/>
        <v>-</v>
      </c>
      <c r="ET31" s="79" t="str">
        <f t="shared" si="79"/>
        <v>-</v>
      </c>
      <c r="EU31" s="79" t="str">
        <f t="shared" si="80"/>
        <v>-</v>
      </c>
      <c r="EY31" s="74" t="str">
        <f>IF(E31=0,"-",LARGE(E6:E50,26))</f>
        <v>-</v>
      </c>
      <c r="EZ31" s="77" t="str">
        <f t="shared" si="81"/>
        <v>-</v>
      </c>
      <c r="FA31" s="77">
        <f t="shared" si="82"/>
        <v>0</v>
      </c>
      <c r="FB31" s="77" t="str">
        <f t="shared" si="83"/>
        <v>-</v>
      </c>
      <c r="FC31" s="77" t="str">
        <f>IF(FB31="-","-",SMALL(FB6:FB50,26))</f>
        <v>-</v>
      </c>
    </row>
    <row r="32" spans="1:159" s="77" customFormat="1">
      <c r="A32" s="74"/>
      <c r="B32" s="77" t="str">
        <f>IF(Main!$BL$5&gt;26,"x","")</f>
        <v/>
      </c>
      <c r="C32" s="95">
        <f>'1'!R29</f>
        <v>0</v>
      </c>
      <c r="D32" s="96">
        <f>'1'!J29</f>
        <v>0</v>
      </c>
      <c r="E32" s="96">
        <f>'1'!K29</f>
        <v>0</v>
      </c>
      <c r="G32" s="77" t="str">
        <f>IF(Main!$BN$5&gt;26,"x","")</f>
        <v/>
      </c>
      <c r="H32" s="74"/>
      <c r="I32" s="74"/>
      <c r="J32" s="74"/>
      <c r="K32" s="74"/>
      <c r="L32" s="96">
        <f>'3'!R29</f>
        <v>0</v>
      </c>
      <c r="M32" s="77">
        <f>'3'!J29</f>
        <v>0</v>
      </c>
      <c r="N32" s="74">
        <f>'3'!K29</f>
        <v>0</v>
      </c>
      <c r="O32" s="74"/>
      <c r="P32" s="74"/>
      <c r="Q32" s="74" t="s">
        <v>32</v>
      </c>
      <c r="T32" s="74" t="e">
        <f>DE15</f>
        <v>#DIV/0!</v>
      </c>
      <c r="AB32" s="74"/>
      <c r="AC32" s="74"/>
      <c r="AE32" s="74"/>
      <c r="AJ32" s="98" t="str">
        <f t="shared" si="27"/>
        <v>-</v>
      </c>
      <c r="AK32" s="98" t="str">
        <f t="shared" si="28"/>
        <v>-</v>
      </c>
      <c r="AL32" s="98" t="str">
        <f t="shared" si="0"/>
        <v>-</v>
      </c>
      <c r="AM32" s="98" t="str">
        <f t="shared" si="29"/>
        <v>-</v>
      </c>
      <c r="AN32" s="98" t="str">
        <f t="shared" si="30"/>
        <v>-</v>
      </c>
      <c r="AO32" s="98" t="str">
        <f t="shared" si="31"/>
        <v>-</v>
      </c>
      <c r="AP32" s="98" t="str">
        <f t="shared" si="32"/>
        <v>-</v>
      </c>
      <c r="AQ32" s="98" t="str">
        <f t="shared" si="33"/>
        <v>-</v>
      </c>
      <c r="AR32" s="98"/>
      <c r="AS32" s="98"/>
      <c r="AT32" s="103" t="e">
        <f t="shared" si="87"/>
        <v>#DIV/0!</v>
      </c>
      <c r="AU32" s="103" t="e">
        <f t="shared" si="87"/>
        <v>#DIV/0!</v>
      </c>
      <c r="AV32" s="103" t="e">
        <f t="shared" si="87"/>
        <v>#DIV/0!</v>
      </c>
      <c r="AW32" s="103" t="e">
        <f t="shared" si="87"/>
        <v>#DIV/0!</v>
      </c>
      <c r="AX32" s="74" t="str">
        <f t="shared" si="35"/>
        <v>-</v>
      </c>
      <c r="AY32" s="74">
        <f t="shared" si="36"/>
        <v>0</v>
      </c>
      <c r="AZ32" s="74">
        <f t="shared" si="37"/>
        <v>0</v>
      </c>
      <c r="BA32" s="98">
        <f t="shared" si="38"/>
        <v>0</v>
      </c>
      <c r="BB32" s="74">
        <f t="shared" si="1"/>
        <v>0</v>
      </c>
      <c r="BC32" s="74">
        <f t="shared" si="2"/>
        <v>0</v>
      </c>
      <c r="BG32" s="74">
        <f t="shared" si="39"/>
        <v>0</v>
      </c>
      <c r="BH32" s="74">
        <f t="shared" si="40"/>
        <v>0</v>
      </c>
      <c r="BI32" s="98">
        <f t="shared" si="41"/>
        <v>0</v>
      </c>
      <c r="BJ32" s="74">
        <f t="shared" si="3"/>
        <v>0</v>
      </c>
      <c r="BK32" s="74">
        <f t="shared" si="4"/>
        <v>0</v>
      </c>
      <c r="BN32" s="74">
        <f t="shared" si="42"/>
        <v>0</v>
      </c>
      <c r="BO32" s="74" t="str">
        <f t="shared" si="43"/>
        <v>-</v>
      </c>
      <c r="BP32" s="98" t="str">
        <f t="shared" si="44"/>
        <v>-</v>
      </c>
      <c r="BQ32" s="98" t="str">
        <f t="shared" si="45"/>
        <v>-</v>
      </c>
      <c r="BR32" s="98" t="str">
        <f t="shared" si="5"/>
        <v>-</v>
      </c>
      <c r="BS32" s="98" t="str">
        <f t="shared" si="6"/>
        <v>-</v>
      </c>
      <c r="BT32" s="98" t="str">
        <f t="shared" si="7"/>
        <v>-</v>
      </c>
      <c r="BU32" s="98" t="str">
        <f t="shared" si="8"/>
        <v>-</v>
      </c>
      <c r="BV32" s="98" t="str">
        <f t="shared" si="9"/>
        <v>-</v>
      </c>
      <c r="BW32" s="98" t="str">
        <f t="shared" si="10"/>
        <v>-</v>
      </c>
      <c r="BX32" s="98"/>
      <c r="BY32" s="98"/>
      <c r="BZ32" s="103" t="e">
        <f t="shared" si="88"/>
        <v>#DIV/0!</v>
      </c>
      <c r="CA32" s="103" t="e">
        <f t="shared" si="88"/>
        <v>#DIV/0!</v>
      </c>
      <c r="CB32" s="103" t="e">
        <f t="shared" si="88"/>
        <v>#DIV/0!</v>
      </c>
      <c r="CC32" s="103" t="e">
        <f t="shared" si="88"/>
        <v>#DIV/0!</v>
      </c>
      <c r="CD32" s="74" t="str">
        <f t="shared" si="11"/>
        <v>-</v>
      </c>
      <c r="CE32" s="74">
        <f t="shared" si="47"/>
        <v>0</v>
      </c>
      <c r="CF32" s="74">
        <f t="shared" si="48"/>
        <v>0</v>
      </c>
      <c r="CG32" s="98">
        <f t="shared" si="49"/>
        <v>0</v>
      </c>
      <c r="CH32" s="74">
        <f t="shared" si="12"/>
        <v>0</v>
      </c>
      <c r="CI32" s="74">
        <f t="shared" si="13"/>
        <v>0</v>
      </c>
      <c r="CM32" s="74">
        <f t="shared" si="14"/>
        <v>0</v>
      </c>
      <c r="CN32" s="74">
        <f t="shared" si="50"/>
        <v>0</v>
      </c>
      <c r="CO32" s="98">
        <f t="shared" si="51"/>
        <v>0</v>
      </c>
      <c r="CP32" s="74">
        <f t="shared" si="15"/>
        <v>0</v>
      </c>
      <c r="CQ32" s="74">
        <f t="shared" si="16"/>
        <v>0</v>
      </c>
      <c r="CV32" s="98" t="str">
        <f t="shared" si="17"/>
        <v>-</v>
      </c>
      <c r="CW32" s="95" t="str">
        <f t="shared" si="18"/>
        <v>-</v>
      </c>
      <c r="CX32" s="74" t="str">
        <f t="shared" si="52"/>
        <v>-</v>
      </c>
      <c r="CY32" s="74" t="str">
        <f t="shared" si="19"/>
        <v>-</v>
      </c>
      <c r="CZ32" s="100" t="str">
        <f t="shared" si="20"/>
        <v>-</v>
      </c>
      <c r="DA32" s="58" t="str">
        <f t="shared" si="53"/>
        <v>-</v>
      </c>
      <c r="DB32" s="58" t="str">
        <f t="shared" si="54"/>
        <v>-</v>
      </c>
      <c r="DC32" s="58" t="str">
        <f t="shared" si="55"/>
        <v>-</v>
      </c>
      <c r="DD32" s="58" t="str">
        <f t="shared" si="56"/>
        <v>-</v>
      </c>
      <c r="DH32" s="98" t="str">
        <f t="shared" si="57"/>
        <v>-</v>
      </c>
      <c r="DI32" s="98" t="str">
        <f t="shared" si="58"/>
        <v>-</v>
      </c>
      <c r="DJ32" s="74" t="str">
        <f t="shared" si="59"/>
        <v>-</v>
      </c>
      <c r="DK32" s="74" t="str">
        <f t="shared" si="59"/>
        <v>-</v>
      </c>
      <c r="DL32" s="100" t="str">
        <f t="shared" si="22"/>
        <v>-</v>
      </c>
      <c r="DM32" s="58" t="str">
        <f t="shared" si="60"/>
        <v>-</v>
      </c>
      <c r="DN32" s="58" t="str">
        <f t="shared" si="61"/>
        <v>-</v>
      </c>
      <c r="DO32" s="58" t="str">
        <f t="shared" si="62"/>
        <v>-</v>
      </c>
      <c r="DP32" s="58" t="str">
        <f t="shared" si="63"/>
        <v>-</v>
      </c>
      <c r="DQ32" s="100"/>
      <c r="DR32" s="100"/>
      <c r="DT32" s="98" t="str">
        <f t="shared" si="86"/>
        <v>-</v>
      </c>
      <c r="DU32" s="98" t="str">
        <f t="shared" si="64"/>
        <v>-</v>
      </c>
      <c r="DV32" s="74" t="str">
        <f t="shared" si="65"/>
        <v>-</v>
      </c>
      <c r="DW32" s="74" t="str">
        <f t="shared" si="65"/>
        <v>-</v>
      </c>
      <c r="DX32" s="100" t="str">
        <f t="shared" si="24"/>
        <v>-</v>
      </c>
      <c r="DY32" s="58" t="str">
        <f t="shared" si="66"/>
        <v>-</v>
      </c>
      <c r="DZ32" s="58" t="str">
        <f t="shared" si="67"/>
        <v>-</v>
      </c>
      <c r="EA32" s="58" t="str">
        <f t="shared" si="68"/>
        <v>-</v>
      </c>
      <c r="EB32" s="58" t="str">
        <f t="shared" si="69"/>
        <v>-</v>
      </c>
      <c r="EC32" s="100"/>
      <c r="ED32" s="100"/>
      <c r="EF32" s="98" t="str">
        <f t="shared" si="70"/>
        <v>-</v>
      </c>
      <c r="EG32" s="98" t="str">
        <f t="shared" si="71"/>
        <v>-</v>
      </c>
      <c r="EH32" s="74" t="str">
        <f t="shared" si="72"/>
        <v>-</v>
      </c>
      <c r="EI32" s="74" t="str">
        <f t="shared" si="72"/>
        <v>-</v>
      </c>
      <c r="EJ32" s="100" t="str">
        <f t="shared" si="26"/>
        <v>-</v>
      </c>
      <c r="EK32" s="58" t="str">
        <f t="shared" si="73"/>
        <v>-</v>
      </c>
      <c r="EL32" s="58" t="str">
        <f t="shared" si="74"/>
        <v>-</v>
      </c>
      <c r="EM32" s="58" t="str">
        <f t="shared" si="75"/>
        <v>-</v>
      </c>
      <c r="EN32" s="58" t="str">
        <f t="shared" si="76"/>
        <v>-</v>
      </c>
      <c r="EO32" s="100"/>
      <c r="EP32" s="100"/>
      <c r="ER32" s="79" t="str">
        <f t="shared" si="77"/>
        <v>-</v>
      </c>
      <c r="ES32" s="79" t="str">
        <f t="shared" si="78"/>
        <v>-</v>
      </c>
      <c r="ET32" s="79" t="str">
        <f t="shared" si="79"/>
        <v>-</v>
      </c>
      <c r="EU32" s="79" t="str">
        <f t="shared" si="80"/>
        <v>-</v>
      </c>
      <c r="EY32" s="74" t="str">
        <f>IF(E32=0,"-",LARGE(E6:E50,27))</f>
        <v>-</v>
      </c>
      <c r="EZ32" s="77" t="str">
        <f t="shared" si="81"/>
        <v>-</v>
      </c>
      <c r="FA32" s="77">
        <f t="shared" si="82"/>
        <v>0</v>
      </c>
      <c r="FB32" s="77" t="str">
        <f t="shared" si="83"/>
        <v>-</v>
      </c>
      <c r="FC32" s="77" t="str">
        <f>IF(FB32="-","-",SMALL(FB6:FB50,27))</f>
        <v>-</v>
      </c>
    </row>
    <row r="33" spans="1:159" s="77" customFormat="1">
      <c r="A33" s="74"/>
      <c r="B33" s="77" t="str">
        <f>IF(Main!$BL$5&gt;27,"x","")</f>
        <v/>
      </c>
      <c r="C33" s="95">
        <f>'1'!R30</f>
        <v>0</v>
      </c>
      <c r="D33" s="96">
        <f>'1'!J30</f>
        <v>0</v>
      </c>
      <c r="E33" s="96">
        <f>'1'!K30</f>
        <v>0</v>
      </c>
      <c r="G33" s="77" t="str">
        <f>IF(Main!$BN$5&gt;27,"x","")</f>
        <v/>
      </c>
      <c r="H33" s="74"/>
      <c r="I33" s="74"/>
      <c r="J33" s="74"/>
      <c r="K33" s="74"/>
      <c r="L33" s="96">
        <f>'3'!R30</f>
        <v>0</v>
      </c>
      <c r="M33" s="77">
        <f>'3'!J30</f>
        <v>0</v>
      </c>
      <c r="N33" s="74">
        <f>'3'!K30</f>
        <v>0</v>
      </c>
      <c r="O33" s="74"/>
      <c r="P33" s="74"/>
      <c r="Q33" s="74" t="s">
        <v>33</v>
      </c>
      <c r="T33" s="74" t="e">
        <f>DE16</f>
        <v>#DIV/0!</v>
      </c>
      <c r="AB33" s="74"/>
      <c r="AC33" s="74"/>
      <c r="AE33" s="74"/>
      <c r="AJ33" s="98" t="str">
        <f t="shared" si="27"/>
        <v>-</v>
      </c>
      <c r="AK33" s="98" t="str">
        <f t="shared" si="28"/>
        <v>-</v>
      </c>
      <c r="AL33" s="98" t="str">
        <f t="shared" si="0"/>
        <v>-</v>
      </c>
      <c r="AM33" s="98" t="str">
        <f t="shared" si="29"/>
        <v>-</v>
      </c>
      <c r="AN33" s="98" t="str">
        <f t="shared" si="30"/>
        <v>-</v>
      </c>
      <c r="AO33" s="98" t="str">
        <f t="shared" si="31"/>
        <v>-</v>
      </c>
      <c r="AP33" s="98" t="str">
        <f t="shared" si="32"/>
        <v>-</v>
      </c>
      <c r="AQ33" s="98" t="str">
        <f t="shared" si="33"/>
        <v>-</v>
      </c>
      <c r="AR33" s="98"/>
      <c r="AS33" s="98"/>
      <c r="AT33" s="103" t="e">
        <f t="shared" si="87"/>
        <v>#DIV/0!</v>
      </c>
      <c r="AU33" s="103" t="e">
        <f t="shared" si="87"/>
        <v>#DIV/0!</v>
      </c>
      <c r="AV33" s="103" t="e">
        <f t="shared" si="87"/>
        <v>#DIV/0!</v>
      </c>
      <c r="AW33" s="103" t="e">
        <f t="shared" si="87"/>
        <v>#DIV/0!</v>
      </c>
      <c r="AX33" s="74" t="str">
        <f t="shared" si="35"/>
        <v>-</v>
      </c>
      <c r="AY33" s="74">
        <f t="shared" si="36"/>
        <v>0</v>
      </c>
      <c r="AZ33" s="74">
        <f t="shared" si="37"/>
        <v>0</v>
      </c>
      <c r="BA33" s="98">
        <f t="shared" si="38"/>
        <v>0</v>
      </c>
      <c r="BB33" s="74">
        <f t="shared" si="1"/>
        <v>0</v>
      </c>
      <c r="BC33" s="74">
        <f t="shared" si="2"/>
        <v>0</v>
      </c>
      <c r="BG33" s="74">
        <f t="shared" si="39"/>
        <v>0</v>
      </c>
      <c r="BH33" s="74">
        <f t="shared" si="40"/>
        <v>0</v>
      </c>
      <c r="BI33" s="98">
        <f t="shared" si="41"/>
        <v>0</v>
      </c>
      <c r="BJ33" s="74">
        <f t="shared" si="3"/>
        <v>0</v>
      </c>
      <c r="BK33" s="74">
        <f t="shared" si="4"/>
        <v>0</v>
      </c>
      <c r="BN33" s="74">
        <f t="shared" si="42"/>
        <v>0</v>
      </c>
      <c r="BO33" s="74" t="str">
        <f t="shared" si="43"/>
        <v>-</v>
      </c>
      <c r="BP33" s="98" t="str">
        <f t="shared" si="44"/>
        <v>-</v>
      </c>
      <c r="BQ33" s="98" t="str">
        <f t="shared" si="45"/>
        <v>-</v>
      </c>
      <c r="BR33" s="98" t="str">
        <f t="shared" si="5"/>
        <v>-</v>
      </c>
      <c r="BS33" s="98" t="str">
        <f t="shared" si="6"/>
        <v>-</v>
      </c>
      <c r="BT33" s="98" t="str">
        <f t="shared" si="7"/>
        <v>-</v>
      </c>
      <c r="BU33" s="98" t="str">
        <f t="shared" si="8"/>
        <v>-</v>
      </c>
      <c r="BV33" s="98" t="str">
        <f t="shared" si="9"/>
        <v>-</v>
      </c>
      <c r="BW33" s="98" t="str">
        <f t="shared" si="10"/>
        <v>-</v>
      </c>
      <c r="BX33" s="98"/>
      <c r="BY33" s="98"/>
      <c r="BZ33" s="103" t="e">
        <f t="shared" si="88"/>
        <v>#DIV/0!</v>
      </c>
      <c r="CA33" s="103" t="e">
        <f t="shared" si="88"/>
        <v>#DIV/0!</v>
      </c>
      <c r="CB33" s="103" t="e">
        <f t="shared" si="88"/>
        <v>#DIV/0!</v>
      </c>
      <c r="CC33" s="103" t="e">
        <f t="shared" si="88"/>
        <v>#DIV/0!</v>
      </c>
      <c r="CD33" s="74" t="str">
        <f t="shared" si="11"/>
        <v>-</v>
      </c>
      <c r="CE33" s="74">
        <f t="shared" si="47"/>
        <v>0</v>
      </c>
      <c r="CF33" s="74">
        <f t="shared" si="48"/>
        <v>0</v>
      </c>
      <c r="CG33" s="98">
        <f t="shared" si="49"/>
        <v>0</v>
      </c>
      <c r="CH33" s="74">
        <f t="shared" si="12"/>
        <v>0</v>
      </c>
      <c r="CI33" s="74">
        <f t="shared" si="13"/>
        <v>0</v>
      </c>
      <c r="CM33" s="74">
        <f t="shared" si="14"/>
        <v>0</v>
      </c>
      <c r="CN33" s="74">
        <f t="shared" si="50"/>
        <v>0</v>
      </c>
      <c r="CO33" s="98">
        <f t="shared" si="51"/>
        <v>0</v>
      </c>
      <c r="CP33" s="74">
        <f t="shared" si="15"/>
        <v>0</v>
      </c>
      <c r="CQ33" s="74">
        <f t="shared" si="16"/>
        <v>0</v>
      </c>
      <c r="CV33" s="98" t="str">
        <f t="shared" si="17"/>
        <v>-</v>
      </c>
      <c r="CW33" s="95" t="str">
        <f t="shared" si="18"/>
        <v>-</v>
      </c>
      <c r="CX33" s="74" t="str">
        <f t="shared" si="52"/>
        <v>-</v>
      </c>
      <c r="CY33" s="74" t="str">
        <f t="shared" si="19"/>
        <v>-</v>
      </c>
      <c r="CZ33" s="100" t="str">
        <f t="shared" si="20"/>
        <v>-</v>
      </c>
      <c r="DA33" s="58" t="str">
        <f t="shared" si="53"/>
        <v>-</v>
      </c>
      <c r="DB33" s="58" t="str">
        <f t="shared" si="54"/>
        <v>-</v>
      </c>
      <c r="DC33" s="58" t="str">
        <f t="shared" si="55"/>
        <v>-</v>
      </c>
      <c r="DD33" s="58" t="str">
        <f t="shared" si="56"/>
        <v>-</v>
      </c>
      <c r="DH33" s="98" t="str">
        <f t="shared" si="57"/>
        <v>-</v>
      </c>
      <c r="DI33" s="98" t="str">
        <f t="shared" si="58"/>
        <v>-</v>
      </c>
      <c r="DJ33" s="74" t="str">
        <f t="shared" si="59"/>
        <v>-</v>
      </c>
      <c r="DK33" s="74" t="str">
        <f t="shared" si="59"/>
        <v>-</v>
      </c>
      <c r="DL33" s="100" t="str">
        <f t="shared" si="22"/>
        <v>-</v>
      </c>
      <c r="DM33" s="58" t="str">
        <f t="shared" si="60"/>
        <v>-</v>
      </c>
      <c r="DN33" s="58" t="str">
        <f t="shared" si="61"/>
        <v>-</v>
      </c>
      <c r="DO33" s="58" t="str">
        <f t="shared" si="62"/>
        <v>-</v>
      </c>
      <c r="DP33" s="58" t="str">
        <f t="shared" si="63"/>
        <v>-</v>
      </c>
      <c r="DQ33" s="100"/>
      <c r="DR33" s="100"/>
      <c r="DT33" s="98" t="str">
        <f t="shared" si="86"/>
        <v>-</v>
      </c>
      <c r="DU33" s="98" t="str">
        <f t="shared" si="64"/>
        <v>-</v>
      </c>
      <c r="DV33" s="74" t="str">
        <f t="shared" si="65"/>
        <v>-</v>
      </c>
      <c r="DW33" s="74" t="str">
        <f t="shared" si="65"/>
        <v>-</v>
      </c>
      <c r="DX33" s="100" t="str">
        <f t="shared" si="24"/>
        <v>-</v>
      </c>
      <c r="DY33" s="58" t="str">
        <f t="shared" si="66"/>
        <v>-</v>
      </c>
      <c r="DZ33" s="58" t="str">
        <f t="shared" si="67"/>
        <v>-</v>
      </c>
      <c r="EA33" s="58" t="str">
        <f t="shared" si="68"/>
        <v>-</v>
      </c>
      <c r="EB33" s="58" t="str">
        <f t="shared" si="69"/>
        <v>-</v>
      </c>
      <c r="EC33" s="100"/>
      <c r="ED33" s="100"/>
      <c r="EF33" s="98" t="str">
        <f t="shared" si="70"/>
        <v>-</v>
      </c>
      <c r="EG33" s="98" t="str">
        <f t="shared" si="71"/>
        <v>-</v>
      </c>
      <c r="EH33" s="74" t="str">
        <f t="shared" si="72"/>
        <v>-</v>
      </c>
      <c r="EI33" s="74" t="str">
        <f t="shared" si="72"/>
        <v>-</v>
      </c>
      <c r="EJ33" s="100" t="str">
        <f t="shared" si="26"/>
        <v>-</v>
      </c>
      <c r="EK33" s="58" t="str">
        <f t="shared" si="73"/>
        <v>-</v>
      </c>
      <c r="EL33" s="58" t="str">
        <f t="shared" si="74"/>
        <v>-</v>
      </c>
      <c r="EM33" s="58" t="str">
        <f t="shared" si="75"/>
        <v>-</v>
      </c>
      <c r="EN33" s="58" t="str">
        <f t="shared" si="76"/>
        <v>-</v>
      </c>
      <c r="EO33" s="100"/>
      <c r="EP33" s="100"/>
      <c r="ER33" s="79" t="str">
        <f t="shared" si="77"/>
        <v>-</v>
      </c>
      <c r="ES33" s="79" t="str">
        <f t="shared" si="78"/>
        <v>-</v>
      </c>
      <c r="ET33" s="79" t="str">
        <f t="shared" si="79"/>
        <v>-</v>
      </c>
      <c r="EU33" s="79" t="str">
        <f t="shared" si="80"/>
        <v>-</v>
      </c>
      <c r="EY33" s="74" t="str">
        <f>IF(E33=0,"-",LARGE(E6:E50,28))</f>
        <v>-</v>
      </c>
      <c r="EZ33" s="77" t="str">
        <f t="shared" si="81"/>
        <v>-</v>
      </c>
      <c r="FA33" s="77">
        <f t="shared" si="82"/>
        <v>0</v>
      </c>
      <c r="FB33" s="77" t="str">
        <f t="shared" si="83"/>
        <v>-</v>
      </c>
      <c r="FC33" s="77" t="str">
        <f>IF(FB33="-","-",SMALL(FB6:FB50,28))</f>
        <v>-</v>
      </c>
    </row>
    <row r="34" spans="1:159" s="77" customFormat="1">
      <c r="A34" s="74"/>
      <c r="B34" s="77" t="str">
        <f>IF(Main!$BL$5&gt;28,"x","")</f>
        <v/>
      </c>
      <c r="C34" s="95">
        <f>'1'!R31</f>
        <v>0</v>
      </c>
      <c r="D34" s="96">
        <f>'1'!J31</f>
        <v>0</v>
      </c>
      <c r="E34" s="96">
        <f>'1'!K31</f>
        <v>0</v>
      </c>
      <c r="G34" s="77" t="str">
        <f>IF(Main!$BN$5&gt;28,"x","")</f>
        <v/>
      </c>
      <c r="H34" s="74"/>
      <c r="I34" s="74"/>
      <c r="J34" s="74"/>
      <c r="K34" s="74"/>
      <c r="L34" s="96">
        <f>'3'!R31</f>
        <v>0</v>
      </c>
      <c r="M34" s="77">
        <f>'3'!J31</f>
        <v>0</v>
      </c>
      <c r="N34" s="74">
        <f>'3'!K31</f>
        <v>0</v>
      </c>
      <c r="O34" s="74"/>
      <c r="P34" s="74"/>
      <c r="Q34" s="74" t="s">
        <v>34</v>
      </c>
      <c r="T34" s="74" t="e">
        <f>DE17</f>
        <v>#DIV/0!</v>
      </c>
      <c r="AB34" s="74"/>
      <c r="AC34" s="74"/>
      <c r="AE34" s="74"/>
      <c r="AJ34" s="98" t="str">
        <f t="shared" si="27"/>
        <v>-</v>
      </c>
      <c r="AK34" s="98" t="str">
        <f t="shared" si="28"/>
        <v>-</v>
      </c>
      <c r="AL34" s="98" t="str">
        <f t="shared" si="0"/>
        <v>-</v>
      </c>
      <c r="AM34" s="98" t="str">
        <f t="shared" si="29"/>
        <v>-</v>
      </c>
      <c r="AN34" s="98" t="str">
        <f t="shared" si="30"/>
        <v>-</v>
      </c>
      <c r="AO34" s="98" t="str">
        <f t="shared" si="31"/>
        <v>-</v>
      </c>
      <c r="AP34" s="98" t="str">
        <f t="shared" si="32"/>
        <v>-</v>
      </c>
      <c r="AQ34" s="98" t="str">
        <f t="shared" si="33"/>
        <v>-</v>
      </c>
      <c r="AR34" s="98"/>
      <c r="AS34" s="98"/>
      <c r="AT34" s="103" t="e">
        <f t="shared" si="87"/>
        <v>#DIV/0!</v>
      </c>
      <c r="AU34" s="103" t="e">
        <f t="shared" si="87"/>
        <v>#DIV/0!</v>
      </c>
      <c r="AV34" s="103" t="e">
        <f t="shared" si="87"/>
        <v>#DIV/0!</v>
      </c>
      <c r="AW34" s="103" t="e">
        <f t="shared" si="87"/>
        <v>#DIV/0!</v>
      </c>
      <c r="AX34" s="74" t="str">
        <f t="shared" si="35"/>
        <v>-</v>
      </c>
      <c r="AY34" s="74">
        <f t="shared" si="36"/>
        <v>0</v>
      </c>
      <c r="AZ34" s="74">
        <f t="shared" si="37"/>
        <v>0</v>
      </c>
      <c r="BA34" s="98">
        <f t="shared" si="38"/>
        <v>0</v>
      </c>
      <c r="BB34" s="74">
        <f t="shared" si="1"/>
        <v>0</v>
      </c>
      <c r="BC34" s="74">
        <f t="shared" si="2"/>
        <v>0</v>
      </c>
      <c r="BG34" s="74">
        <f t="shared" si="39"/>
        <v>0</v>
      </c>
      <c r="BH34" s="74">
        <f t="shared" si="40"/>
        <v>0</v>
      </c>
      <c r="BI34" s="98">
        <f t="shared" si="41"/>
        <v>0</v>
      </c>
      <c r="BJ34" s="74">
        <f t="shared" si="3"/>
        <v>0</v>
      </c>
      <c r="BK34" s="74">
        <f t="shared" si="4"/>
        <v>0</v>
      </c>
      <c r="BN34" s="74">
        <f t="shared" si="42"/>
        <v>0</v>
      </c>
      <c r="BO34" s="74" t="str">
        <f t="shared" si="43"/>
        <v>-</v>
      </c>
      <c r="BP34" s="98" t="str">
        <f t="shared" si="44"/>
        <v>-</v>
      </c>
      <c r="BQ34" s="98" t="str">
        <f t="shared" si="45"/>
        <v>-</v>
      </c>
      <c r="BR34" s="98" t="str">
        <f t="shared" si="5"/>
        <v>-</v>
      </c>
      <c r="BS34" s="98" t="str">
        <f t="shared" si="6"/>
        <v>-</v>
      </c>
      <c r="BT34" s="98" t="str">
        <f t="shared" si="7"/>
        <v>-</v>
      </c>
      <c r="BU34" s="98" t="str">
        <f t="shared" si="8"/>
        <v>-</v>
      </c>
      <c r="BV34" s="98" t="str">
        <f t="shared" si="9"/>
        <v>-</v>
      </c>
      <c r="BW34" s="98" t="str">
        <f t="shared" si="10"/>
        <v>-</v>
      </c>
      <c r="BX34" s="98"/>
      <c r="BY34" s="98"/>
      <c r="BZ34" s="103" t="e">
        <f t="shared" si="88"/>
        <v>#DIV/0!</v>
      </c>
      <c r="CA34" s="103" t="e">
        <f t="shared" si="88"/>
        <v>#DIV/0!</v>
      </c>
      <c r="CB34" s="103" t="e">
        <f t="shared" si="88"/>
        <v>#DIV/0!</v>
      </c>
      <c r="CC34" s="103" t="e">
        <f t="shared" si="88"/>
        <v>#DIV/0!</v>
      </c>
      <c r="CD34" s="74" t="str">
        <f t="shared" si="11"/>
        <v>-</v>
      </c>
      <c r="CE34" s="74">
        <f t="shared" si="47"/>
        <v>0</v>
      </c>
      <c r="CF34" s="74">
        <f t="shared" si="48"/>
        <v>0</v>
      </c>
      <c r="CG34" s="98">
        <f t="shared" si="49"/>
        <v>0</v>
      </c>
      <c r="CH34" s="74">
        <f t="shared" si="12"/>
        <v>0</v>
      </c>
      <c r="CI34" s="74">
        <f t="shared" si="13"/>
        <v>0</v>
      </c>
      <c r="CM34" s="74">
        <f t="shared" si="14"/>
        <v>0</v>
      </c>
      <c r="CN34" s="74">
        <f t="shared" si="50"/>
        <v>0</v>
      </c>
      <c r="CO34" s="98">
        <f t="shared" si="51"/>
        <v>0</v>
      </c>
      <c r="CP34" s="74">
        <f t="shared" si="15"/>
        <v>0</v>
      </c>
      <c r="CQ34" s="74">
        <f t="shared" si="16"/>
        <v>0</v>
      </c>
      <c r="CV34" s="98" t="str">
        <f t="shared" si="17"/>
        <v>-</v>
      </c>
      <c r="CW34" s="95" t="str">
        <f t="shared" si="18"/>
        <v>-</v>
      </c>
      <c r="CX34" s="74" t="str">
        <f t="shared" si="52"/>
        <v>-</v>
      </c>
      <c r="CY34" s="74" t="str">
        <f t="shared" si="19"/>
        <v>-</v>
      </c>
      <c r="CZ34" s="100" t="str">
        <f t="shared" si="20"/>
        <v>-</v>
      </c>
      <c r="DA34" s="58" t="str">
        <f t="shared" si="53"/>
        <v>-</v>
      </c>
      <c r="DB34" s="58" t="str">
        <f t="shared" si="54"/>
        <v>-</v>
      </c>
      <c r="DC34" s="58" t="str">
        <f t="shared" si="55"/>
        <v>-</v>
      </c>
      <c r="DD34" s="58" t="str">
        <f t="shared" si="56"/>
        <v>-</v>
      </c>
      <c r="DH34" s="98" t="str">
        <f t="shared" si="57"/>
        <v>-</v>
      </c>
      <c r="DI34" s="98" t="str">
        <f t="shared" si="58"/>
        <v>-</v>
      </c>
      <c r="DJ34" s="74" t="str">
        <f t="shared" si="59"/>
        <v>-</v>
      </c>
      <c r="DK34" s="74" t="str">
        <f t="shared" si="59"/>
        <v>-</v>
      </c>
      <c r="DL34" s="100" t="str">
        <f t="shared" si="22"/>
        <v>-</v>
      </c>
      <c r="DM34" s="58" t="str">
        <f t="shared" si="60"/>
        <v>-</v>
      </c>
      <c r="DN34" s="58" t="str">
        <f t="shared" si="61"/>
        <v>-</v>
      </c>
      <c r="DO34" s="58" t="str">
        <f t="shared" si="62"/>
        <v>-</v>
      </c>
      <c r="DP34" s="58" t="str">
        <f t="shared" si="63"/>
        <v>-</v>
      </c>
      <c r="DQ34" s="100"/>
      <c r="DR34" s="100"/>
      <c r="DT34" s="98" t="str">
        <f t="shared" si="86"/>
        <v>-</v>
      </c>
      <c r="DU34" s="98" t="str">
        <f t="shared" si="64"/>
        <v>-</v>
      </c>
      <c r="DV34" s="74" t="str">
        <f t="shared" si="65"/>
        <v>-</v>
      </c>
      <c r="DW34" s="74" t="str">
        <f t="shared" si="65"/>
        <v>-</v>
      </c>
      <c r="DX34" s="100" t="str">
        <f t="shared" si="24"/>
        <v>-</v>
      </c>
      <c r="DY34" s="58" t="str">
        <f t="shared" si="66"/>
        <v>-</v>
      </c>
      <c r="DZ34" s="58" t="str">
        <f t="shared" si="67"/>
        <v>-</v>
      </c>
      <c r="EA34" s="58" t="str">
        <f t="shared" si="68"/>
        <v>-</v>
      </c>
      <c r="EB34" s="58" t="str">
        <f t="shared" si="69"/>
        <v>-</v>
      </c>
      <c r="EC34" s="100"/>
      <c r="ED34" s="100"/>
      <c r="EF34" s="98" t="str">
        <f t="shared" si="70"/>
        <v>-</v>
      </c>
      <c r="EG34" s="98" t="str">
        <f t="shared" si="71"/>
        <v>-</v>
      </c>
      <c r="EH34" s="74" t="str">
        <f t="shared" si="72"/>
        <v>-</v>
      </c>
      <c r="EI34" s="74" t="str">
        <f t="shared" si="72"/>
        <v>-</v>
      </c>
      <c r="EJ34" s="100" t="str">
        <f t="shared" si="26"/>
        <v>-</v>
      </c>
      <c r="EK34" s="58" t="str">
        <f t="shared" si="73"/>
        <v>-</v>
      </c>
      <c r="EL34" s="58" t="str">
        <f t="shared" si="74"/>
        <v>-</v>
      </c>
      <c r="EM34" s="58" t="str">
        <f t="shared" si="75"/>
        <v>-</v>
      </c>
      <c r="EN34" s="58" t="str">
        <f t="shared" si="76"/>
        <v>-</v>
      </c>
      <c r="EO34" s="100"/>
      <c r="EP34" s="100"/>
      <c r="ER34" s="79" t="str">
        <f t="shared" si="77"/>
        <v>-</v>
      </c>
      <c r="ES34" s="79" t="str">
        <f t="shared" si="78"/>
        <v>-</v>
      </c>
      <c r="ET34" s="79" t="str">
        <f t="shared" si="79"/>
        <v>-</v>
      </c>
      <c r="EU34" s="79" t="str">
        <f t="shared" si="80"/>
        <v>-</v>
      </c>
      <c r="EY34" s="74" t="str">
        <f>IF(E34=0,"-",LARGE(E6:E50,29))</f>
        <v>-</v>
      </c>
      <c r="EZ34" s="77" t="str">
        <f t="shared" si="81"/>
        <v>-</v>
      </c>
      <c r="FA34" s="77">
        <f t="shared" si="82"/>
        <v>0</v>
      </c>
      <c r="FB34" s="77" t="str">
        <f t="shared" si="83"/>
        <v>-</v>
      </c>
      <c r="FC34" s="77" t="str">
        <f>IF(FB34="-","-",SMALL(FB6:FB50,29))</f>
        <v>-</v>
      </c>
    </row>
    <row r="35" spans="1:159" s="77" customFormat="1">
      <c r="B35" s="77" t="str">
        <f>IF(Main!$BL$5&gt;29,"x","")</f>
        <v/>
      </c>
      <c r="C35" s="95">
        <f>'1'!R32</f>
        <v>0</v>
      </c>
      <c r="D35" s="96">
        <f>'1'!J32</f>
        <v>0</v>
      </c>
      <c r="E35" s="96">
        <f>'1'!K32</f>
        <v>0</v>
      </c>
      <c r="G35" s="77" t="str">
        <f>IF(Main!$BN$5&gt;29,"x","")</f>
        <v/>
      </c>
      <c r="L35" s="96">
        <f>'3'!R32</f>
        <v>0</v>
      </c>
      <c r="M35" s="77">
        <f>'3'!J32</f>
        <v>0</v>
      </c>
      <c r="N35" s="74">
        <f>'3'!K32</f>
        <v>0</v>
      </c>
      <c r="O35" s="74"/>
      <c r="Q35" s="74" t="s">
        <v>35</v>
      </c>
      <c r="T35" s="74" t="e">
        <f>DE18</f>
        <v>#DIV/0!</v>
      </c>
      <c r="AB35" s="74"/>
      <c r="AC35" s="74"/>
      <c r="AE35" s="74"/>
      <c r="AJ35" s="98" t="str">
        <f t="shared" si="27"/>
        <v>-</v>
      </c>
      <c r="AK35" s="98" t="str">
        <f t="shared" si="28"/>
        <v>-</v>
      </c>
      <c r="AL35" s="98" t="str">
        <f t="shared" si="0"/>
        <v>-</v>
      </c>
      <c r="AM35" s="98" t="str">
        <f t="shared" si="29"/>
        <v>-</v>
      </c>
      <c r="AN35" s="98" t="str">
        <f t="shared" si="30"/>
        <v>-</v>
      </c>
      <c r="AO35" s="98" t="str">
        <f t="shared" si="31"/>
        <v>-</v>
      </c>
      <c r="AP35" s="98" t="str">
        <f t="shared" si="32"/>
        <v>-</v>
      </c>
      <c r="AQ35" s="98" t="str">
        <f t="shared" si="33"/>
        <v>-</v>
      </c>
      <c r="AR35" s="98"/>
      <c r="AS35" s="98"/>
      <c r="AT35" s="103" t="e">
        <f t="shared" si="87"/>
        <v>#DIV/0!</v>
      </c>
      <c r="AU35" s="103" t="e">
        <f t="shared" si="87"/>
        <v>#DIV/0!</v>
      </c>
      <c r="AV35" s="103" t="e">
        <f t="shared" si="87"/>
        <v>#DIV/0!</v>
      </c>
      <c r="AW35" s="103" t="e">
        <f t="shared" si="87"/>
        <v>#DIV/0!</v>
      </c>
      <c r="AX35" s="74" t="str">
        <f t="shared" si="35"/>
        <v>-</v>
      </c>
      <c r="AY35" s="74">
        <f t="shared" si="36"/>
        <v>0</v>
      </c>
      <c r="AZ35" s="74">
        <f t="shared" si="37"/>
        <v>0</v>
      </c>
      <c r="BA35" s="98">
        <f t="shared" si="38"/>
        <v>0</v>
      </c>
      <c r="BB35" s="74">
        <f t="shared" si="1"/>
        <v>0</v>
      </c>
      <c r="BC35" s="74">
        <f t="shared" si="2"/>
        <v>0</v>
      </c>
      <c r="BE35" s="79"/>
      <c r="BG35" s="74">
        <f t="shared" si="39"/>
        <v>0</v>
      </c>
      <c r="BH35" s="74">
        <f t="shared" si="40"/>
        <v>0</v>
      </c>
      <c r="BI35" s="98">
        <f t="shared" si="41"/>
        <v>0</v>
      </c>
      <c r="BJ35" s="74">
        <f t="shared" si="3"/>
        <v>0</v>
      </c>
      <c r="BK35" s="74">
        <f t="shared" si="4"/>
        <v>0</v>
      </c>
      <c r="BM35" s="79"/>
      <c r="BN35" s="74">
        <f t="shared" si="42"/>
        <v>0</v>
      </c>
      <c r="BO35" s="74" t="str">
        <f t="shared" si="43"/>
        <v>-</v>
      </c>
      <c r="BP35" s="98" t="str">
        <f t="shared" si="44"/>
        <v>-</v>
      </c>
      <c r="BQ35" s="98" t="str">
        <f t="shared" si="45"/>
        <v>-</v>
      </c>
      <c r="BR35" s="98" t="str">
        <f t="shared" si="5"/>
        <v>-</v>
      </c>
      <c r="BS35" s="98" t="str">
        <f t="shared" si="6"/>
        <v>-</v>
      </c>
      <c r="BT35" s="98" t="str">
        <f t="shared" si="7"/>
        <v>-</v>
      </c>
      <c r="BU35" s="98" t="str">
        <f t="shared" si="8"/>
        <v>-</v>
      </c>
      <c r="BV35" s="98" t="str">
        <f t="shared" si="9"/>
        <v>-</v>
      </c>
      <c r="BW35" s="98" t="str">
        <f t="shared" si="10"/>
        <v>-</v>
      </c>
      <c r="BX35" s="98"/>
      <c r="BY35" s="98"/>
      <c r="BZ35" s="103" t="e">
        <f t="shared" si="88"/>
        <v>#DIV/0!</v>
      </c>
      <c r="CA35" s="103" t="e">
        <f t="shared" si="88"/>
        <v>#DIV/0!</v>
      </c>
      <c r="CB35" s="103" t="e">
        <f t="shared" si="88"/>
        <v>#DIV/0!</v>
      </c>
      <c r="CC35" s="103" t="e">
        <f t="shared" si="88"/>
        <v>#DIV/0!</v>
      </c>
      <c r="CD35" s="74" t="str">
        <f t="shared" si="11"/>
        <v>-</v>
      </c>
      <c r="CE35" s="74">
        <f t="shared" si="47"/>
        <v>0</v>
      </c>
      <c r="CF35" s="74">
        <f t="shared" si="48"/>
        <v>0</v>
      </c>
      <c r="CG35" s="98">
        <f t="shared" si="49"/>
        <v>0</v>
      </c>
      <c r="CH35" s="74">
        <f t="shared" si="12"/>
        <v>0</v>
      </c>
      <c r="CI35" s="74">
        <f t="shared" si="13"/>
        <v>0</v>
      </c>
      <c r="CK35" s="79"/>
      <c r="CM35" s="74">
        <f t="shared" si="14"/>
        <v>0</v>
      </c>
      <c r="CN35" s="74">
        <f t="shared" si="50"/>
        <v>0</v>
      </c>
      <c r="CO35" s="98">
        <f t="shared" si="51"/>
        <v>0</v>
      </c>
      <c r="CP35" s="74">
        <f t="shared" si="15"/>
        <v>0</v>
      </c>
      <c r="CQ35" s="74">
        <f t="shared" si="16"/>
        <v>0</v>
      </c>
      <c r="CS35" s="79"/>
      <c r="CV35" s="98" t="str">
        <f t="shared" si="17"/>
        <v>-</v>
      </c>
      <c r="CW35" s="95" t="str">
        <f t="shared" si="18"/>
        <v>-</v>
      </c>
      <c r="CX35" s="74" t="str">
        <f t="shared" si="52"/>
        <v>-</v>
      </c>
      <c r="CY35" s="74" t="str">
        <f t="shared" si="19"/>
        <v>-</v>
      </c>
      <c r="CZ35" s="100" t="str">
        <f t="shared" si="20"/>
        <v>-</v>
      </c>
      <c r="DA35" s="58" t="str">
        <f t="shared" si="53"/>
        <v>-</v>
      </c>
      <c r="DB35" s="58" t="str">
        <f t="shared" si="54"/>
        <v>-</v>
      </c>
      <c r="DC35" s="58" t="str">
        <f t="shared" si="55"/>
        <v>-</v>
      </c>
      <c r="DD35" s="58" t="str">
        <f t="shared" si="56"/>
        <v>-</v>
      </c>
      <c r="DH35" s="98" t="str">
        <f t="shared" si="57"/>
        <v>-</v>
      </c>
      <c r="DI35" s="98" t="str">
        <f t="shared" si="58"/>
        <v>-</v>
      </c>
      <c r="DJ35" s="74" t="str">
        <f t="shared" si="59"/>
        <v>-</v>
      </c>
      <c r="DK35" s="74" t="str">
        <f t="shared" si="59"/>
        <v>-</v>
      </c>
      <c r="DL35" s="100" t="str">
        <f t="shared" si="22"/>
        <v>-</v>
      </c>
      <c r="DM35" s="58" t="str">
        <f t="shared" si="60"/>
        <v>-</v>
      </c>
      <c r="DN35" s="58" t="str">
        <f t="shared" si="61"/>
        <v>-</v>
      </c>
      <c r="DO35" s="58" t="str">
        <f t="shared" si="62"/>
        <v>-</v>
      </c>
      <c r="DP35" s="58" t="str">
        <f t="shared" si="63"/>
        <v>-</v>
      </c>
      <c r="DQ35" s="100"/>
      <c r="DR35" s="100"/>
      <c r="DT35" s="98" t="str">
        <f t="shared" si="86"/>
        <v>-</v>
      </c>
      <c r="DU35" s="98" t="str">
        <f t="shared" si="64"/>
        <v>-</v>
      </c>
      <c r="DV35" s="74" t="str">
        <f t="shared" si="65"/>
        <v>-</v>
      </c>
      <c r="DW35" s="74" t="str">
        <f t="shared" si="65"/>
        <v>-</v>
      </c>
      <c r="DX35" s="100" t="str">
        <f t="shared" si="24"/>
        <v>-</v>
      </c>
      <c r="DY35" s="58" t="str">
        <f t="shared" si="66"/>
        <v>-</v>
      </c>
      <c r="DZ35" s="58" t="str">
        <f t="shared" si="67"/>
        <v>-</v>
      </c>
      <c r="EA35" s="58" t="str">
        <f t="shared" si="68"/>
        <v>-</v>
      </c>
      <c r="EB35" s="58" t="str">
        <f t="shared" si="69"/>
        <v>-</v>
      </c>
      <c r="EC35" s="100"/>
      <c r="ED35" s="100"/>
      <c r="EF35" s="98" t="str">
        <f t="shared" si="70"/>
        <v>-</v>
      </c>
      <c r="EG35" s="98" t="str">
        <f t="shared" si="71"/>
        <v>-</v>
      </c>
      <c r="EH35" s="74" t="str">
        <f t="shared" si="72"/>
        <v>-</v>
      </c>
      <c r="EI35" s="74" t="str">
        <f t="shared" si="72"/>
        <v>-</v>
      </c>
      <c r="EJ35" s="100" t="str">
        <f t="shared" si="26"/>
        <v>-</v>
      </c>
      <c r="EK35" s="58" t="str">
        <f t="shared" si="73"/>
        <v>-</v>
      </c>
      <c r="EL35" s="58" t="str">
        <f t="shared" si="74"/>
        <v>-</v>
      </c>
      <c r="EM35" s="58" t="str">
        <f t="shared" si="75"/>
        <v>-</v>
      </c>
      <c r="EN35" s="58" t="str">
        <f t="shared" si="76"/>
        <v>-</v>
      </c>
      <c r="EO35" s="100"/>
      <c r="EP35" s="100"/>
      <c r="ER35" s="79" t="str">
        <f t="shared" si="77"/>
        <v>-</v>
      </c>
      <c r="ES35" s="79" t="str">
        <f t="shared" si="78"/>
        <v>-</v>
      </c>
      <c r="ET35" s="79" t="str">
        <f t="shared" si="79"/>
        <v>-</v>
      </c>
      <c r="EU35" s="79" t="str">
        <f t="shared" si="80"/>
        <v>-</v>
      </c>
      <c r="EY35" s="74" t="str">
        <f>IF(E35=0,"-",LARGE(E6:E50,30))</f>
        <v>-</v>
      </c>
      <c r="EZ35" s="77" t="str">
        <f t="shared" si="81"/>
        <v>-</v>
      </c>
      <c r="FA35" s="77">
        <f t="shared" si="82"/>
        <v>0</v>
      </c>
      <c r="FB35" s="77" t="str">
        <f t="shared" si="83"/>
        <v>-</v>
      </c>
      <c r="FC35" s="77" t="str">
        <f>IF(FB35="-","-",SMALL(FB6:FB50,30))</f>
        <v>-</v>
      </c>
    </row>
    <row r="36" spans="1:159" s="77" customFormat="1">
      <c r="B36" s="77" t="str">
        <f>IF(Main!$BL$5&gt;30,"x","")</f>
        <v/>
      </c>
      <c r="C36" s="95">
        <f>'1'!R33</f>
        <v>0</v>
      </c>
      <c r="D36" s="96">
        <f>'1'!J33</f>
        <v>0</v>
      </c>
      <c r="E36" s="96">
        <f>'1'!K33</f>
        <v>0</v>
      </c>
      <c r="G36" s="77" t="str">
        <f>IF(Main!$BN$5&gt;30,"x","")</f>
        <v/>
      </c>
      <c r="L36" s="96">
        <f>'3'!R33</f>
        <v>0</v>
      </c>
      <c r="M36" s="77">
        <f>'3'!J33</f>
        <v>0</v>
      </c>
      <c r="N36" s="74">
        <f>'3'!K33</f>
        <v>0</v>
      </c>
      <c r="Q36" s="74" t="s">
        <v>36</v>
      </c>
      <c r="T36" s="74" t="e">
        <f>EC15</f>
        <v>#DIV/0!</v>
      </c>
      <c r="AJ36" s="98" t="str">
        <f t="shared" si="27"/>
        <v>-</v>
      </c>
      <c r="AK36" s="98" t="str">
        <f t="shared" si="28"/>
        <v>-</v>
      </c>
      <c r="AL36" s="98" t="str">
        <f t="shared" si="0"/>
        <v>-</v>
      </c>
      <c r="AM36" s="98" t="str">
        <f t="shared" si="29"/>
        <v>-</v>
      </c>
      <c r="AN36" s="98" t="str">
        <f t="shared" si="30"/>
        <v>-</v>
      </c>
      <c r="AO36" s="98" t="str">
        <f t="shared" si="31"/>
        <v>-</v>
      </c>
      <c r="AP36" s="98" t="str">
        <f t="shared" si="32"/>
        <v>-</v>
      </c>
      <c r="AQ36" s="98" t="str">
        <f t="shared" si="33"/>
        <v>-</v>
      </c>
      <c r="AT36" s="103" t="e">
        <f t="shared" si="87"/>
        <v>#DIV/0!</v>
      </c>
      <c r="AU36" s="103" t="e">
        <f t="shared" si="87"/>
        <v>#DIV/0!</v>
      </c>
      <c r="AV36" s="103" t="e">
        <f t="shared" si="87"/>
        <v>#DIV/0!</v>
      </c>
      <c r="AW36" s="103" t="e">
        <f t="shared" si="87"/>
        <v>#DIV/0!</v>
      </c>
      <c r="AX36" s="74" t="str">
        <f t="shared" si="35"/>
        <v>-</v>
      </c>
      <c r="AY36" s="74">
        <f t="shared" si="36"/>
        <v>0</v>
      </c>
      <c r="AZ36" s="74">
        <f t="shared" si="37"/>
        <v>0</v>
      </c>
      <c r="BA36" s="98">
        <f t="shared" si="38"/>
        <v>0</v>
      </c>
      <c r="BB36" s="74">
        <f t="shared" si="1"/>
        <v>0</v>
      </c>
      <c r="BC36" s="74">
        <f t="shared" si="2"/>
        <v>0</v>
      </c>
      <c r="BG36" s="74">
        <f t="shared" si="39"/>
        <v>0</v>
      </c>
      <c r="BH36" s="74">
        <f t="shared" si="40"/>
        <v>0</v>
      </c>
      <c r="BI36" s="98">
        <f t="shared" si="41"/>
        <v>0</v>
      </c>
      <c r="BJ36" s="74">
        <f t="shared" si="3"/>
        <v>0</v>
      </c>
      <c r="BK36" s="74">
        <f t="shared" si="4"/>
        <v>0</v>
      </c>
      <c r="BN36" s="74">
        <f t="shared" si="42"/>
        <v>0</v>
      </c>
      <c r="BO36" s="74" t="str">
        <f t="shared" si="43"/>
        <v>-</v>
      </c>
      <c r="BP36" s="98" t="str">
        <f t="shared" si="44"/>
        <v>-</v>
      </c>
      <c r="BQ36" s="98" t="str">
        <f t="shared" si="45"/>
        <v>-</v>
      </c>
      <c r="BR36" s="98" t="str">
        <f t="shared" si="5"/>
        <v>-</v>
      </c>
      <c r="BS36" s="98" t="str">
        <f t="shared" si="6"/>
        <v>-</v>
      </c>
      <c r="BT36" s="98" t="str">
        <f t="shared" si="7"/>
        <v>-</v>
      </c>
      <c r="BU36" s="98" t="str">
        <f t="shared" si="8"/>
        <v>-</v>
      </c>
      <c r="BV36" s="98" t="str">
        <f t="shared" si="9"/>
        <v>-</v>
      </c>
      <c r="BW36" s="98" t="str">
        <f t="shared" si="10"/>
        <v>-</v>
      </c>
      <c r="BZ36" s="103" t="e">
        <f t="shared" si="88"/>
        <v>#DIV/0!</v>
      </c>
      <c r="CA36" s="103" t="e">
        <f t="shared" si="88"/>
        <v>#DIV/0!</v>
      </c>
      <c r="CB36" s="103" t="e">
        <f t="shared" si="88"/>
        <v>#DIV/0!</v>
      </c>
      <c r="CC36" s="103" t="e">
        <f t="shared" si="88"/>
        <v>#DIV/0!</v>
      </c>
      <c r="CD36" s="74" t="str">
        <f t="shared" si="11"/>
        <v>-</v>
      </c>
      <c r="CE36" s="74">
        <f t="shared" si="47"/>
        <v>0</v>
      </c>
      <c r="CF36" s="74">
        <f t="shared" si="48"/>
        <v>0</v>
      </c>
      <c r="CG36" s="98">
        <f t="shared" si="49"/>
        <v>0</v>
      </c>
      <c r="CH36" s="74">
        <f t="shared" si="12"/>
        <v>0</v>
      </c>
      <c r="CI36" s="74">
        <f t="shared" si="13"/>
        <v>0</v>
      </c>
      <c r="CM36" s="74">
        <f t="shared" si="14"/>
        <v>0</v>
      </c>
      <c r="CN36" s="74">
        <f t="shared" si="50"/>
        <v>0</v>
      </c>
      <c r="CO36" s="98">
        <f t="shared" si="51"/>
        <v>0</v>
      </c>
      <c r="CP36" s="74">
        <f t="shared" si="15"/>
        <v>0</v>
      </c>
      <c r="CQ36" s="74">
        <f t="shared" si="16"/>
        <v>0</v>
      </c>
      <c r="CV36" s="98" t="str">
        <f t="shared" si="17"/>
        <v>-</v>
      </c>
      <c r="CW36" s="95" t="str">
        <f t="shared" si="18"/>
        <v>-</v>
      </c>
      <c r="CX36" s="74" t="str">
        <f t="shared" si="52"/>
        <v>-</v>
      </c>
      <c r="CY36" s="74" t="str">
        <f t="shared" si="19"/>
        <v>-</v>
      </c>
      <c r="CZ36" s="100" t="str">
        <f t="shared" si="20"/>
        <v>-</v>
      </c>
      <c r="DA36" s="58" t="str">
        <f t="shared" si="53"/>
        <v>-</v>
      </c>
      <c r="DB36" s="58" t="str">
        <f t="shared" si="54"/>
        <v>-</v>
      </c>
      <c r="DC36" s="58" t="str">
        <f t="shared" si="55"/>
        <v>-</v>
      </c>
      <c r="DD36" s="58" t="str">
        <f t="shared" si="56"/>
        <v>-</v>
      </c>
      <c r="DH36" s="98" t="str">
        <f t="shared" si="57"/>
        <v>-</v>
      </c>
      <c r="DI36" s="98" t="str">
        <f t="shared" si="58"/>
        <v>-</v>
      </c>
      <c r="DJ36" s="74" t="str">
        <f t="shared" ref="DJ36:DK50" si="89">CX36</f>
        <v>-</v>
      </c>
      <c r="DK36" s="74" t="str">
        <f t="shared" si="89"/>
        <v>-</v>
      </c>
      <c r="DL36" s="100" t="str">
        <f t="shared" si="22"/>
        <v>-</v>
      </c>
      <c r="DM36" s="58" t="str">
        <f t="shared" si="60"/>
        <v>-</v>
      </c>
      <c r="DN36" s="58" t="str">
        <f t="shared" si="61"/>
        <v>-</v>
      </c>
      <c r="DO36" s="58" t="str">
        <f t="shared" si="62"/>
        <v>-</v>
      </c>
      <c r="DP36" s="58" t="str">
        <f t="shared" si="63"/>
        <v>-</v>
      </c>
      <c r="DQ36" s="100"/>
      <c r="DR36" s="100"/>
      <c r="DT36" s="98" t="str">
        <f t="shared" si="86"/>
        <v>-</v>
      </c>
      <c r="DU36" s="98" t="str">
        <f t="shared" si="64"/>
        <v>-</v>
      </c>
      <c r="DV36" s="74" t="str">
        <f t="shared" ref="DV36:DW50" si="90">DJ36</f>
        <v>-</v>
      </c>
      <c r="DW36" s="74" t="str">
        <f t="shared" si="90"/>
        <v>-</v>
      </c>
      <c r="DX36" s="100" t="str">
        <f t="shared" si="24"/>
        <v>-</v>
      </c>
      <c r="DY36" s="58" t="str">
        <f t="shared" si="66"/>
        <v>-</v>
      </c>
      <c r="DZ36" s="58" t="str">
        <f t="shared" si="67"/>
        <v>-</v>
      </c>
      <c r="EA36" s="58" t="str">
        <f t="shared" si="68"/>
        <v>-</v>
      </c>
      <c r="EB36" s="58" t="str">
        <f t="shared" si="69"/>
        <v>-</v>
      </c>
      <c r="EC36" s="100"/>
      <c r="ED36" s="100"/>
      <c r="EF36" s="98" t="str">
        <f t="shared" si="70"/>
        <v>-</v>
      </c>
      <c r="EG36" s="98" t="str">
        <f t="shared" si="71"/>
        <v>-</v>
      </c>
      <c r="EH36" s="74" t="str">
        <f t="shared" ref="EH36:EI50" si="91">DV36</f>
        <v>-</v>
      </c>
      <c r="EI36" s="74" t="str">
        <f t="shared" si="91"/>
        <v>-</v>
      </c>
      <c r="EJ36" s="100" t="str">
        <f t="shared" si="26"/>
        <v>-</v>
      </c>
      <c r="EK36" s="58" t="str">
        <f t="shared" si="73"/>
        <v>-</v>
      </c>
      <c r="EL36" s="58" t="str">
        <f t="shared" si="74"/>
        <v>-</v>
      </c>
      <c r="EM36" s="58" t="str">
        <f t="shared" si="75"/>
        <v>-</v>
      </c>
      <c r="EN36" s="58" t="str">
        <f t="shared" si="76"/>
        <v>-</v>
      </c>
      <c r="EO36" s="100"/>
      <c r="EP36" s="100"/>
      <c r="ER36" s="79" t="str">
        <f t="shared" si="77"/>
        <v>-</v>
      </c>
      <c r="ES36" s="79" t="str">
        <f t="shared" si="78"/>
        <v>-</v>
      </c>
      <c r="ET36" s="79" t="str">
        <f t="shared" si="79"/>
        <v>-</v>
      </c>
      <c r="EU36" s="79" t="str">
        <f t="shared" si="80"/>
        <v>-</v>
      </c>
      <c r="EY36" s="74" t="str">
        <f>IF(E36=0,"-",LARGE(E6:E50,31))</f>
        <v>-</v>
      </c>
      <c r="EZ36" s="77" t="str">
        <f t="shared" si="81"/>
        <v>-</v>
      </c>
      <c r="FB36" s="77" t="str">
        <f t="shared" si="83"/>
        <v>-</v>
      </c>
      <c r="FC36" s="77" t="str">
        <f>IF(FB36="-","-",SMALL(FB6:FB50,31))</f>
        <v>-</v>
      </c>
    </row>
    <row r="37" spans="1:159" s="77" customFormat="1">
      <c r="B37" s="77" t="str">
        <f>IF(Main!$BL$5&gt;31,"x","")</f>
        <v/>
      </c>
      <c r="C37" s="95">
        <f>'1'!R34</f>
        <v>0</v>
      </c>
      <c r="D37" s="96">
        <f>'1'!J34</f>
        <v>0</v>
      </c>
      <c r="E37" s="96">
        <f>'1'!K34</f>
        <v>0</v>
      </c>
      <c r="G37" s="77" t="str">
        <f>IF(Main!$BN$5&gt;31,"x","")</f>
        <v/>
      </c>
      <c r="L37" s="96">
        <f>'3'!R34</f>
        <v>0</v>
      </c>
      <c r="M37" s="77">
        <f>'3'!J34</f>
        <v>0</v>
      </c>
      <c r="N37" s="74">
        <f>'3'!K34</f>
        <v>0</v>
      </c>
      <c r="Q37" s="74" t="s">
        <v>37</v>
      </c>
      <c r="T37" s="95" t="e">
        <f t="shared" ref="T37:T39" si="92">EC16</f>
        <v>#DIV/0!</v>
      </c>
      <c r="AJ37" s="98" t="str">
        <f t="shared" si="27"/>
        <v>-</v>
      </c>
      <c r="AK37" s="98" t="str">
        <f t="shared" si="28"/>
        <v>-</v>
      </c>
      <c r="AL37" s="98" t="str">
        <f t="shared" si="0"/>
        <v>-</v>
      </c>
      <c r="AM37" s="98" t="str">
        <f t="shared" si="29"/>
        <v>-</v>
      </c>
      <c r="AN37" s="98" t="str">
        <f t="shared" si="30"/>
        <v>-</v>
      </c>
      <c r="AO37" s="98" t="str">
        <f t="shared" si="31"/>
        <v>-</v>
      </c>
      <c r="AP37" s="98" t="str">
        <f t="shared" si="32"/>
        <v>-</v>
      </c>
      <c r="AQ37" s="98" t="str">
        <f t="shared" si="33"/>
        <v>-</v>
      </c>
      <c r="AT37" s="103" t="e">
        <f t="shared" si="87"/>
        <v>#DIV/0!</v>
      </c>
      <c r="AU37" s="103" t="e">
        <f t="shared" si="87"/>
        <v>#DIV/0!</v>
      </c>
      <c r="AV37" s="103" t="e">
        <f t="shared" si="87"/>
        <v>#DIV/0!</v>
      </c>
      <c r="AW37" s="103" t="e">
        <f t="shared" si="87"/>
        <v>#DIV/0!</v>
      </c>
      <c r="AX37" s="74" t="str">
        <f t="shared" si="35"/>
        <v>-</v>
      </c>
      <c r="AY37" s="74">
        <f t="shared" si="36"/>
        <v>0</v>
      </c>
      <c r="AZ37" s="74">
        <f t="shared" si="37"/>
        <v>0</v>
      </c>
      <c r="BA37" s="98">
        <f t="shared" si="38"/>
        <v>0</v>
      </c>
      <c r="BB37" s="74">
        <f t="shared" si="1"/>
        <v>0</v>
      </c>
      <c r="BC37" s="74">
        <f t="shared" si="2"/>
        <v>0</v>
      </c>
      <c r="BG37" s="74">
        <f t="shared" si="39"/>
        <v>0</v>
      </c>
      <c r="BH37" s="74">
        <f t="shared" si="40"/>
        <v>0</v>
      </c>
      <c r="BI37" s="98">
        <f t="shared" si="41"/>
        <v>0</v>
      </c>
      <c r="BJ37" s="74">
        <f t="shared" si="3"/>
        <v>0</v>
      </c>
      <c r="BK37" s="74">
        <f t="shared" si="4"/>
        <v>0</v>
      </c>
      <c r="BN37" s="74">
        <f t="shared" si="42"/>
        <v>0</v>
      </c>
      <c r="BO37" s="74" t="str">
        <f t="shared" si="43"/>
        <v>-</v>
      </c>
      <c r="BP37" s="98" t="str">
        <f t="shared" si="44"/>
        <v>-</v>
      </c>
      <c r="BQ37" s="98" t="str">
        <f t="shared" si="45"/>
        <v>-</v>
      </c>
      <c r="BR37" s="98" t="str">
        <f t="shared" si="5"/>
        <v>-</v>
      </c>
      <c r="BS37" s="98" t="str">
        <f t="shared" si="6"/>
        <v>-</v>
      </c>
      <c r="BT37" s="98" t="str">
        <f t="shared" si="7"/>
        <v>-</v>
      </c>
      <c r="BU37" s="98" t="str">
        <f t="shared" si="8"/>
        <v>-</v>
      </c>
      <c r="BV37" s="98" t="str">
        <f t="shared" si="9"/>
        <v>-</v>
      </c>
      <c r="BW37" s="98" t="str">
        <f t="shared" si="10"/>
        <v>-</v>
      </c>
      <c r="BZ37" s="103" t="e">
        <f t="shared" si="88"/>
        <v>#DIV/0!</v>
      </c>
      <c r="CA37" s="103" t="e">
        <f t="shared" si="88"/>
        <v>#DIV/0!</v>
      </c>
      <c r="CB37" s="103" t="e">
        <f t="shared" si="88"/>
        <v>#DIV/0!</v>
      </c>
      <c r="CC37" s="103" t="e">
        <f t="shared" si="88"/>
        <v>#DIV/0!</v>
      </c>
      <c r="CD37" s="74" t="str">
        <f t="shared" si="11"/>
        <v>-</v>
      </c>
      <c r="CE37" s="74">
        <f t="shared" si="47"/>
        <v>0</v>
      </c>
      <c r="CF37" s="74">
        <f t="shared" si="48"/>
        <v>0</v>
      </c>
      <c r="CG37" s="98">
        <f t="shared" si="49"/>
        <v>0</v>
      </c>
      <c r="CH37" s="74">
        <f t="shared" si="12"/>
        <v>0</v>
      </c>
      <c r="CI37" s="74">
        <f t="shared" si="13"/>
        <v>0</v>
      </c>
      <c r="CM37" s="74">
        <f t="shared" si="14"/>
        <v>0</v>
      </c>
      <c r="CN37" s="74">
        <f t="shared" si="50"/>
        <v>0</v>
      </c>
      <c r="CO37" s="98">
        <f t="shared" si="51"/>
        <v>0</v>
      </c>
      <c r="CP37" s="74">
        <f t="shared" si="15"/>
        <v>0</v>
      </c>
      <c r="CQ37" s="74">
        <f t="shared" si="16"/>
        <v>0</v>
      </c>
      <c r="CV37" s="98" t="str">
        <f t="shared" si="17"/>
        <v>-</v>
      </c>
      <c r="CW37" s="95" t="str">
        <f t="shared" si="18"/>
        <v>-</v>
      </c>
      <c r="CX37" s="74" t="str">
        <f t="shared" si="52"/>
        <v>-</v>
      </c>
      <c r="CY37" s="74" t="str">
        <f t="shared" si="19"/>
        <v>-</v>
      </c>
      <c r="CZ37" s="100" t="str">
        <f t="shared" si="20"/>
        <v>-</v>
      </c>
      <c r="DA37" s="58" t="str">
        <f t="shared" si="53"/>
        <v>-</v>
      </c>
      <c r="DB37" s="58" t="str">
        <f t="shared" si="54"/>
        <v>-</v>
      </c>
      <c r="DC37" s="58" t="str">
        <f t="shared" si="55"/>
        <v>-</v>
      </c>
      <c r="DD37" s="58" t="str">
        <f t="shared" si="56"/>
        <v>-</v>
      </c>
      <c r="DH37" s="98" t="str">
        <f t="shared" si="57"/>
        <v>-</v>
      </c>
      <c r="DI37" s="98" t="str">
        <f t="shared" si="58"/>
        <v>-</v>
      </c>
      <c r="DJ37" s="74" t="str">
        <f t="shared" si="89"/>
        <v>-</v>
      </c>
      <c r="DK37" s="74" t="str">
        <f t="shared" si="89"/>
        <v>-</v>
      </c>
      <c r="DL37" s="100" t="str">
        <f t="shared" si="22"/>
        <v>-</v>
      </c>
      <c r="DM37" s="58" t="str">
        <f t="shared" si="60"/>
        <v>-</v>
      </c>
      <c r="DN37" s="58" t="str">
        <f t="shared" si="61"/>
        <v>-</v>
      </c>
      <c r="DO37" s="58" t="str">
        <f t="shared" si="62"/>
        <v>-</v>
      </c>
      <c r="DP37" s="58" t="str">
        <f t="shared" si="63"/>
        <v>-</v>
      </c>
      <c r="DQ37" s="100"/>
      <c r="DR37" s="100"/>
      <c r="DT37" s="98" t="str">
        <f t="shared" si="86"/>
        <v>-</v>
      </c>
      <c r="DU37" s="98" t="str">
        <f t="shared" si="64"/>
        <v>-</v>
      </c>
      <c r="DV37" s="74" t="str">
        <f t="shared" si="90"/>
        <v>-</v>
      </c>
      <c r="DW37" s="74" t="str">
        <f t="shared" si="90"/>
        <v>-</v>
      </c>
      <c r="DX37" s="100" t="str">
        <f t="shared" si="24"/>
        <v>-</v>
      </c>
      <c r="DY37" s="58" t="str">
        <f t="shared" si="66"/>
        <v>-</v>
      </c>
      <c r="DZ37" s="58" t="str">
        <f t="shared" si="67"/>
        <v>-</v>
      </c>
      <c r="EA37" s="58" t="str">
        <f t="shared" si="68"/>
        <v>-</v>
      </c>
      <c r="EB37" s="58" t="str">
        <f t="shared" si="69"/>
        <v>-</v>
      </c>
      <c r="EC37" s="100"/>
      <c r="ED37" s="100"/>
      <c r="EF37" s="98" t="str">
        <f t="shared" si="70"/>
        <v>-</v>
      </c>
      <c r="EG37" s="98" t="str">
        <f t="shared" si="71"/>
        <v>-</v>
      </c>
      <c r="EH37" s="74" t="str">
        <f t="shared" si="91"/>
        <v>-</v>
      </c>
      <c r="EI37" s="74" t="str">
        <f t="shared" si="91"/>
        <v>-</v>
      </c>
      <c r="EJ37" s="100" t="str">
        <f t="shared" si="26"/>
        <v>-</v>
      </c>
      <c r="EK37" s="58" t="str">
        <f t="shared" si="73"/>
        <v>-</v>
      </c>
      <c r="EL37" s="58" t="str">
        <f t="shared" si="74"/>
        <v>-</v>
      </c>
      <c r="EM37" s="58" t="str">
        <f t="shared" si="75"/>
        <v>-</v>
      </c>
      <c r="EN37" s="58" t="str">
        <f t="shared" si="76"/>
        <v>-</v>
      </c>
      <c r="EO37" s="100"/>
      <c r="EP37" s="100"/>
      <c r="ER37" s="79" t="str">
        <f t="shared" si="77"/>
        <v>-</v>
      </c>
      <c r="ES37" s="79" t="str">
        <f t="shared" si="78"/>
        <v>-</v>
      </c>
      <c r="ET37" s="79" t="str">
        <f t="shared" si="79"/>
        <v>-</v>
      </c>
      <c r="EU37" s="79" t="str">
        <f t="shared" si="80"/>
        <v>-</v>
      </c>
      <c r="EY37" s="74" t="str">
        <f>IF(E37=0,"-",LARGE(E6:E50,32))</f>
        <v>-</v>
      </c>
      <c r="EZ37" s="77" t="str">
        <f t="shared" si="81"/>
        <v>-</v>
      </c>
      <c r="FB37" s="77" t="str">
        <f t="shared" si="83"/>
        <v>-</v>
      </c>
      <c r="FC37" s="77" t="str">
        <f>IF(FB37="-","-",SMALL(FB6:FB50,32))</f>
        <v>-</v>
      </c>
    </row>
    <row r="38" spans="1:159" s="77" customFormat="1">
      <c r="B38" s="77" t="str">
        <f>IF(Main!$BL$5&gt;32,"x","")</f>
        <v/>
      </c>
      <c r="C38" s="95">
        <f>'1'!R35</f>
        <v>0</v>
      </c>
      <c r="D38" s="96">
        <f>'1'!J35</f>
        <v>0</v>
      </c>
      <c r="E38" s="96">
        <f>'1'!K35</f>
        <v>0</v>
      </c>
      <c r="G38" s="77" t="str">
        <f>IF(Main!$BN$5&gt;32,"x","")</f>
        <v/>
      </c>
      <c r="L38" s="96">
        <f>'3'!R35</f>
        <v>0</v>
      </c>
      <c r="M38" s="77">
        <f>'3'!J35</f>
        <v>0</v>
      </c>
      <c r="N38" s="74">
        <f>'3'!K35</f>
        <v>0</v>
      </c>
      <c r="Q38" s="74" t="s">
        <v>38</v>
      </c>
      <c r="T38" s="95" t="e">
        <f t="shared" si="92"/>
        <v>#DIV/0!</v>
      </c>
      <c r="AJ38" s="98" t="str">
        <f t="shared" si="27"/>
        <v>-</v>
      </c>
      <c r="AK38" s="98" t="str">
        <f t="shared" si="28"/>
        <v>-</v>
      </c>
      <c r="AL38" s="98" t="str">
        <f t="shared" si="0"/>
        <v>-</v>
      </c>
      <c r="AM38" s="98" t="str">
        <f t="shared" si="29"/>
        <v>-</v>
      </c>
      <c r="AN38" s="98" t="str">
        <f t="shared" si="30"/>
        <v>-</v>
      </c>
      <c r="AO38" s="98" t="str">
        <f t="shared" si="31"/>
        <v>-</v>
      </c>
      <c r="AP38" s="98" t="str">
        <f t="shared" si="32"/>
        <v>-</v>
      </c>
      <c r="AQ38" s="98" t="str">
        <f t="shared" si="33"/>
        <v>-</v>
      </c>
      <c r="AT38" s="103" t="e">
        <f t="shared" si="87"/>
        <v>#DIV/0!</v>
      </c>
      <c r="AU38" s="103" t="e">
        <f t="shared" si="87"/>
        <v>#DIV/0!</v>
      </c>
      <c r="AV38" s="103" t="e">
        <f t="shared" si="87"/>
        <v>#DIV/0!</v>
      </c>
      <c r="AW38" s="103" t="e">
        <f t="shared" si="87"/>
        <v>#DIV/0!</v>
      </c>
      <c r="AX38" s="74" t="str">
        <f t="shared" si="35"/>
        <v>-</v>
      </c>
      <c r="AY38" s="74">
        <f t="shared" si="36"/>
        <v>0</v>
      </c>
      <c r="AZ38" s="74">
        <f t="shared" si="37"/>
        <v>0</v>
      </c>
      <c r="BA38" s="98">
        <f t="shared" si="38"/>
        <v>0</v>
      </c>
      <c r="BB38" s="74">
        <f t="shared" si="1"/>
        <v>0</v>
      </c>
      <c r="BC38" s="74">
        <f t="shared" si="2"/>
        <v>0</v>
      </c>
      <c r="BG38" s="74">
        <f t="shared" si="39"/>
        <v>0</v>
      </c>
      <c r="BH38" s="74">
        <f t="shared" si="40"/>
        <v>0</v>
      </c>
      <c r="BI38" s="98">
        <f t="shared" si="41"/>
        <v>0</v>
      </c>
      <c r="BJ38" s="74">
        <f t="shared" si="3"/>
        <v>0</v>
      </c>
      <c r="BK38" s="74">
        <f t="shared" si="4"/>
        <v>0</v>
      </c>
      <c r="BN38" s="74">
        <f t="shared" si="42"/>
        <v>0</v>
      </c>
      <c r="BO38" s="74" t="str">
        <f t="shared" si="43"/>
        <v>-</v>
      </c>
      <c r="BP38" s="98" t="str">
        <f t="shared" si="44"/>
        <v>-</v>
      </c>
      <c r="BQ38" s="98" t="str">
        <f t="shared" si="45"/>
        <v>-</v>
      </c>
      <c r="BR38" s="98" t="str">
        <f t="shared" si="5"/>
        <v>-</v>
      </c>
      <c r="BS38" s="98" t="str">
        <f t="shared" si="6"/>
        <v>-</v>
      </c>
      <c r="BT38" s="98" t="str">
        <f t="shared" si="7"/>
        <v>-</v>
      </c>
      <c r="BU38" s="98" t="str">
        <f t="shared" si="8"/>
        <v>-</v>
      </c>
      <c r="BV38" s="98" t="str">
        <f t="shared" si="9"/>
        <v>-</v>
      </c>
      <c r="BW38" s="98" t="str">
        <f t="shared" si="10"/>
        <v>-</v>
      </c>
      <c r="BZ38" s="103" t="e">
        <f t="shared" si="88"/>
        <v>#DIV/0!</v>
      </c>
      <c r="CA38" s="103" t="e">
        <f t="shared" si="88"/>
        <v>#DIV/0!</v>
      </c>
      <c r="CB38" s="103" t="e">
        <f t="shared" si="88"/>
        <v>#DIV/0!</v>
      </c>
      <c r="CC38" s="103" t="e">
        <f t="shared" si="88"/>
        <v>#DIV/0!</v>
      </c>
      <c r="CD38" s="74" t="str">
        <f t="shared" si="11"/>
        <v>-</v>
      </c>
      <c r="CE38" s="74">
        <f t="shared" si="47"/>
        <v>0</v>
      </c>
      <c r="CF38" s="74">
        <f t="shared" si="48"/>
        <v>0</v>
      </c>
      <c r="CG38" s="98">
        <f t="shared" si="49"/>
        <v>0</v>
      </c>
      <c r="CH38" s="74">
        <f t="shared" si="12"/>
        <v>0</v>
      </c>
      <c r="CI38" s="74">
        <f t="shared" si="13"/>
        <v>0</v>
      </c>
      <c r="CM38" s="74">
        <f t="shared" si="14"/>
        <v>0</v>
      </c>
      <c r="CN38" s="74">
        <f t="shared" si="50"/>
        <v>0</v>
      </c>
      <c r="CO38" s="98">
        <f t="shared" si="51"/>
        <v>0</v>
      </c>
      <c r="CP38" s="74">
        <f t="shared" si="15"/>
        <v>0</v>
      </c>
      <c r="CQ38" s="74">
        <f t="shared" si="16"/>
        <v>0</v>
      </c>
      <c r="CV38" s="98" t="str">
        <f t="shared" si="17"/>
        <v>-</v>
      </c>
      <c r="CW38" s="95" t="str">
        <f t="shared" si="18"/>
        <v>-</v>
      </c>
      <c r="CX38" s="74" t="str">
        <f t="shared" si="52"/>
        <v>-</v>
      </c>
      <c r="CY38" s="74" t="str">
        <f t="shared" si="19"/>
        <v>-</v>
      </c>
      <c r="CZ38" s="100" t="str">
        <f t="shared" si="20"/>
        <v>-</v>
      </c>
      <c r="DA38" s="58" t="str">
        <f t="shared" si="53"/>
        <v>-</v>
      </c>
      <c r="DB38" s="58" t="str">
        <f t="shared" si="54"/>
        <v>-</v>
      </c>
      <c r="DC38" s="58" t="str">
        <f t="shared" si="55"/>
        <v>-</v>
      </c>
      <c r="DD38" s="58" t="str">
        <f t="shared" si="56"/>
        <v>-</v>
      </c>
      <c r="DH38" s="98" t="str">
        <f t="shared" si="57"/>
        <v>-</v>
      </c>
      <c r="DI38" s="98" t="str">
        <f t="shared" si="58"/>
        <v>-</v>
      </c>
      <c r="DJ38" s="74" t="str">
        <f t="shared" si="89"/>
        <v>-</v>
      </c>
      <c r="DK38" s="74" t="str">
        <f t="shared" si="89"/>
        <v>-</v>
      </c>
      <c r="DL38" s="100" t="str">
        <f t="shared" si="22"/>
        <v>-</v>
      </c>
      <c r="DM38" s="58" t="str">
        <f t="shared" si="60"/>
        <v>-</v>
      </c>
      <c r="DN38" s="58" t="str">
        <f t="shared" si="61"/>
        <v>-</v>
      </c>
      <c r="DO38" s="58" t="str">
        <f t="shared" si="62"/>
        <v>-</v>
      </c>
      <c r="DP38" s="58" t="str">
        <f t="shared" si="63"/>
        <v>-</v>
      </c>
      <c r="DQ38" s="100"/>
      <c r="DR38" s="100"/>
      <c r="DT38" s="98" t="str">
        <f t="shared" si="86"/>
        <v>-</v>
      </c>
      <c r="DU38" s="98" t="str">
        <f t="shared" si="64"/>
        <v>-</v>
      </c>
      <c r="DV38" s="74" t="str">
        <f t="shared" si="90"/>
        <v>-</v>
      </c>
      <c r="DW38" s="74" t="str">
        <f t="shared" si="90"/>
        <v>-</v>
      </c>
      <c r="DX38" s="100" t="str">
        <f t="shared" si="24"/>
        <v>-</v>
      </c>
      <c r="DY38" s="58" t="str">
        <f t="shared" si="66"/>
        <v>-</v>
      </c>
      <c r="DZ38" s="58" t="str">
        <f t="shared" si="67"/>
        <v>-</v>
      </c>
      <c r="EA38" s="58" t="str">
        <f t="shared" si="68"/>
        <v>-</v>
      </c>
      <c r="EB38" s="58" t="str">
        <f t="shared" si="69"/>
        <v>-</v>
      </c>
      <c r="EC38" s="100"/>
      <c r="ED38" s="100"/>
      <c r="EF38" s="98" t="str">
        <f t="shared" si="70"/>
        <v>-</v>
      </c>
      <c r="EG38" s="98" t="str">
        <f t="shared" si="71"/>
        <v>-</v>
      </c>
      <c r="EH38" s="74" t="str">
        <f t="shared" si="91"/>
        <v>-</v>
      </c>
      <c r="EI38" s="74" t="str">
        <f t="shared" si="91"/>
        <v>-</v>
      </c>
      <c r="EJ38" s="100" t="str">
        <f t="shared" si="26"/>
        <v>-</v>
      </c>
      <c r="EK38" s="58" t="str">
        <f t="shared" si="73"/>
        <v>-</v>
      </c>
      <c r="EL38" s="58" t="str">
        <f t="shared" si="74"/>
        <v>-</v>
      </c>
      <c r="EM38" s="58" t="str">
        <f t="shared" si="75"/>
        <v>-</v>
      </c>
      <c r="EN38" s="58" t="str">
        <f t="shared" si="76"/>
        <v>-</v>
      </c>
      <c r="EO38" s="100"/>
      <c r="EP38" s="100"/>
      <c r="ER38" s="79" t="str">
        <f t="shared" si="77"/>
        <v>-</v>
      </c>
      <c r="ES38" s="79" t="str">
        <f t="shared" si="78"/>
        <v>-</v>
      </c>
      <c r="ET38" s="79" t="str">
        <f t="shared" si="79"/>
        <v>-</v>
      </c>
      <c r="EU38" s="79" t="str">
        <f t="shared" si="80"/>
        <v>-</v>
      </c>
      <c r="EY38" s="74" t="str">
        <f>IF(E38=0,"-",LARGE(E6:E50,33))</f>
        <v>-</v>
      </c>
      <c r="EZ38" s="77" t="str">
        <f t="shared" si="81"/>
        <v>-</v>
      </c>
      <c r="FB38" s="77" t="str">
        <f t="shared" si="83"/>
        <v>-</v>
      </c>
      <c r="FC38" s="77" t="str">
        <f>IF(FB38="-","-",SMALL(FB6:FB50,33))</f>
        <v>-</v>
      </c>
    </row>
    <row r="39" spans="1:159" s="77" customFormat="1">
      <c r="B39" s="77" t="str">
        <f>IF(Main!$BL$5&gt;33,"x","")</f>
        <v/>
      </c>
      <c r="C39" s="95">
        <f>'1'!R36</f>
        <v>0</v>
      </c>
      <c r="D39" s="96">
        <f>'1'!J36</f>
        <v>0</v>
      </c>
      <c r="E39" s="96">
        <f>'1'!K36</f>
        <v>0</v>
      </c>
      <c r="G39" s="77" t="str">
        <f>IF(Main!$BN$5&gt;33,"x","")</f>
        <v/>
      </c>
      <c r="L39" s="96">
        <f>'3'!R36</f>
        <v>0</v>
      </c>
      <c r="M39" s="77">
        <f>'3'!J36</f>
        <v>0</v>
      </c>
      <c r="N39" s="74">
        <f>'3'!K36</f>
        <v>0</v>
      </c>
      <c r="Q39" s="74" t="s">
        <v>39</v>
      </c>
      <c r="T39" s="95" t="e">
        <f t="shared" si="92"/>
        <v>#DIV/0!</v>
      </c>
      <c r="AJ39" s="98" t="str">
        <f t="shared" si="27"/>
        <v>-</v>
      </c>
      <c r="AK39" s="98" t="str">
        <f t="shared" si="28"/>
        <v>-</v>
      </c>
      <c r="AL39" s="98" t="str">
        <f t="shared" si="0"/>
        <v>-</v>
      </c>
      <c r="AM39" s="98" t="str">
        <f t="shared" si="29"/>
        <v>-</v>
      </c>
      <c r="AN39" s="98" t="str">
        <f t="shared" si="30"/>
        <v>-</v>
      </c>
      <c r="AO39" s="98" t="str">
        <f t="shared" si="31"/>
        <v>-</v>
      </c>
      <c r="AP39" s="98" t="str">
        <f t="shared" si="32"/>
        <v>-</v>
      </c>
      <c r="AQ39" s="98" t="str">
        <f t="shared" si="33"/>
        <v>-</v>
      </c>
      <c r="AT39" s="103" t="e">
        <f t="shared" si="87"/>
        <v>#DIV/0!</v>
      </c>
      <c r="AU39" s="103" t="e">
        <f t="shared" si="87"/>
        <v>#DIV/0!</v>
      </c>
      <c r="AV39" s="103" t="e">
        <f t="shared" si="87"/>
        <v>#DIV/0!</v>
      </c>
      <c r="AW39" s="103" t="e">
        <f t="shared" si="87"/>
        <v>#DIV/0!</v>
      </c>
      <c r="AX39" s="74" t="str">
        <f t="shared" si="35"/>
        <v>-</v>
      </c>
      <c r="AY39" s="74">
        <f t="shared" si="36"/>
        <v>0</v>
      </c>
      <c r="AZ39" s="74">
        <f t="shared" si="37"/>
        <v>0</v>
      </c>
      <c r="BA39" s="98">
        <f t="shared" si="38"/>
        <v>0</v>
      </c>
      <c r="BB39" s="74">
        <f t="shared" si="1"/>
        <v>0</v>
      </c>
      <c r="BC39" s="74">
        <f t="shared" si="2"/>
        <v>0</v>
      </c>
      <c r="BG39" s="74">
        <f t="shared" si="39"/>
        <v>0</v>
      </c>
      <c r="BH39" s="74">
        <f t="shared" si="40"/>
        <v>0</v>
      </c>
      <c r="BI39" s="98">
        <f t="shared" si="41"/>
        <v>0</v>
      </c>
      <c r="BJ39" s="74">
        <f t="shared" si="3"/>
        <v>0</v>
      </c>
      <c r="BK39" s="74">
        <f t="shared" si="4"/>
        <v>0</v>
      </c>
      <c r="BN39" s="74">
        <f t="shared" si="42"/>
        <v>0</v>
      </c>
      <c r="BO39" s="74" t="str">
        <f t="shared" si="43"/>
        <v>-</v>
      </c>
      <c r="BP39" s="98" t="str">
        <f t="shared" si="44"/>
        <v>-</v>
      </c>
      <c r="BQ39" s="98" t="str">
        <f t="shared" si="45"/>
        <v>-</v>
      </c>
      <c r="BR39" s="98" t="str">
        <f t="shared" si="5"/>
        <v>-</v>
      </c>
      <c r="BS39" s="98" t="str">
        <f t="shared" si="6"/>
        <v>-</v>
      </c>
      <c r="BT39" s="98" t="str">
        <f t="shared" si="7"/>
        <v>-</v>
      </c>
      <c r="BU39" s="98" t="str">
        <f t="shared" si="8"/>
        <v>-</v>
      </c>
      <c r="BV39" s="98" t="str">
        <f t="shared" si="9"/>
        <v>-</v>
      </c>
      <c r="BW39" s="98" t="str">
        <f t="shared" si="10"/>
        <v>-</v>
      </c>
      <c r="BZ39" s="103" t="e">
        <f t="shared" si="88"/>
        <v>#DIV/0!</v>
      </c>
      <c r="CA39" s="103" t="e">
        <f t="shared" si="88"/>
        <v>#DIV/0!</v>
      </c>
      <c r="CB39" s="103" t="e">
        <f t="shared" si="88"/>
        <v>#DIV/0!</v>
      </c>
      <c r="CC39" s="103" t="e">
        <f t="shared" si="88"/>
        <v>#DIV/0!</v>
      </c>
      <c r="CD39" s="74" t="str">
        <f t="shared" si="11"/>
        <v>-</v>
      </c>
      <c r="CE39" s="74">
        <f t="shared" si="47"/>
        <v>0</v>
      </c>
      <c r="CF39" s="74">
        <f t="shared" si="48"/>
        <v>0</v>
      </c>
      <c r="CG39" s="98">
        <f t="shared" si="49"/>
        <v>0</v>
      </c>
      <c r="CH39" s="74">
        <f t="shared" si="12"/>
        <v>0</v>
      </c>
      <c r="CI39" s="74">
        <f t="shared" si="13"/>
        <v>0</v>
      </c>
      <c r="CM39" s="74">
        <f t="shared" si="14"/>
        <v>0</v>
      </c>
      <c r="CN39" s="74">
        <f t="shared" si="50"/>
        <v>0</v>
      </c>
      <c r="CO39" s="98">
        <f t="shared" si="51"/>
        <v>0</v>
      </c>
      <c r="CP39" s="74">
        <f t="shared" si="15"/>
        <v>0</v>
      </c>
      <c r="CQ39" s="74">
        <f t="shared" si="16"/>
        <v>0</v>
      </c>
      <c r="CV39" s="98" t="str">
        <f t="shared" si="17"/>
        <v>-</v>
      </c>
      <c r="CW39" s="95" t="str">
        <f t="shared" si="18"/>
        <v>-</v>
      </c>
      <c r="CX39" s="74" t="str">
        <f t="shared" si="52"/>
        <v>-</v>
      </c>
      <c r="CY39" s="74" t="str">
        <f t="shared" si="19"/>
        <v>-</v>
      </c>
      <c r="CZ39" s="100" t="str">
        <f t="shared" si="20"/>
        <v>-</v>
      </c>
      <c r="DA39" s="58" t="str">
        <f t="shared" si="53"/>
        <v>-</v>
      </c>
      <c r="DB39" s="58" t="str">
        <f t="shared" si="54"/>
        <v>-</v>
      </c>
      <c r="DC39" s="58" t="str">
        <f t="shared" si="55"/>
        <v>-</v>
      </c>
      <c r="DD39" s="58" t="str">
        <f t="shared" si="56"/>
        <v>-</v>
      </c>
      <c r="DH39" s="98" t="str">
        <f t="shared" si="57"/>
        <v>-</v>
      </c>
      <c r="DI39" s="98" t="str">
        <f t="shared" si="58"/>
        <v>-</v>
      </c>
      <c r="DJ39" s="74" t="str">
        <f t="shared" si="89"/>
        <v>-</v>
      </c>
      <c r="DK39" s="74" t="str">
        <f t="shared" si="89"/>
        <v>-</v>
      </c>
      <c r="DL39" s="100" t="str">
        <f t="shared" si="22"/>
        <v>-</v>
      </c>
      <c r="DM39" s="58" t="str">
        <f t="shared" si="60"/>
        <v>-</v>
      </c>
      <c r="DN39" s="58" t="str">
        <f t="shared" si="61"/>
        <v>-</v>
      </c>
      <c r="DO39" s="58" t="str">
        <f t="shared" si="62"/>
        <v>-</v>
      </c>
      <c r="DP39" s="58" t="str">
        <f t="shared" si="63"/>
        <v>-</v>
      </c>
      <c r="DQ39" s="100"/>
      <c r="DR39" s="100"/>
      <c r="DT39" s="98" t="str">
        <f t="shared" si="86"/>
        <v>-</v>
      </c>
      <c r="DU39" s="98" t="str">
        <f t="shared" si="64"/>
        <v>-</v>
      </c>
      <c r="DV39" s="74" t="str">
        <f t="shared" si="90"/>
        <v>-</v>
      </c>
      <c r="DW39" s="74" t="str">
        <f t="shared" si="90"/>
        <v>-</v>
      </c>
      <c r="DX39" s="100" t="str">
        <f t="shared" si="24"/>
        <v>-</v>
      </c>
      <c r="DY39" s="58" t="str">
        <f t="shared" si="66"/>
        <v>-</v>
      </c>
      <c r="DZ39" s="58" t="str">
        <f t="shared" si="67"/>
        <v>-</v>
      </c>
      <c r="EA39" s="58" t="str">
        <f t="shared" si="68"/>
        <v>-</v>
      </c>
      <c r="EB39" s="58" t="str">
        <f t="shared" si="69"/>
        <v>-</v>
      </c>
      <c r="EC39" s="100"/>
      <c r="ED39" s="100"/>
      <c r="EF39" s="98" t="str">
        <f t="shared" si="70"/>
        <v>-</v>
      </c>
      <c r="EG39" s="98" t="str">
        <f t="shared" si="71"/>
        <v>-</v>
      </c>
      <c r="EH39" s="74" t="str">
        <f t="shared" si="91"/>
        <v>-</v>
      </c>
      <c r="EI39" s="74" t="str">
        <f t="shared" si="91"/>
        <v>-</v>
      </c>
      <c r="EJ39" s="100" t="str">
        <f t="shared" si="26"/>
        <v>-</v>
      </c>
      <c r="EK39" s="58" t="str">
        <f t="shared" si="73"/>
        <v>-</v>
      </c>
      <c r="EL39" s="58" t="str">
        <f t="shared" si="74"/>
        <v>-</v>
      </c>
      <c r="EM39" s="58" t="str">
        <f t="shared" si="75"/>
        <v>-</v>
      </c>
      <c r="EN39" s="58" t="str">
        <f t="shared" si="76"/>
        <v>-</v>
      </c>
      <c r="EO39" s="100"/>
      <c r="EP39" s="100"/>
      <c r="ER39" s="79" t="str">
        <f t="shared" si="77"/>
        <v>-</v>
      </c>
      <c r="ES39" s="79" t="str">
        <f t="shared" si="78"/>
        <v>-</v>
      </c>
      <c r="ET39" s="79" t="str">
        <f t="shared" si="79"/>
        <v>-</v>
      </c>
      <c r="EU39" s="79" t="str">
        <f t="shared" si="80"/>
        <v>-</v>
      </c>
      <c r="EY39" s="74" t="str">
        <f>IF(E39=0,"-",LARGE(E6:E50,34))</f>
        <v>-</v>
      </c>
      <c r="EZ39" s="77" t="str">
        <f t="shared" si="81"/>
        <v>-</v>
      </c>
      <c r="FB39" s="77" t="str">
        <f t="shared" si="83"/>
        <v>-</v>
      </c>
      <c r="FC39" s="77" t="str">
        <f>IF(FB39="-","-",SMALL(FB6:FB50,34))</f>
        <v>-</v>
      </c>
    </row>
    <row r="40" spans="1:159" s="77" customFormat="1">
      <c r="B40" s="77" t="str">
        <f>IF(Main!$BL$5&gt;34,"x","")</f>
        <v/>
      </c>
      <c r="C40" s="95">
        <f>'1'!R37</f>
        <v>0</v>
      </c>
      <c r="D40" s="96">
        <f>'1'!J37</f>
        <v>0</v>
      </c>
      <c r="E40" s="96">
        <f>'1'!K37</f>
        <v>0</v>
      </c>
      <c r="G40" s="77" t="str">
        <f>IF(Main!$BN$5&gt;34,"x","")</f>
        <v/>
      </c>
      <c r="L40" s="96">
        <f>'3'!R37</f>
        <v>0</v>
      </c>
      <c r="M40" s="77">
        <f>'3'!J37</f>
        <v>0</v>
      </c>
      <c r="N40" s="74">
        <f>'3'!K37</f>
        <v>0</v>
      </c>
      <c r="Q40" s="74" t="s">
        <v>40</v>
      </c>
      <c r="T40" s="95" t="e">
        <f>DQ15</f>
        <v>#DIV/0!</v>
      </c>
      <c r="AJ40" s="98" t="str">
        <f t="shared" si="27"/>
        <v>-</v>
      </c>
      <c r="AK40" s="98" t="str">
        <f t="shared" si="28"/>
        <v>-</v>
      </c>
      <c r="AL40" s="98" t="str">
        <f t="shared" si="0"/>
        <v>-</v>
      </c>
      <c r="AM40" s="98" t="str">
        <f t="shared" si="29"/>
        <v>-</v>
      </c>
      <c r="AN40" s="98" t="str">
        <f t="shared" si="30"/>
        <v>-</v>
      </c>
      <c r="AO40" s="98" t="str">
        <f t="shared" si="31"/>
        <v>-</v>
      </c>
      <c r="AP40" s="98" t="str">
        <f t="shared" si="32"/>
        <v>-</v>
      </c>
      <c r="AQ40" s="98" t="str">
        <f t="shared" si="33"/>
        <v>-</v>
      </c>
      <c r="AT40" s="103" t="e">
        <f t="shared" ref="AT40:AW50" si="93">AT39</f>
        <v>#DIV/0!</v>
      </c>
      <c r="AU40" s="103" t="e">
        <f t="shared" si="93"/>
        <v>#DIV/0!</v>
      </c>
      <c r="AV40" s="103" t="e">
        <f t="shared" si="93"/>
        <v>#DIV/0!</v>
      </c>
      <c r="AW40" s="103" t="e">
        <f t="shared" si="93"/>
        <v>#DIV/0!</v>
      </c>
      <c r="AX40" s="74" t="str">
        <f t="shared" si="35"/>
        <v>-</v>
      </c>
      <c r="AY40" s="74">
        <f t="shared" si="36"/>
        <v>0</v>
      </c>
      <c r="AZ40" s="74">
        <f t="shared" si="37"/>
        <v>0</v>
      </c>
      <c r="BA40" s="98">
        <f t="shared" si="38"/>
        <v>0</v>
      </c>
      <c r="BB40" s="74">
        <f t="shared" si="1"/>
        <v>0</v>
      </c>
      <c r="BC40" s="74">
        <f t="shared" si="2"/>
        <v>0</v>
      </c>
      <c r="BG40" s="74">
        <f t="shared" si="39"/>
        <v>0</v>
      </c>
      <c r="BH40" s="74">
        <f t="shared" si="40"/>
        <v>0</v>
      </c>
      <c r="BI40" s="98">
        <f t="shared" si="41"/>
        <v>0</v>
      </c>
      <c r="BJ40" s="74">
        <f t="shared" si="3"/>
        <v>0</v>
      </c>
      <c r="BK40" s="74">
        <f t="shared" si="4"/>
        <v>0</v>
      </c>
      <c r="BN40" s="74">
        <f t="shared" si="42"/>
        <v>0</v>
      </c>
      <c r="BO40" s="74" t="str">
        <f t="shared" si="43"/>
        <v>-</v>
      </c>
      <c r="BP40" s="98" t="str">
        <f t="shared" si="44"/>
        <v>-</v>
      </c>
      <c r="BQ40" s="98" t="str">
        <f t="shared" si="45"/>
        <v>-</v>
      </c>
      <c r="BR40" s="98" t="str">
        <f t="shared" si="5"/>
        <v>-</v>
      </c>
      <c r="BS40" s="98" t="str">
        <f t="shared" si="6"/>
        <v>-</v>
      </c>
      <c r="BT40" s="98" t="str">
        <f t="shared" si="7"/>
        <v>-</v>
      </c>
      <c r="BU40" s="98" t="str">
        <f t="shared" si="8"/>
        <v>-</v>
      </c>
      <c r="BV40" s="98" t="str">
        <f t="shared" si="9"/>
        <v>-</v>
      </c>
      <c r="BW40" s="98" t="str">
        <f t="shared" si="10"/>
        <v>-</v>
      </c>
      <c r="BZ40" s="103" t="e">
        <f t="shared" ref="BZ40:CC50" si="94">BZ39</f>
        <v>#DIV/0!</v>
      </c>
      <c r="CA40" s="103" t="e">
        <f t="shared" si="94"/>
        <v>#DIV/0!</v>
      </c>
      <c r="CB40" s="103" t="e">
        <f t="shared" si="94"/>
        <v>#DIV/0!</v>
      </c>
      <c r="CC40" s="103" t="e">
        <f t="shared" si="94"/>
        <v>#DIV/0!</v>
      </c>
      <c r="CD40" s="74" t="str">
        <f t="shared" si="11"/>
        <v>-</v>
      </c>
      <c r="CE40" s="74">
        <f t="shared" si="47"/>
        <v>0</v>
      </c>
      <c r="CF40" s="74">
        <f t="shared" si="48"/>
        <v>0</v>
      </c>
      <c r="CG40" s="98">
        <f t="shared" si="49"/>
        <v>0</v>
      </c>
      <c r="CH40" s="74">
        <f t="shared" si="12"/>
        <v>0</v>
      </c>
      <c r="CI40" s="74">
        <f t="shared" si="13"/>
        <v>0</v>
      </c>
      <c r="CM40" s="74">
        <f t="shared" si="14"/>
        <v>0</v>
      </c>
      <c r="CN40" s="74">
        <f t="shared" si="50"/>
        <v>0</v>
      </c>
      <c r="CO40" s="98">
        <f t="shared" si="51"/>
        <v>0</v>
      </c>
      <c r="CP40" s="74">
        <f t="shared" si="15"/>
        <v>0</v>
      </c>
      <c r="CQ40" s="74">
        <f t="shared" si="16"/>
        <v>0</v>
      </c>
      <c r="CV40" s="98" t="str">
        <f t="shared" si="17"/>
        <v>-</v>
      </c>
      <c r="CW40" s="95" t="str">
        <f t="shared" si="18"/>
        <v>-</v>
      </c>
      <c r="CX40" s="74" t="str">
        <f t="shared" si="52"/>
        <v>-</v>
      </c>
      <c r="CY40" s="74" t="str">
        <f t="shared" si="19"/>
        <v>-</v>
      </c>
      <c r="CZ40" s="100" t="str">
        <f t="shared" si="20"/>
        <v>-</v>
      </c>
      <c r="DA40" s="58" t="str">
        <f t="shared" si="53"/>
        <v>-</v>
      </c>
      <c r="DB40" s="58" t="str">
        <f t="shared" si="54"/>
        <v>-</v>
      </c>
      <c r="DC40" s="58" t="str">
        <f t="shared" si="55"/>
        <v>-</v>
      </c>
      <c r="DD40" s="58" t="str">
        <f t="shared" si="56"/>
        <v>-</v>
      </c>
      <c r="DH40" s="98" t="str">
        <f t="shared" si="57"/>
        <v>-</v>
      </c>
      <c r="DI40" s="98" t="str">
        <f t="shared" si="58"/>
        <v>-</v>
      </c>
      <c r="DJ40" s="74" t="str">
        <f t="shared" si="89"/>
        <v>-</v>
      </c>
      <c r="DK40" s="74" t="str">
        <f t="shared" si="89"/>
        <v>-</v>
      </c>
      <c r="DL40" s="100" t="str">
        <f t="shared" si="22"/>
        <v>-</v>
      </c>
      <c r="DM40" s="58" t="str">
        <f t="shared" si="60"/>
        <v>-</v>
      </c>
      <c r="DN40" s="58" t="str">
        <f t="shared" si="61"/>
        <v>-</v>
      </c>
      <c r="DO40" s="58" t="str">
        <f t="shared" si="62"/>
        <v>-</v>
      </c>
      <c r="DP40" s="58" t="str">
        <f t="shared" si="63"/>
        <v>-</v>
      </c>
      <c r="DQ40" s="100"/>
      <c r="DR40" s="100"/>
      <c r="DT40" s="98" t="str">
        <f t="shared" si="86"/>
        <v>-</v>
      </c>
      <c r="DU40" s="98" t="str">
        <f t="shared" si="64"/>
        <v>-</v>
      </c>
      <c r="DV40" s="74" t="str">
        <f t="shared" si="90"/>
        <v>-</v>
      </c>
      <c r="DW40" s="74" t="str">
        <f t="shared" si="90"/>
        <v>-</v>
      </c>
      <c r="DX40" s="100" t="str">
        <f t="shared" si="24"/>
        <v>-</v>
      </c>
      <c r="DY40" s="58" t="str">
        <f t="shared" si="66"/>
        <v>-</v>
      </c>
      <c r="DZ40" s="58" t="str">
        <f t="shared" si="67"/>
        <v>-</v>
      </c>
      <c r="EA40" s="58" t="str">
        <f t="shared" si="68"/>
        <v>-</v>
      </c>
      <c r="EB40" s="58" t="str">
        <f t="shared" si="69"/>
        <v>-</v>
      </c>
      <c r="EC40" s="100"/>
      <c r="ED40" s="100"/>
      <c r="EF40" s="98" t="str">
        <f t="shared" si="70"/>
        <v>-</v>
      </c>
      <c r="EG40" s="98" t="str">
        <f t="shared" si="71"/>
        <v>-</v>
      </c>
      <c r="EH40" s="74" t="str">
        <f t="shared" si="91"/>
        <v>-</v>
      </c>
      <c r="EI40" s="74" t="str">
        <f t="shared" si="91"/>
        <v>-</v>
      </c>
      <c r="EJ40" s="100" t="str">
        <f t="shared" si="26"/>
        <v>-</v>
      </c>
      <c r="EK40" s="58" t="str">
        <f t="shared" si="73"/>
        <v>-</v>
      </c>
      <c r="EL40" s="58" t="str">
        <f t="shared" si="74"/>
        <v>-</v>
      </c>
      <c r="EM40" s="58" t="str">
        <f t="shared" si="75"/>
        <v>-</v>
      </c>
      <c r="EN40" s="58" t="str">
        <f t="shared" si="76"/>
        <v>-</v>
      </c>
      <c r="EO40" s="100"/>
      <c r="EP40" s="100"/>
      <c r="ER40" s="79" t="str">
        <f t="shared" si="77"/>
        <v>-</v>
      </c>
      <c r="ES40" s="79" t="str">
        <f t="shared" si="78"/>
        <v>-</v>
      </c>
      <c r="ET40" s="79" t="str">
        <f t="shared" si="79"/>
        <v>-</v>
      </c>
      <c r="EU40" s="79" t="str">
        <f t="shared" si="80"/>
        <v>-</v>
      </c>
      <c r="EY40" s="74" t="str">
        <f>IF(E40=0,"-",LARGE(E6:E50,35))</f>
        <v>-</v>
      </c>
      <c r="EZ40" s="77" t="str">
        <f t="shared" si="81"/>
        <v>-</v>
      </c>
      <c r="FB40" s="77" t="str">
        <f t="shared" si="83"/>
        <v>-</v>
      </c>
      <c r="FC40" s="77" t="str">
        <f>IF(FB40="-","-",SMALL(FB6:FB50,35))</f>
        <v>-</v>
      </c>
    </row>
    <row r="41" spans="1:159" s="77" customFormat="1">
      <c r="B41" s="77" t="str">
        <f>IF(Main!$BL$5&gt;35,"x","")</f>
        <v/>
      </c>
      <c r="C41" s="95">
        <f>'1'!R38</f>
        <v>0</v>
      </c>
      <c r="D41" s="96">
        <f>'1'!J38</f>
        <v>0</v>
      </c>
      <c r="E41" s="96">
        <f>'1'!K38</f>
        <v>0</v>
      </c>
      <c r="G41" s="77" t="str">
        <f>IF(Main!$BN$5&gt;35,"x","")</f>
        <v/>
      </c>
      <c r="L41" s="96">
        <f>'3'!R38</f>
        <v>0</v>
      </c>
      <c r="M41" s="77">
        <f>'3'!J38</f>
        <v>0</v>
      </c>
      <c r="N41" s="74">
        <f>'3'!K38</f>
        <v>0</v>
      </c>
      <c r="Q41" s="74" t="s">
        <v>41</v>
      </c>
      <c r="T41" s="95" t="e">
        <f>DQ16</f>
        <v>#DIV/0!</v>
      </c>
      <c r="AJ41" s="98" t="str">
        <f t="shared" si="27"/>
        <v>-</v>
      </c>
      <c r="AK41" s="98" t="str">
        <f t="shared" si="28"/>
        <v>-</v>
      </c>
      <c r="AL41" s="98" t="str">
        <f t="shared" si="0"/>
        <v>-</v>
      </c>
      <c r="AM41" s="98" t="str">
        <f t="shared" si="29"/>
        <v>-</v>
      </c>
      <c r="AN41" s="98" t="str">
        <f t="shared" si="30"/>
        <v>-</v>
      </c>
      <c r="AO41" s="98" t="str">
        <f t="shared" si="31"/>
        <v>-</v>
      </c>
      <c r="AP41" s="98" t="str">
        <f t="shared" si="32"/>
        <v>-</v>
      </c>
      <c r="AQ41" s="98" t="str">
        <f t="shared" si="33"/>
        <v>-</v>
      </c>
      <c r="AT41" s="103" t="e">
        <f t="shared" si="93"/>
        <v>#DIV/0!</v>
      </c>
      <c r="AU41" s="103" t="e">
        <f t="shared" si="93"/>
        <v>#DIV/0!</v>
      </c>
      <c r="AV41" s="103" t="e">
        <f t="shared" si="93"/>
        <v>#DIV/0!</v>
      </c>
      <c r="AW41" s="103" t="e">
        <f t="shared" si="93"/>
        <v>#DIV/0!</v>
      </c>
      <c r="AX41" s="74" t="str">
        <f t="shared" si="35"/>
        <v>-</v>
      </c>
      <c r="AY41" s="74">
        <f t="shared" si="36"/>
        <v>0</v>
      </c>
      <c r="AZ41" s="74">
        <f t="shared" si="37"/>
        <v>0</v>
      </c>
      <c r="BA41" s="98">
        <f t="shared" si="38"/>
        <v>0</v>
      </c>
      <c r="BB41" s="74">
        <f t="shared" si="1"/>
        <v>0</v>
      </c>
      <c r="BC41" s="74">
        <f t="shared" si="2"/>
        <v>0</v>
      </c>
      <c r="BG41" s="74">
        <f t="shared" si="39"/>
        <v>0</v>
      </c>
      <c r="BH41" s="74">
        <f t="shared" si="40"/>
        <v>0</v>
      </c>
      <c r="BI41" s="98">
        <f t="shared" si="41"/>
        <v>0</v>
      </c>
      <c r="BJ41" s="74">
        <f t="shared" si="3"/>
        <v>0</v>
      </c>
      <c r="BK41" s="74">
        <f t="shared" si="4"/>
        <v>0</v>
      </c>
      <c r="BN41" s="74">
        <f t="shared" si="42"/>
        <v>0</v>
      </c>
      <c r="BO41" s="74" t="str">
        <f t="shared" si="43"/>
        <v>-</v>
      </c>
      <c r="BP41" s="98" t="str">
        <f t="shared" si="44"/>
        <v>-</v>
      </c>
      <c r="BQ41" s="98" t="str">
        <f t="shared" si="45"/>
        <v>-</v>
      </c>
      <c r="BR41" s="98" t="str">
        <f t="shared" si="5"/>
        <v>-</v>
      </c>
      <c r="BS41" s="98" t="str">
        <f t="shared" si="6"/>
        <v>-</v>
      </c>
      <c r="BT41" s="98" t="str">
        <f t="shared" si="7"/>
        <v>-</v>
      </c>
      <c r="BU41" s="98" t="str">
        <f t="shared" si="8"/>
        <v>-</v>
      </c>
      <c r="BV41" s="98" t="str">
        <f t="shared" si="9"/>
        <v>-</v>
      </c>
      <c r="BW41" s="98" t="str">
        <f t="shared" si="10"/>
        <v>-</v>
      </c>
      <c r="BZ41" s="103" t="e">
        <f t="shared" si="94"/>
        <v>#DIV/0!</v>
      </c>
      <c r="CA41" s="103" t="e">
        <f t="shared" si="94"/>
        <v>#DIV/0!</v>
      </c>
      <c r="CB41" s="103" t="e">
        <f t="shared" si="94"/>
        <v>#DIV/0!</v>
      </c>
      <c r="CC41" s="103" t="e">
        <f t="shared" si="94"/>
        <v>#DIV/0!</v>
      </c>
      <c r="CD41" s="74" t="str">
        <f t="shared" si="11"/>
        <v>-</v>
      </c>
      <c r="CE41" s="74">
        <f t="shared" si="47"/>
        <v>0</v>
      </c>
      <c r="CF41" s="74">
        <f t="shared" si="48"/>
        <v>0</v>
      </c>
      <c r="CG41" s="98">
        <f t="shared" si="49"/>
        <v>0</v>
      </c>
      <c r="CH41" s="74">
        <f t="shared" si="12"/>
        <v>0</v>
      </c>
      <c r="CI41" s="74">
        <f t="shared" si="13"/>
        <v>0</v>
      </c>
      <c r="CM41" s="74">
        <f t="shared" si="14"/>
        <v>0</v>
      </c>
      <c r="CN41" s="74">
        <f t="shared" si="50"/>
        <v>0</v>
      </c>
      <c r="CO41" s="98">
        <f t="shared" si="51"/>
        <v>0</v>
      </c>
      <c r="CP41" s="74">
        <f t="shared" si="15"/>
        <v>0</v>
      </c>
      <c r="CQ41" s="74">
        <f t="shared" si="16"/>
        <v>0</v>
      </c>
      <c r="CV41" s="98" t="str">
        <f t="shared" si="17"/>
        <v>-</v>
      </c>
      <c r="CW41" s="95" t="str">
        <f t="shared" si="18"/>
        <v>-</v>
      </c>
      <c r="CX41" s="74" t="str">
        <f t="shared" si="52"/>
        <v>-</v>
      </c>
      <c r="CY41" s="74" t="str">
        <f t="shared" si="19"/>
        <v>-</v>
      </c>
      <c r="CZ41" s="100" t="str">
        <f t="shared" si="20"/>
        <v>-</v>
      </c>
      <c r="DA41" s="58" t="str">
        <f t="shared" si="53"/>
        <v>-</v>
      </c>
      <c r="DB41" s="58" t="str">
        <f t="shared" si="54"/>
        <v>-</v>
      </c>
      <c r="DC41" s="58" t="str">
        <f t="shared" si="55"/>
        <v>-</v>
      </c>
      <c r="DD41" s="58" t="str">
        <f t="shared" si="56"/>
        <v>-</v>
      </c>
      <c r="DH41" s="98" t="str">
        <f t="shared" si="57"/>
        <v>-</v>
      </c>
      <c r="DI41" s="98" t="str">
        <f t="shared" si="58"/>
        <v>-</v>
      </c>
      <c r="DJ41" s="74" t="str">
        <f t="shared" si="89"/>
        <v>-</v>
      </c>
      <c r="DK41" s="74" t="str">
        <f t="shared" si="89"/>
        <v>-</v>
      </c>
      <c r="DL41" s="100" t="str">
        <f t="shared" si="22"/>
        <v>-</v>
      </c>
      <c r="DM41" s="58" t="str">
        <f t="shared" si="60"/>
        <v>-</v>
      </c>
      <c r="DN41" s="58" t="str">
        <f t="shared" si="61"/>
        <v>-</v>
      </c>
      <c r="DO41" s="58" t="str">
        <f t="shared" si="62"/>
        <v>-</v>
      </c>
      <c r="DP41" s="58" t="str">
        <f t="shared" si="63"/>
        <v>-</v>
      </c>
      <c r="DQ41" s="100"/>
      <c r="DR41" s="100"/>
      <c r="DT41" s="98" t="str">
        <f t="shared" si="86"/>
        <v>-</v>
      </c>
      <c r="DU41" s="98" t="str">
        <f t="shared" si="64"/>
        <v>-</v>
      </c>
      <c r="DV41" s="74" t="str">
        <f t="shared" si="90"/>
        <v>-</v>
      </c>
      <c r="DW41" s="74" t="str">
        <f t="shared" si="90"/>
        <v>-</v>
      </c>
      <c r="DX41" s="100" t="str">
        <f t="shared" si="24"/>
        <v>-</v>
      </c>
      <c r="DY41" s="58" t="str">
        <f t="shared" si="66"/>
        <v>-</v>
      </c>
      <c r="DZ41" s="58" t="str">
        <f t="shared" si="67"/>
        <v>-</v>
      </c>
      <c r="EA41" s="58" t="str">
        <f t="shared" si="68"/>
        <v>-</v>
      </c>
      <c r="EB41" s="58" t="str">
        <f t="shared" si="69"/>
        <v>-</v>
      </c>
      <c r="EC41" s="100"/>
      <c r="ED41" s="100"/>
      <c r="EF41" s="98" t="str">
        <f t="shared" si="70"/>
        <v>-</v>
      </c>
      <c r="EG41" s="98" t="str">
        <f t="shared" si="71"/>
        <v>-</v>
      </c>
      <c r="EH41" s="74" t="str">
        <f t="shared" si="91"/>
        <v>-</v>
      </c>
      <c r="EI41" s="74" t="str">
        <f t="shared" si="91"/>
        <v>-</v>
      </c>
      <c r="EJ41" s="100" t="str">
        <f t="shared" si="26"/>
        <v>-</v>
      </c>
      <c r="EK41" s="58" t="str">
        <f t="shared" si="73"/>
        <v>-</v>
      </c>
      <c r="EL41" s="58" t="str">
        <f t="shared" si="74"/>
        <v>-</v>
      </c>
      <c r="EM41" s="58" t="str">
        <f t="shared" si="75"/>
        <v>-</v>
      </c>
      <c r="EN41" s="58" t="str">
        <f t="shared" si="76"/>
        <v>-</v>
      </c>
      <c r="EO41" s="100"/>
      <c r="EP41" s="100"/>
      <c r="ER41" s="79" t="str">
        <f t="shared" si="77"/>
        <v>-</v>
      </c>
      <c r="ES41" s="79" t="str">
        <f t="shared" si="78"/>
        <v>-</v>
      </c>
      <c r="ET41" s="79" t="str">
        <f t="shared" si="79"/>
        <v>-</v>
      </c>
      <c r="EU41" s="79" t="str">
        <f t="shared" si="80"/>
        <v>-</v>
      </c>
      <c r="EY41" s="74" t="str">
        <f>IF(E41=0,"-",LARGE(E6:E50,36))</f>
        <v>-</v>
      </c>
      <c r="EZ41" s="77" t="str">
        <f t="shared" si="81"/>
        <v>-</v>
      </c>
      <c r="FB41" s="77" t="str">
        <f t="shared" si="83"/>
        <v>-</v>
      </c>
      <c r="FC41" s="77" t="str">
        <f>IF(FB41="-","-",SMALL(FB6:FB50,36))</f>
        <v>-</v>
      </c>
    </row>
    <row r="42" spans="1:159" s="77" customFormat="1">
      <c r="B42" s="77" t="str">
        <f>IF(Main!$BL$5&gt;36,"x","")</f>
        <v/>
      </c>
      <c r="C42" s="95">
        <f>'1'!R39</f>
        <v>0</v>
      </c>
      <c r="D42" s="96">
        <f>'1'!J39</f>
        <v>0</v>
      </c>
      <c r="E42" s="96">
        <f>'1'!K39</f>
        <v>0</v>
      </c>
      <c r="G42" s="77" t="str">
        <f>IF(Main!$BN$5&gt;36,"x","")</f>
        <v/>
      </c>
      <c r="L42" s="96">
        <f>'3'!R39</f>
        <v>0</v>
      </c>
      <c r="M42" s="77">
        <f>'3'!J39</f>
        <v>0</v>
      </c>
      <c r="N42" s="74">
        <f>'3'!K39</f>
        <v>0</v>
      </c>
      <c r="Q42" s="74" t="s">
        <v>42</v>
      </c>
      <c r="T42" s="95" t="e">
        <f>DQ17</f>
        <v>#DIV/0!</v>
      </c>
      <c r="AJ42" s="98" t="str">
        <f t="shared" si="27"/>
        <v>-</v>
      </c>
      <c r="AK42" s="98" t="str">
        <f t="shared" si="28"/>
        <v>-</v>
      </c>
      <c r="AL42" s="98" t="str">
        <f t="shared" si="0"/>
        <v>-</v>
      </c>
      <c r="AM42" s="98" t="str">
        <f t="shared" si="29"/>
        <v>-</v>
      </c>
      <c r="AN42" s="98" t="str">
        <f t="shared" si="30"/>
        <v>-</v>
      </c>
      <c r="AO42" s="98" t="str">
        <f t="shared" si="31"/>
        <v>-</v>
      </c>
      <c r="AP42" s="98" t="str">
        <f t="shared" si="32"/>
        <v>-</v>
      </c>
      <c r="AQ42" s="98" t="str">
        <f t="shared" si="33"/>
        <v>-</v>
      </c>
      <c r="AT42" s="103" t="e">
        <f t="shared" si="93"/>
        <v>#DIV/0!</v>
      </c>
      <c r="AU42" s="103" t="e">
        <f t="shared" si="93"/>
        <v>#DIV/0!</v>
      </c>
      <c r="AV42" s="103" t="e">
        <f t="shared" si="93"/>
        <v>#DIV/0!</v>
      </c>
      <c r="AW42" s="103" t="e">
        <f t="shared" si="93"/>
        <v>#DIV/0!</v>
      </c>
      <c r="AX42" s="74" t="str">
        <f t="shared" si="35"/>
        <v>-</v>
      </c>
      <c r="AY42" s="74">
        <f t="shared" si="36"/>
        <v>0</v>
      </c>
      <c r="AZ42" s="74">
        <f t="shared" si="37"/>
        <v>0</v>
      </c>
      <c r="BA42" s="98">
        <f t="shared" si="38"/>
        <v>0</v>
      </c>
      <c r="BB42" s="74">
        <f t="shared" si="1"/>
        <v>0</v>
      </c>
      <c r="BC42" s="74">
        <f t="shared" si="2"/>
        <v>0</v>
      </c>
      <c r="BG42" s="74">
        <f t="shared" si="39"/>
        <v>0</v>
      </c>
      <c r="BH42" s="74">
        <f t="shared" si="40"/>
        <v>0</v>
      </c>
      <c r="BI42" s="98">
        <f t="shared" si="41"/>
        <v>0</v>
      </c>
      <c r="BJ42" s="74">
        <f t="shared" si="3"/>
        <v>0</v>
      </c>
      <c r="BK42" s="74">
        <f t="shared" si="4"/>
        <v>0</v>
      </c>
      <c r="BN42" s="74">
        <f t="shared" si="42"/>
        <v>0</v>
      </c>
      <c r="BO42" s="74" t="str">
        <f t="shared" si="43"/>
        <v>-</v>
      </c>
      <c r="BP42" s="98" t="str">
        <f t="shared" si="44"/>
        <v>-</v>
      </c>
      <c r="BQ42" s="98" t="str">
        <f t="shared" si="45"/>
        <v>-</v>
      </c>
      <c r="BR42" s="98" t="str">
        <f t="shared" si="5"/>
        <v>-</v>
      </c>
      <c r="BS42" s="98" t="str">
        <f t="shared" si="6"/>
        <v>-</v>
      </c>
      <c r="BT42" s="98" t="str">
        <f t="shared" si="7"/>
        <v>-</v>
      </c>
      <c r="BU42" s="98" t="str">
        <f t="shared" si="8"/>
        <v>-</v>
      </c>
      <c r="BV42" s="98" t="str">
        <f t="shared" si="9"/>
        <v>-</v>
      </c>
      <c r="BW42" s="98" t="str">
        <f t="shared" si="10"/>
        <v>-</v>
      </c>
      <c r="BZ42" s="103" t="e">
        <f t="shared" si="94"/>
        <v>#DIV/0!</v>
      </c>
      <c r="CA42" s="103" t="e">
        <f t="shared" si="94"/>
        <v>#DIV/0!</v>
      </c>
      <c r="CB42" s="103" t="e">
        <f t="shared" si="94"/>
        <v>#DIV/0!</v>
      </c>
      <c r="CC42" s="103" t="e">
        <f t="shared" si="94"/>
        <v>#DIV/0!</v>
      </c>
      <c r="CD42" s="74" t="str">
        <f t="shared" si="11"/>
        <v>-</v>
      </c>
      <c r="CE42" s="74">
        <f t="shared" si="47"/>
        <v>0</v>
      </c>
      <c r="CF42" s="74">
        <f t="shared" si="48"/>
        <v>0</v>
      </c>
      <c r="CG42" s="98">
        <f t="shared" si="49"/>
        <v>0</v>
      </c>
      <c r="CH42" s="74">
        <f t="shared" si="12"/>
        <v>0</v>
      </c>
      <c r="CI42" s="74">
        <f t="shared" si="13"/>
        <v>0</v>
      </c>
      <c r="CM42" s="74">
        <f t="shared" si="14"/>
        <v>0</v>
      </c>
      <c r="CN42" s="74">
        <f t="shared" si="50"/>
        <v>0</v>
      </c>
      <c r="CO42" s="98">
        <f t="shared" si="51"/>
        <v>0</v>
      </c>
      <c r="CP42" s="74">
        <f t="shared" si="15"/>
        <v>0</v>
      </c>
      <c r="CQ42" s="74">
        <f t="shared" si="16"/>
        <v>0</v>
      </c>
      <c r="CV42" s="98" t="str">
        <f t="shared" si="17"/>
        <v>-</v>
      </c>
      <c r="CW42" s="95" t="str">
        <f t="shared" si="18"/>
        <v>-</v>
      </c>
      <c r="CX42" s="74" t="str">
        <f t="shared" si="52"/>
        <v>-</v>
      </c>
      <c r="CY42" s="74" t="str">
        <f t="shared" si="19"/>
        <v>-</v>
      </c>
      <c r="CZ42" s="100" t="str">
        <f t="shared" si="20"/>
        <v>-</v>
      </c>
      <c r="DA42" s="58" t="str">
        <f t="shared" si="53"/>
        <v>-</v>
      </c>
      <c r="DB42" s="58" t="str">
        <f t="shared" si="54"/>
        <v>-</v>
      </c>
      <c r="DC42" s="58" t="str">
        <f t="shared" si="55"/>
        <v>-</v>
      </c>
      <c r="DD42" s="58" t="str">
        <f t="shared" si="56"/>
        <v>-</v>
      </c>
      <c r="DH42" s="98" t="str">
        <f t="shared" si="57"/>
        <v>-</v>
      </c>
      <c r="DI42" s="98" t="str">
        <f t="shared" si="58"/>
        <v>-</v>
      </c>
      <c r="DJ42" s="74" t="str">
        <f t="shared" si="89"/>
        <v>-</v>
      </c>
      <c r="DK42" s="74" t="str">
        <f t="shared" si="89"/>
        <v>-</v>
      </c>
      <c r="DL42" s="100" t="str">
        <f t="shared" si="22"/>
        <v>-</v>
      </c>
      <c r="DM42" s="58" t="str">
        <f t="shared" si="60"/>
        <v>-</v>
      </c>
      <c r="DN42" s="58" t="str">
        <f t="shared" si="61"/>
        <v>-</v>
      </c>
      <c r="DO42" s="58" t="str">
        <f t="shared" si="62"/>
        <v>-</v>
      </c>
      <c r="DP42" s="58" t="str">
        <f t="shared" si="63"/>
        <v>-</v>
      </c>
      <c r="DQ42" s="100"/>
      <c r="DR42" s="100"/>
      <c r="DT42" s="98" t="str">
        <f t="shared" si="86"/>
        <v>-</v>
      </c>
      <c r="DU42" s="98" t="str">
        <f t="shared" si="64"/>
        <v>-</v>
      </c>
      <c r="DV42" s="74" t="str">
        <f t="shared" si="90"/>
        <v>-</v>
      </c>
      <c r="DW42" s="74" t="str">
        <f t="shared" si="90"/>
        <v>-</v>
      </c>
      <c r="DX42" s="100" t="str">
        <f t="shared" si="24"/>
        <v>-</v>
      </c>
      <c r="DY42" s="58" t="str">
        <f t="shared" si="66"/>
        <v>-</v>
      </c>
      <c r="DZ42" s="58" t="str">
        <f t="shared" si="67"/>
        <v>-</v>
      </c>
      <c r="EA42" s="58" t="str">
        <f t="shared" si="68"/>
        <v>-</v>
      </c>
      <c r="EB42" s="58" t="str">
        <f t="shared" si="69"/>
        <v>-</v>
      </c>
      <c r="EC42" s="100"/>
      <c r="ED42" s="100"/>
      <c r="EF42" s="98" t="str">
        <f t="shared" si="70"/>
        <v>-</v>
      </c>
      <c r="EG42" s="98" t="str">
        <f t="shared" si="71"/>
        <v>-</v>
      </c>
      <c r="EH42" s="74" t="str">
        <f t="shared" si="91"/>
        <v>-</v>
      </c>
      <c r="EI42" s="74" t="str">
        <f t="shared" si="91"/>
        <v>-</v>
      </c>
      <c r="EJ42" s="100" t="str">
        <f t="shared" si="26"/>
        <v>-</v>
      </c>
      <c r="EK42" s="58" t="str">
        <f t="shared" si="73"/>
        <v>-</v>
      </c>
      <c r="EL42" s="58" t="str">
        <f t="shared" si="74"/>
        <v>-</v>
      </c>
      <c r="EM42" s="58" t="str">
        <f t="shared" si="75"/>
        <v>-</v>
      </c>
      <c r="EN42" s="58" t="str">
        <f t="shared" si="76"/>
        <v>-</v>
      </c>
      <c r="EO42" s="100"/>
      <c r="EP42" s="100"/>
      <c r="ER42" s="79" t="str">
        <f t="shared" si="77"/>
        <v>-</v>
      </c>
      <c r="ES42" s="79" t="str">
        <f t="shared" si="78"/>
        <v>-</v>
      </c>
      <c r="ET42" s="79" t="str">
        <f t="shared" si="79"/>
        <v>-</v>
      </c>
      <c r="EU42" s="79" t="str">
        <f t="shared" si="80"/>
        <v>-</v>
      </c>
      <c r="EY42" s="74" t="str">
        <f>IF(E42=0,"-",LARGE(E6:E50,37))</f>
        <v>-</v>
      </c>
      <c r="EZ42" s="77" t="str">
        <f t="shared" si="81"/>
        <v>-</v>
      </c>
      <c r="FB42" s="77" t="str">
        <f t="shared" si="83"/>
        <v>-</v>
      </c>
      <c r="FC42" s="77" t="str">
        <f>IF(FB42="-","-",SMALL(FB6:FB50,37))</f>
        <v>-</v>
      </c>
    </row>
    <row r="43" spans="1:159" s="77" customFormat="1">
      <c r="B43" s="77" t="str">
        <f>IF(Main!$BL$5&gt;37,"x","")</f>
        <v/>
      </c>
      <c r="C43" s="95">
        <f>'1'!R40</f>
        <v>0</v>
      </c>
      <c r="D43" s="96">
        <f>'1'!J40</f>
        <v>0</v>
      </c>
      <c r="E43" s="96">
        <f>'1'!K40</f>
        <v>0</v>
      </c>
      <c r="G43" s="77" t="str">
        <f>IF(Main!$BN$5&gt;37,"x","")</f>
        <v/>
      </c>
      <c r="L43" s="96">
        <f>'3'!R40</f>
        <v>0</v>
      </c>
      <c r="M43" s="77">
        <f>'3'!J40</f>
        <v>0</v>
      </c>
      <c r="N43" s="74">
        <f>'3'!K40</f>
        <v>0</v>
      </c>
      <c r="Q43" s="74" t="s">
        <v>43</v>
      </c>
      <c r="T43" s="95" t="e">
        <f>DQ18</f>
        <v>#DIV/0!</v>
      </c>
      <c r="AJ43" s="98" t="str">
        <f t="shared" si="27"/>
        <v>-</v>
      </c>
      <c r="AK43" s="98" t="str">
        <f t="shared" si="28"/>
        <v>-</v>
      </c>
      <c r="AL43" s="98" t="str">
        <f t="shared" si="0"/>
        <v>-</v>
      </c>
      <c r="AM43" s="98" t="str">
        <f t="shared" si="29"/>
        <v>-</v>
      </c>
      <c r="AN43" s="98" t="str">
        <f t="shared" si="30"/>
        <v>-</v>
      </c>
      <c r="AO43" s="98" t="str">
        <f t="shared" si="31"/>
        <v>-</v>
      </c>
      <c r="AP43" s="98" t="str">
        <f t="shared" si="32"/>
        <v>-</v>
      </c>
      <c r="AQ43" s="98" t="str">
        <f t="shared" si="33"/>
        <v>-</v>
      </c>
      <c r="AT43" s="103" t="e">
        <f t="shared" si="93"/>
        <v>#DIV/0!</v>
      </c>
      <c r="AU43" s="103" t="e">
        <f t="shared" si="93"/>
        <v>#DIV/0!</v>
      </c>
      <c r="AV43" s="103" t="e">
        <f t="shared" si="93"/>
        <v>#DIV/0!</v>
      </c>
      <c r="AW43" s="103" t="e">
        <f t="shared" si="93"/>
        <v>#DIV/0!</v>
      </c>
      <c r="AX43" s="74" t="str">
        <f t="shared" si="35"/>
        <v>-</v>
      </c>
      <c r="AY43" s="74">
        <f t="shared" si="36"/>
        <v>0</v>
      </c>
      <c r="AZ43" s="74">
        <f t="shared" si="37"/>
        <v>0</v>
      </c>
      <c r="BA43" s="98">
        <f t="shared" si="38"/>
        <v>0</v>
      </c>
      <c r="BB43" s="74">
        <f t="shared" si="1"/>
        <v>0</v>
      </c>
      <c r="BC43" s="74">
        <f t="shared" si="2"/>
        <v>0</v>
      </c>
      <c r="BG43" s="74">
        <f t="shared" si="39"/>
        <v>0</v>
      </c>
      <c r="BH43" s="74">
        <f t="shared" si="40"/>
        <v>0</v>
      </c>
      <c r="BI43" s="98">
        <f t="shared" si="41"/>
        <v>0</v>
      </c>
      <c r="BJ43" s="74">
        <f t="shared" si="3"/>
        <v>0</v>
      </c>
      <c r="BK43" s="74">
        <f t="shared" si="4"/>
        <v>0</v>
      </c>
      <c r="BN43" s="74">
        <f t="shared" si="42"/>
        <v>0</v>
      </c>
      <c r="BO43" s="74" t="str">
        <f t="shared" si="43"/>
        <v>-</v>
      </c>
      <c r="BP43" s="98" t="str">
        <f t="shared" si="44"/>
        <v>-</v>
      </c>
      <c r="BQ43" s="98" t="str">
        <f t="shared" si="45"/>
        <v>-</v>
      </c>
      <c r="BR43" s="98" t="str">
        <f t="shared" si="5"/>
        <v>-</v>
      </c>
      <c r="BS43" s="98" t="str">
        <f t="shared" si="6"/>
        <v>-</v>
      </c>
      <c r="BT43" s="98" t="str">
        <f t="shared" si="7"/>
        <v>-</v>
      </c>
      <c r="BU43" s="98" t="str">
        <f t="shared" si="8"/>
        <v>-</v>
      </c>
      <c r="BV43" s="98" t="str">
        <f t="shared" si="9"/>
        <v>-</v>
      </c>
      <c r="BW43" s="98" t="str">
        <f t="shared" si="10"/>
        <v>-</v>
      </c>
      <c r="BZ43" s="103" t="e">
        <f t="shared" si="94"/>
        <v>#DIV/0!</v>
      </c>
      <c r="CA43" s="103" t="e">
        <f t="shared" si="94"/>
        <v>#DIV/0!</v>
      </c>
      <c r="CB43" s="103" t="e">
        <f t="shared" si="94"/>
        <v>#DIV/0!</v>
      </c>
      <c r="CC43" s="103" t="e">
        <f t="shared" si="94"/>
        <v>#DIV/0!</v>
      </c>
      <c r="CD43" s="74" t="str">
        <f t="shared" si="11"/>
        <v>-</v>
      </c>
      <c r="CE43" s="74">
        <f t="shared" si="47"/>
        <v>0</v>
      </c>
      <c r="CF43" s="74">
        <f t="shared" si="48"/>
        <v>0</v>
      </c>
      <c r="CG43" s="98">
        <f t="shared" si="49"/>
        <v>0</v>
      </c>
      <c r="CH43" s="74">
        <f t="shared" si="12"/>
        <v>0</v>
      </c>
      <c r="CI43" s="74">
        <f t="shared" si="13"/>
        <v>0</v>
      </c>
      <c r="CM43" s="74">
        <f t="shared" si="14"/>
        <v>0</v>
      </c>
      <c r="CN43" s="74">
        <f t="shared" si="50"/>
        <v>0</v>
      </c>
      <c r="CO43" s="98">
        <f t="shared" si="51"/>
        <v>0</v>
      </c>
      <c r="CP43" s="74">
        <f t="shared" si="15"/>
        <v>0</v>
      </c>
      <c r="CQ43" s="74">
        <f t="shared" si="16"/>
        <v>0</v>
      </c>
      <c r="CV43" s="98" t="str">
        <f t="shared" si="17"/>
        <v>-</v>
      </c>
      <c r="CW43" s="95" t="str">
        <f t="shared" si="18"/>
        <v>-</v>
      </c>
      <c r="CX43" s="74" t="str">
        <f t="shared" si="52"/>
        <v>-</v>
      </c>
      <c r="CY43" s="74" t="str">
        <f t="shared" si="19"/>
        <v>-</v>
      </c>
      <c r="CZ43" s="100" t="str">
        <f t="shared" si="20"/>
        <v>-</v>
      </c>
      <c r="DA43" s="58" t="str">
        <f t="shared" si="53"/>
        <v>-</v>
      </c>
      <c r="DB43" s="58" t="str">
        <f t="shared" si="54"/>
        <v>-</v>
      </c>
      <c r="DC43" s="58" t="str">
        <f t="shared" si="55"/>
        <v>-</v>
      </c>
      <c r="DD43" s="58" t="str">
        <f t="shared" si="56"/>
        <v>-</v>
      </c>
      <c r="DH43" s="98" t="str">
        <f t="shared" si="57"/>
        <v>-</v>
      </c>
      <c r="DI43" s="98" t="str">
        <f t="shared" si="58"/>
        <v>-</v>
      </c>
      <c r="DJ43" s="74" t="str">
        <f t="shared" si="89"/>
        <v>-</v>
      </c>
      <c r="DK43" s="74" t="str">
        <f t="shared" si="89"/>
        <v>-</v>
      </c>
      <c r="DL43" s="100" t="str">
        <f t="shared" si="22"/>
        <v>-</v>
      </c>
      <c r="DM43" s="58" t="str">
        <f t="shared" si="60"/>
        <v>-</v>
      </c>
      <c r="DN43" s="58" t="str">
        <f t="shared" si="61"/>
        <v>-</v>
      </c>
      <c r="DO43" s="58" t="str">
        <f t="shared" si="62"/>
        <v>-</v>
      </c>
      <c r="DP43" s="58" t="str">
        <f t="shared" si="63"/>
        <v>-</v>
      </c>
      <c r="DQ43" s="100"/>
      <c r="DR43" s="100"/>
      <c r="DT43" s="98" t="str">
        <f t="shared" si="86"/>
        <v>-</v>
      </c>
      <c r="DU43" s="98" t="str">
        <f t="shared" si="64"/>
        <v>-</v>
      </c>
      <c r="DV43" s="74" t="str">
        <f t="shared" si="90"/>
        <v>-</v>
      </c>
      <c r="DW43" s="74" t="str">
        <f t="shared" si="90"/>
        <v>-</v>
      </c>
      <c r="DX43" s="100" t="str">
        <f t="shared" si="24"/>
        <v>-</v>
      </c>
      <c r="DY43" s="58" t="str">
        <f t="shared" si="66"/>
        <v>-</v>
      </c>
      <c r="DZ43" s="58" t="str">
        <f t="shared" si="67"/>
        <v>-</v>
      </c>
      <c r="EA43" s="58" t="str">
        <f t="shared" si="68"/>
        <v>-</v>
      </c>
      <c r="EB43" s="58" t="str">
        <f t="shared" si="69"/>
        <v>-</v>
      </c>
      <c r="EC43" s="100"/>
      <c r="ED43" s="100"/>
      <c r="EF43" s="98" t="str">
        <f t="shared" si="70"/>
        <v>-</v>
      </c>
      <c r="EG43" s="98" t="str">
        <f t="shared" si="71"/>
        <v>-</v>
      </c>
      <c r="EH43" s="74" t="str">
        <f t="shared" si="91"/>
        <v>-</v>
      </c>
      <c r="EI43" s="74" t="str">
        <f t="shared" si="91"/>
        <v>-</v>
      </c>
      <c r="EJ43" s="100" t="str">
        <f t="shared" si="26"/>
        <v>-</v>
      </c>
      <c r="EK43" s="58" t="str">
        <f t="shared" si="73"/>
        <v>-</v>
      </c>
      <c r="EL43" s="58" t="str">
        <f t="shared" si="74"/>
        <v>-</v>
      </c>
      <c r="EM43" s="58" t="str">
        <f t="shared" si="75"/>
        <v>-</v>
      </c>
      <c r="EN43" s="58" t="str">
        <f t="shared" si="76"/>
        <v>-</v>
      </c>
      <c r="EO43" s="100"/>
      <c r="EP43" s="100"/>
      <c r="ER43" s="79" t="str">
        <f t="shared" si="77"/>
        <v>-</v>
      </c>
      <c r="ES43" s="79" t="str">
        <f t="shared" si="78"/>
        <v>-</v>
      </c>
      <c r="ET43" s="79" t="str">
        <f t="shared" si="79"/>
        <v>-</v>
      </c>
      <c r="EU43" s="79" t="str">
        <f t="shared" si="80"/>
        <v>-</v>
      </c>
      <c r="EY43" s="74" t="str">
        <f>IF(E43=0,"-",LARGE(E6:E50,38))</f>
        <v>-</v>
      </c>
      <c r="EZ43" s="77" t="str">
        <f t="shared" si="81"/>
        <v>-</v>
      </c>
      <c r="FB43" s="77" t="str">
        <f t="shared" si="83"/>
        <v>-</v>
      </c>
      <c r="FC43" s="77" t="str">
        <f>IF(FB43="-","-",SMALL(FB6:FB50,38))</f>
        <v>-</v>
      </c>
    </row>
    <row r="44" spans="1:159" s="77" customFormat="1">
      <c r="B44" s="77" t="str">
        <f>IF(Main!$BL$5&gt;38,"x","")</f>
        <v/>
      </c>
      <c r="C44" s="95">
        <f>'1'!R41</f>
        <v>0</v>
      </c>
      <c r="D44" s="96">
        <f>'1'!J41</f>
        <v>0</v>
      </c>
      <c r="E44" s="96">
        <f>'1'!K41</f>
        <v>0</v>
      </c>
      <c r="G44" s="77" t="str">
        <f>IF(Main!$BN$5&gt;38,"x","")</f>
        <v/>
      </c>
      <c r="L44" s="96">
        <f>'3'!R41</f>
        <v>0</v>
      </c>
      <c r="M44" s="77">
        <f>'3'!J41</f>
        <v>0</v>
      </c>
      <c r="N44" s="74">
        <f>'3'!K41</f>
        <v>0</v>
      </c>
      <c r="Q44" s="74" t="s">
        <v>44</v>
      </c>
      <c r="T44" s="95" t="e">
        <f>EO15</f>
        <v>#DIV/0!</v>
      </c>
      <c r="AJ44" s="98" t="str">
        <f t="shared" si="27"/>
        <v>-</v>
      </c>
      <c r="AK44" s="98" t="str">
        <f t="shared" si="28"/>
        <v>-</v>
      </c>
      <c r="AL44" s="98" t="str">
        <f t="shared" si="0"/>
        <v>-</v>
      </c>
      <c r="AM44" s="98" t="str">
        <f t="shared" si="29"/>
        <v>-</v>
      </c>
      <c r="AN44" s="98" t="str">
        <f t="shared" si="30"/>
        <v>-</v>
      </c>
      <c r="AO44" s="98" t="str">
        <f t="shared" si="31"/>
        <v>-</v>
      </c>
      <c r="AP44" s="98" t="str">
        <f t="shared" si="32"/>
        <v>-</v>
      </c>
      <c r="AQ44" s="98" t="str">
        <f t="shared" si="33"/>
        <v>-</v>
      </c>
      <c r="AT44" s="103" t="e">
        <f t="shared" si="93"/>
        <v>#DIV/0!</v>
      </c>
      <c r="AU44" s="103" t="e">
        <f t="shared" si="93"/>
        <v>#DIV/0!</v>
      </c>
      <c r="AV44" s="103" t="e">
        <f t="shared" si="93"/>
        <v>#DIV/0!</v>
      </c>
      <c r="AW44" s="103" t="e">
        <f t="shared" si="93"/>
        <v>#DIV/0!</v>
      </c>
      <c r="AX44" s="74" t="str">
        <f t="shared" si="35"/>
        <v>-</v>
      </c>
      <c r="AY44" s="74">
        <f t="shared" si="36"/>
        <v>0</v>
      </c>
      <c r="AZ44" s="74">
        <f t="shared" si="37"/>
        <v>0</v>
      </c>
      <c r="BA44" s="98">
        <f t="shared" si="38"/>
        <v>0</v>
      </c>
      <c r="BB44" s="74">
        <f t="shared" si="1"/>
        <v>0</v>
      </c>
      <c r="BC44" s="74">
        <f t="shared" si="2"/>
        <v>0</v>
      </c>
      <c r="BG44" s="74">
        <f t="shared" si="39"/>
        <v>0</v>
      </c>
      <c r="BH44" s="74">
        <f t="shared" si="40"/>
        <v>0</v>
      </c>
      <c r="BI44" s="98">
        <f t="shared" si="41"/>
        <v>0</v>
      </c>
      <c r="BJ44" s="74">
        <f t="shared" si="3"/>
        <v>0</v>
      </c>
      <c r="BK44" s="74">
        <f t="shared" si="4"/>
        <v>0</v>
      </c>
      <c r="BN44" s="74">
        <f t="shared" si="42"/>
        <v>0</v>
      </c>
      <c r="BO44" s="74" t="str">
        <f t="shared" si="43"/>
        <v>-</v>
      </c>
      <c r="BP44" s="98" t="str">
        <f t="shared" si="44"/>
        <v>-</v>
      </c>
      <c r="BQ44" s="98" t="str">
        <f t="shared" si="45"/>
        <v>-</v>
      </c>
      <c r="BR44" s="98" t="str">
        <f t="shared" si="5"/>
        <v>-</v>
      </c>
      <c r="BS44" s="98" t="str">
        <f t="shared" si="6"/>
        <v>-</v>
      </c>
      <c r="BT44" s="98" t="str">
        <f t="shared" si="7"/>
        <v>-</v>
      </c>
      <c r="BU44" s="98" t="str">
        <f t="shared" si="8"/>
        <v>-</v>
      </c>
      <c r="BV44" s="98" t="str">
        <f t="shared" si="9"/>
        <v>-</v>
      </c>
      <c r="BW44" s="98" t="str">
        <f t="shared" si="10"/>
        <v>-</v>
      </c>
      <c r="BZ44" s="103" t="e">
        <f t="shared" si="94"/>
        <v>#DIV/0!</v>
      </c>
      <c r="CA44" s="103" t="e">
        <f t="shared" si="94"/>
        <v>#DIV/0!</v>
      </c>
      <c r="CB44" s="103" t="e">
        <f t="shared" si="94"/>
        <v>#DIV/0!</v>
      </c>
      <c r="CC44" s="103" t="e">
        <f t="shared" si="94"/>
        <v>#DIV/0!</v>
      </c>
      <c r="CD44" s="74" t="str">
        <f t="shared" si="11"/>
        <v>-</v>
      </c>
      <c r="CE44" s="74">
        <f t="shared" si="47"/>
        <v>0</v>
      </c>
      <c r="CF44" s="74">
        <f t="shared" si="48"/>
        <v>0</v>
      </c>
      <c r="CG44" s="98">
        <f t="shared" si="49"/>
        <v>0</v>
      </c>
      <c r="CH44" s="74">
        <f t="shared" si="12"/>
        <v>0</v>
      </c>
      <c r="CI44" s="74">
        <f t="shared" si="13"/>
        <v>0</v>
      </c>
      <c r="CM44" s="74">
        <f t="shared" si="14"/>
        <v>0</v>
      </c>
      <c r="CN44" s="74">
        <f t="shared" si="50"/>
        <v>0</v>
      </c>
      <c r="CO44" s="98">
        <f t="shared" si="51"/>
        <v>0</v>
      </c>
      <c r="CP44" s="74">
        <f t="shared" si="15"/>
        <v>0</v>
      </c>
      <c r="CQ44" s="74">
        <f t="shared" si="16"/>
        <v>0</v>
      </c>
      <c r="CV44" s="98" t="str">
        <f t="shared" si="17"/>
        <v>-</v>
      </c>
      <c r="CW44" s="95" t="str">
        <f t="shared" si="18"/>
        <v>-</v>
      </c>
      <c r="CX44" s="74" t="str">
        <f t="shared" si="52"/>
        <v>-</v>
      </c>
      <c r="CY44" s="74" t="str">
        <f t="shared" si="19"/>
        <v>-</v>
      </c>
      <c r="CZ44" s="100" t="str">
        <f t="shared" si="20"/>
        <v>-</v>
      </c>
      <c r="DA44" s="58" t="str">
        <f t="shared" si="53"/>
        <v>-</v>
      </c>
      <c r="DB44" s="58" t="str">
        <f t="shared" si="54"/>
        <v>-</v>
      </c>
      <c r="DC44" s="58" t="str">
        <f t="shared" si="55"/>
        <v>-</v>
      </c>
      <c r="DD44" s="58" t="str">
        <f t="shared" si="56"/>
        <v>-</v>
      </c>
      <c r="DH44" s="98" t="str">
        <f t="shared" si="57"/>
        <v>-</v>
      </c>
      <c r="DI44" s="98" t="str">
        <f t="shared" si="58"/>
        <v>-</v>
      </c>
      <c r="DJ44" s="74" t="str">
        <f t="shared" si="89"/>
        <v>-</v>
      </c>
      <c r="DK44" s="74" t="str">
        <f t="shared" si="89"/>
        <v>-</v>
      </c>
      <c r="DL44" s="100" t="str">
        <f t="shared" si="22"/>
        <v>-</v>
      </c>
      <c r="DM44" s="58" t="str">
        <f t="shared" si="60"/>
        <v>-</v>
      </c>
      <c r="DN44" s="58" t="str">
        <f t="shared" si="61"/>
        <v>-</v>
      </c>
      <c r="DO44" s="58" t="str">
        <f t="shared" si="62"/>
        <v>-</v>
      </c>
      <c r="DP44" s="58" t="str">
        <f t="shared" si="63"/>
        <v>-</v>
      </c>
      <c r="DQ44" s="100"/>
      <c r="DR44" s="100"/>
      <c r="DT44" s="98" t="str">
        <f t="shared" si="86"/>
        <v>-</v>
      </c>
      <c r="DU44" s="98" t="str">
        <f t="shared" si="64"/>
        <v>-</v>
      </c>
      <c r="DV44" s="74" t="str">
        <f t="shared" si="90"/>
        <v>-</v>
      </c>
      <c r="DW44" s="74" t="str">
        <f t="shared" si="90"/>
        <v>-</v>
      </c>
      <c r="DX44" s="100" t="str">
        <f t="shared" si="24"/>
        <v>-</v>
      </c>
      <c r="DY44" s="58" t="str">
        <f t="shared" si="66"/>
        <v>-</v>
      </c>
      <c r="DZ44" s="58" t="str">
        <f t="shared" si="67"/>
        <v>-</v>
      </c>
      <c r="EA44" s="58" t="str">
        <f t="shared" si="68"/>
        <v>-</v>
      </c>
      <c r="EB44" s="58" t="str">
        <f t="shared" si="69"/>
        <v>-</v>
      </c>
      <c r="EC44" s="100"/>
      <c r="ED44" s="100"/>
      <c r="EF44" s="98" t="str">
        <f t="shared" si="70"/>
        <v>-</v>
      </c>
      <c r="EG44" s="98" t="str">
        <f t="shared" si="71"/>
        <v>-</v>
      </c>
      <c r="EH44" s="74" t="str">
        <f t="shared" si="91"/>
        <v>-</v>
      </c>
      <c r="EI44" s="74" t="str">
        <f t="shared" si="91"/>
        <v>-</v>
      </c>
      <c r="EJ44" s="100" t="str">
        <f t="shared" si="26"/>
        <v>-</v>
      </c>
      <c r="EK44" s="58" t="str">
        <f t="shared" si="73"/>
        <v>-</v>
      </c>
      <c r="EL44" s="58" t="str">
        <f t="shared" si="74"/>
        <v>-</v>
      </c>
      <c r="EM44" s="58" t="str">
        <f t="shared" si="75"/>
        <v>-</v>
      </c>
      <c r="EN44" s="58" t="str">
        <f t="shared" si="76"/>
        <v>-</v>
      </c>
      <c r="EO44" s="100"/>
      <c r="EP44" s="100"/>
      <c r="ER44" s="79" t="str">
        <f t="shared" si="77"/>
        <v>-</v>
      </c>
      <c r="ES44" s="79" t="str">
        <f t="shared" si="78"/>
        <v>-</v>
      </c>
      <c r="ET44" s="79" t="str">
        <f t="shared" si="79"/>
        <v>-</v>
      </c>
      <c r="EU44" s="79" t="str">
        <f t="shared" si="80"/>
        <v>-</v>
      </c>
      <c r="EY44" s="74" t="str">
        <f>IF(E44=0,"-",LARGE(E6:E50,39))</f>
        <v>-</v>
      </c>
      <c r="EZ44" s="77" t="str">
        <f t="shared" si="81"/>
        <v>-</v>
      </c>
      <c r="FB44" s="77" t="str">
        <f t="shared" si="83"/>
        <v>-</v>
      </c>
      <c r="FC44" s="77" t="str">
        <f>IF(FB44="-","-",SMALL(FB6:FB50,39))</f>
        <v>-</v>
      </c>
    </row>
    <row r="45" spans="1:159" s="77" customFormat="1">
      <c r="B45" s="77" t="str">
        <f>IF(Main!$BL$5&gt;39,"x","")</f>
        <v/>
      </c>
      <c r="C45" s="95">
        <f>'1'!R42</f>
        <v>0</v>
      </c>
      <c r="D45" s="96">
        <f>'1'!J42</f>
        <v>0</v>
      </c>
      <c r="E45" s="96">
        <f>'1'!K42</f>
        <v>0</v>
      </c>
      <c r="G45" s="77" t="str">
        <f>IF(Main!$BN$5&gt;39,"x","")</f>
        <v/>
      </c>
      <c r="L45" s="96">
        <f>'3'!R42</f>
        <v>0</v>
      </c>
      <c r="M45" s="77">
        <f>'3'!J42</f>
        <v>0</v>
      </c>
      <c r="N45" s="74">
        <f>'3'!K42</f>
        <v>0</v>
      </c>
      <c r="Q45" s="74" t="s">
        <v>45</v>
      </c>
      <c r="T45" s="95" t="e">
        <f t="shared" ref="T45:T47" si="95">EO16</f>
        <v>#DIV/0!</v>
      </c>
      <c r="AJ45" s="98" t="str">
        <f t="shared" si="27"/>
        <v>-</v>
      </c>
      <c r="AK45" s="98" t="str">
        <f t="shared" si="28"/>
        <v>-</v>
      </c>
      <c r="AL45" s="98" t="str">
        <f t="shared" si="0"/>
        <v>-</v>
      </c>
      <c r="AM45" s="98" t="str">
        <f t="shared" si="29"/>
        <v>-</v>
      </c>
      <c r="AN45" s="98" t="str">
        <f t="shared" si="30"/>
        <v>-</v>
      </c>
      <c r="AO45" s="98" t="str">
        <f t="shared" si="31"/>
        <v>-</v>
      </c>
      <c r="AP45" s="98" t="str">
        <f t="shared" si="32"/>
        <v>-</v>
      </c>
      <c r="AQ45" s="98" t="str">
        <f t="shared" si="33"/>
        <v>-</v>
      </c>
      <c r="AT45" s="103" t="e">
        <f t="shared" si="93"/>
        <v>#DIV/0!</v>
      </c>
      <c r="AU45" s="103" t="e">
        <f t="shared" si="93"/>
        <v>#DIV/0!</v>
      </c>
      <c r="AV45" s="103" t="e">
        <f t="shared" si="93"/>
        <v>#DIV/0!</v>
      </c>
      <c r="AW45" s="103" t="e">
        <f t="shared" si="93"/>
        <v>#DIV/0!</v>
      </c>
      <c r="AX45" s="74" t="str">
        <f t="shared" si="35"/>
        <v>-</v>
      </c>
      <c r="AY45" s="74">
        <f t="shared" si="36"/>
        <v>0</v>
      </c>
      <c r="AZ45" s="74">
        <f t="shared" si="37"/>
        <v>0</v>
      </c>
      <c r="BA45" s="98">
        <f t="shared" si="38"/>
        <v>0</v>
      </c>
      <c r="BB45" s="74">
        <f t="shared" si="1"/>
        <v>0</v>
      </c>
      <c r="BC45" s="74">
        <f t="shared" si="2"/>
        <v>0</v>
      </c>
      <c r="BG45" s="74">
        <f t="shared" si="39"/>
        <v>0</v>
      </c>
      <c r="BH45" s="74">
        <f t="shared" si="40"/>
        <v>0</v>
      </c>
      <c r="BI45" s="98">
        <f t="shared" si="41"/>
        <v>0</v>
      </c>
      <c r="BJ45" s="74">
        <f t="shared" si="3"/>
        <v>0</v>
      </c>
      <c r="BK45" s="74">
        <f t="shared" si="4"/>
        <v>0</v>
      </c>
      <c r="BN45" s="74">
        <f t="shared" si="42"/>
        <v>0</v>
      </c>
      <c r="BO45" s="74" t="str">
        <f t="shared" si="43"/>
        <v>-</v>
      </c>
      <c r="BP45" s="98" t="str">
        <f t="shared" si="44"/>
        <v>-</v>
      </c>
      <c r="BQ45" s="98" t="str">
        <f t="shared" si="45"/>
        <v>-</v>
      </c>
      <c r="BR45" s="98" t="str">
        <f t="shared" si="5"/>
        <v>-</v>
      </c>
      <c r="BS45" s="98" t="str">
        <f t="shared" si="6"/>
        <v>-</v>
      </c>
      <c r="BT45" s="98" t="str">
        <f t="shared" si="7"/>
        <v>-</v>
      </c>
      <c r="BU45" s="98" t="str">
        <f t="shared" si="8"/>
        <v>-</v>
      </c>
      <c r="BV45" s="98" t="str">
        <f t="shared" si="9"/>
        <v>-</v>
      </c>
      <c r="BW45" s="98" t="str">
        <f t="shared" si="10"/>
        <v>-</v>
      </c>
      <c r="BZ45" s="103" t="e">
        <f t="shared" si="94"/>
        <v>#DIV/0!</v>
      </c>
      <c r="CA45" s="103" t="e">
        <f t="shared" si="94"/>
        <v>#DIV/0!</v>
      </c>
      <c r="CB45" s="103" t="e">
        <f t="shared" si="94"/>
        <v>#DIV/0!</v>
      </c>
      <c r="CC45" s="103" t="e">
        <f t="shared" si="94"/>
        <v>#DIV/0!</v>
      </c>
      <c r="CD45" s="74" t="str">
        <f t="shared" si="11"/>
        <v>-</v>
      </c>
      <c r="CE45" s="74">
        <f t="shared" si="47"/>
        <v>0</v>
      </c>
      <c r="CF45" s="74">
        <f t="shared" si="48"/>
        <v>0</v>
      </c>
      <c r="CG45" s="98">
        <f t="shared" si="49"/>
        <v>0</v>
      </c>
      <c r="CH45" s="74">
        <f t="shared" si="12"/>
        <v>0</v>
      </c>
      <c r="CI45" s="74">
        <f t="shared" si="13"/>
        <v>0</v>
      </c>
      <c r="CM45" s="74">
        <f t="shared" si="14"/>
        <v>0</v>
      </c>
      <c r="CN45" s="74">
        <f t="shared" si="50"/>
        <v>0</v>
      </c>
      <c r="CO45" s="98">
        <f t="shared" si="51"/>
        <v>0</v>
      </c>
      <c r="CP45" s="74">
        <f t="shared" si="15"/>
        <v>0</v>
      </c>
      <c r="CQ45" s="74">
        <f t="shared" si="16"/>
        <v>0</v>
      </c>
      <c r="CV45" s="98" t="str">
        <f t="shared" si="17"/>
        <v>-</v>
      </c>
      <c r="CW45" s="95" t="str">
        <f t="shared" si="18"/>
        <v>-</v>
      </c>
      <c r="CX45" s="74" t="str">
        <f t="shared" si="52"/>
        <v>-</v>
      </c>
      <c r="CY45" s="74" t="str">
        <f t="shared" si="19"/>
        <v>-</v>
      </c>
      <c r="CZ45" s="100" t="str">
        <f t="shared" si="20"/>
        <v>-</v>
      </c>
      <c r="DA45" s="58" t="str">
        <f t="shared" si="53"/>
        <v>-</v>
      </c>
      <c r="DB45" s="58" t="str">
        <f t="shared" si="54"/>
        <v>-</v>
      </c>
      <c r="DC45" s="58" t="str">
        <f t="shared" si="55"/>
        <v>-</v>
      </c>
      <c r="DD45" s="58" t="str">
        <f t="shared" si="56"/>
        <v>-</v>
      </c>
      <c r="DH45" s="98" t="str">
        <f t="shared" si="57"/>
        <v>-</v>
      </c>
      <c r="DI45" s="98" t="str">
        <f t="shared" si="58"/>
        <v>-</v>
      </c>
      <c r="DJ45" s="74" t="str">
        <f t="shared" si="89"/>
        <v>-</v>
      </c>
      <c r="DK45" s="74" t="str">
        <f t="shared" si="89"/>
        <v>-</v>
      </c>
      <c r="DL45" s="100" t="str">
        <f t="shared" si="22"/>
        <v>-</v>
      </c>
      <c r="DM45" s="58" t="str">
        <f t="shared" si="60"/>
        <v>-</v>
      </c>
      <c r="DN45" s="58" t="str">
        <f t="shared" si="61"/>
        <v>-</v>
      </c>
      <c r="DO45" s="58" t="str">
        <f t="shared" si="62"/>
        <v>-</v>
      </c>
      <c r="DP45" s="58" t="str">
        <f t="shared" si="63"/>
        <v>-</v>
      </c>
      <c r="DQ45" s="100"/>
      <c r="DR45" s="100"/>
      <c r="DT45" s="98" t="str">
        <f t="shared" si="86"/>
        <v>-</v>
      </c>
      <c r="DU45" s="98" t="str">
        <f t="shared" si="64"/>
        <v>-</v>
      </c>
      <c r="DV45" s="74" t="str">
        <f t="shared" si="90"/>
        <v>-</v>
      </c>
      <c r="DW45" s="74" t="str">
        <f t="shared" si="90"/>
        <v>-</v>
      </c>
      <c r="DX45" s="100" t="str">
        <f t="shared" si="24"/>
        <v>-</v>
      </c>
      <c r="DY45" s="58" t="str">
        <f t="shared" si="66"/>
        <v>-</v>
      </c>
      <c r="DZ45" s="58" t="str">
        <f t="shared" si="67"/>
        <v>-</v>
      </c>
      <c r="EA45" s="58" t="str">
        <f t="shared" si="68"/>
        <v>-</v>
      </c>
      <c r="EB45" s="58" t="str">
        <f t="shared" si="69"/>
        <v>-</v>
      </c>
      <c r="EC45" s="100"/>
      <c r="ED45" s="100"/>
      <c r="EF45" s="98" t="str">
        <f t="shared" si="70"/>
        <v>-</v>
      </c>
      <c r="EG45" s="98" t="str">
        <f t="shared" si="71"/>
        <v>-</v>
      </c>
      <c r="EH45" s="74" t="str">
        <f t="shared" si="91"/>
        <v>-</v>
      </c>
      <c r="EI45" s="74" t="str">
        <f t="shared" si="91"/>
        <v>-</v>
      </c>
      <c r="EJ45" s="100" t="str">
        <f t="shared" si="26"/>
        <v>-</v>
      </c>
      <c r="EK45" s="58" t="str">
        <f t="shared" si="73"/>
        <v>-</v>
      </c>
      <c r="EL45" s="58" t="str">
        <f t="shared" si="74"/>
        <v>-</v>
      </c>
      <c r="EM45" s="58" t="str">
        <f t="shared" si="75"/>
        <v>-</v>
      </c>
      <c r="EN45" s="58" t="str">
        <f t="shared" si="76"/>
        <v>-</v>
      </c>
      <c r="EO45" s="100"/>
      <c r="EP45" s="100"/>
      <c r="ER45" s="79" t="str">
        <f t="shared" si="77"/>
        <v>-</v>
      </c>
      <c r="ES45" s="79" t="str">
        <f t="shared" si="78"/>
        <v>-</v>
      </c>
      <c r="ET45" s="79" t="str">
        <f t="shared" si="79"/>
        <v>-</v>
      </c>
      <c r="EU45" s="79" t="str">
        <f t="shared" si="80"/>
        <v>-</v>
      </c>
      <c r="EY45" s="74" t="str">
        <f>IF(E45=0,"-",LARGE(E6:E50,40))</f>
        <v>-</v>
      </c>
      <c r="EZ45" s="77" t="str">
        <f t="shared" si="81"/>
        <v>-</v>
      </c>
      <c r="FB45" s="77" t="str">
        <f t="shared" si="83"/>
        <v>-</v>
      </c>
      <c r="FC45" s="77" t="str">
        <f>IF(FB45="-","-",SMALL(FB6:FB50,40))</f>
        <v>-</v>
      </c>
    </row>
    <row r="46" spans="1:159" s="77" customFormat="1">
      <c r="B46" s="77" t="str">
        <f>IF(Main!$BL$5&gt;40,"x","")</f>
        <v/>
      </c>
      <c r="C46" s="95">
        <f>'1'!R43</f>
        <v>0</v>
      </c>
      <c r="D46" s="96">
        <f>'1'!J43</f>
        <v>0</v>
      </c>
      <c r="E46" s="96">
        <f>'1'!K43</f>
        <v>0</v>
      </c>
      <c r="G46" s="77" t="str">
        <f>IF(Main!$BN$5&gt;40,"x","")</f>
        <v/>
      </c>
      <c r="L46" s="96">
        <f>'3'!R43</f>
        <v>0</v>
      </c>
      <c r="M46" s="77">
        <f>'3'!J43</f>
        <v>0</v>
      </c>
      <c r="N46" s="74">
        <f>'3'!K43</f>
        <v>0</v>
      </c>
      <c r="Q46" s="74" t="s">
        <v>46</v>
      </c>
      <c r="T46" s="95" t="e">
        <f t="shared" si="95"/>
        <v>#DIV/0!</v>
      </c>
      <c r="AJ46" s="98" t="str">
        <f t="shared" si="27"/>
        <v>-</v>
      </c>
      <c r="AK46" s="98" t="str">
        <f t="shared" si="28"/>
        <v>-</v>
      </c>
      <c r="AL46" s="98" t="str">
        <f t="shared" si="0"/>
        <v>-</v>
      </c>
      <c r="AM46" s="98" t="str">
        <f t="shared" si="29"/>
        <v>-</v>
      </c>
      <c r="AN46" s="98" t="str">
        <f t="shared" si="30"/>
        <v>-</v>
      </c>
      <c r="AO46" s="98" t="str">
        <f t="shared" si="31"/>
        <v>-</v>
      </c>
      <c r="AP46" s="98" t="str">
        <f t="shared" si="32"/>
        <v>-</v>
      </c>
      <c r="AQ46" s="98" t="str">
        <f t="shared" si="33"/>
        <v>-</v>
      </c>
      <c r="AT46" s="103" t="e">
        <f t="shared" si="93"/>
        <v>#DIV/0!</v>
      </c>
      <c r="AU46" s="103" t="e">
        <f t="shared" si="93"/>
        <v>#DIV/0!</v>
      </c>
      <c r="AV46" s="103" t="e">
        <f t="shared" si="93"/>
        <v>#DIV/0!</v>
      </c>
      <c r="AW46" s="103" t="e">
        <f t="shared" si="93"/>
        <v>#DIV/0!</v>
      </c>
      <c r="AX46" s="74" t="str">
        <f t="shared" si="35"/>
        <v>-</v>
      </c>
      <c r="AY46" s="74">
        <f t="shared" si="36"/>
        <v>0</v>
      </c>
      <c r="AZ46" s="74">
        <f t="shared" si="37"/>
        <v>0</v>
      </c>
      <c r="BA46" s="98">
        <f t="shared" si="38"/>
        <v>0</v>
      </c>
      <c r="BB46" s="74">
        <f t="shared" si="1"/>
        <v>0</v>
      </c>
      <c r="BC46" s="74">
        <f t="shared" si="2"/>
        <v>0</v>
      </c>
      <c r="BG46" s="74">
        <f t="shared" si="39"/>
        <v>0</v>
      </c>
      <c r="BH46" s="74">
        <f t="shared" si="40"/>
        <v>0</v>
      </c>
      <c r="BI46" s="98">
        <f t="shared" si="41"/>
        <v>0</v>
      </c>
      <c r="BJ46" s="74">
        <f t="shared" si="3"/>
        <v>0</v>
      </c>
      <c r="BK46" s="74">
        <f t="shared" si="4"/>
        <v>0</v>
      </c>
      <c r="BN46" s="74">
        <f t="shared" si="42"/>
        <v>0</v>
      </c>
      <c r="BO46" s="74" t="str">
        <f t="shared" si="43"/>
        <v>-</v>
      </c>
      <c r="BP46" s="98" t="str">
        <f t="shared" si="44"/>
        <v>-</v>
      </c>
      <c r="BQ46" s="98" t="str">
        <f t="shared" si="45"/>
        <v>-</v>
      </c>
      <c r="BR46" s="98" t="str">
        <f t="shared" si="5"/>
        <v>-</v>
      </c>
      <c r="BS46" s="98" t="str">
        <f t="shared" si="6"/>
        <v>-</v>
      </c>
      <c r="BT46" s="98" t="str">
        <f t="shared" si="7"/>
        <v>-</v>
      </c>
      <c r="BU46" s="98" t="str">
        <f t="shared" si="8"/>
        <v>-</v>
      </c>
      <c r="BV46" s="98" t="str">
        <f t="shared" si="9"/>
        <v>-</v>
      </c>
      <c r="BW46" s="98" t="str">
        <f t="shared" si="10"/>
        <v>-</v>
      </c>
      <c r="BZ46" s="103" t="e">
        <f t="shared" si="94"/>
        <v>#DIV/0!</v>
      </c>
      <c r="CA46" s="103" t="e">
        <f t="shared" si="94"/>
        <v>#DIV/0!</v>
      </c>
      <c r="CB46" s="103" t="e">
        <f t="shared" si="94"/>
        <v>#DIV/0!</v>
      </c>
      <c r="CC46" s="103" t="e">
        <f t="shared" si="94"/>
        <v>#DIV/0!</v>
      </c>
      <c r="CD46" s="74" t="str">
        <f t="shared" si="11"/>
        <v>-</v>
      </c>
      <c r="CE46" s="74">
        <f t="shared" si="47"/>
        <v>0</v>
      </c>
      <c r="CF46" s="74">
        <f t="shared" si="48"/>
        <v>0</v>
      </c>
      <c r="CG46" s="98">
        <f t="shared" si="49"/>
        <v>0</v>
      </c>
      <c r="CH46" s="74">
        <f t="shared" si="12"/>
        <v>0</v>
      </c>
      <c r="CI46" s="74">
        <f t="shared" si="13"/>
        <v>0</v>
      </c>
      <c r="CM46" s="74">
        <f t="shared" si="14"/>
        <v>0</v>
      </c>
      <c r="CN46" s="74">
        <f t="shared" si="50"/>
        <v>0</v>
      </c>
      <c r="CO46" s="98">
        <f t="shared" si="51"/>
        <v>0</v>
      </c>
      <c r="CP46" s="74">
        <f t="shared" si="15"/>
        <v>0</v>
      </c>
      <c r="CQ46" s="74">
        <f t="shared" si="16"/>
        <v>0</v>
      </c>
      <c r="CV46" s="98" t="str">
        <f t="shared" si="17"/>
        <v>-</v>
      </c>
      <c r="CW46" s="95" t="str">
        <f t="shared" si="18"/>
        <v>-</v>
      </c>
      <c r="CX46" s="74" t="str">
        <f t="shared" si="52"/>
        <v>-</v>
      </c>
      <c r="CY46" s="74" t="str">
        <f t="shared" si="19"/>
        <v>-</v>
      </c>
      <c r="CZ46" s="100" t="str">
        <f t="shared" si="20"/>
        <v>-</v>
      </c>
      <c r="DA46" s="58" t="str">
        <f t="shared" si="53"/>
        <v>-</v>
      </c>
      <c r="DB46" s="58" t="str">
        <f t="shared" si="54"/>
        <v>-</v>
      </c>
      <c r="DC46" s="58" t="str">
        <f t="shared" si="55"/>
        <v>-</v>
      </c>
      <c r="DD46" s="58" t="str">
        <f t="shared" si="56"/>
        <v>-</v>
      </c>
      <c r="DH46" s="98" t="str">
        <f t="shared" si="57"/>
        <v>-</v>
      </c>
      <c r="DI46" s="98" t="str">
        <f t="shared" si="58"/>
        <v>-</v>
      </c>
      <c r="DJ46" s="74" t="str">
        <f t="shared" si="89"/>
        <v>-</v>
      </c>
      <c r="DK46" s="74" t="str">
        <f t="shared" si="89"/>
        <v>-</v>
      </c>
      <c r="DL46" s="100" t="str">
        <f t="shared" si="22"/>
        <v>-</v>
      </c>
      <c r="DM46" s="58" t="str">
        <f t="shared" si="60"/>
        <v>-</v>
      </c>
      <c r="DN46" s="58" t="str">
        <f t="shared" si="61"/>
        <v>-</v>
      </c>
      <c r="DO46" s="58" t="str">
        <f t="shared" si="62"/>
        <v>-</v>
      </c>
      <c r="DP46" s="58" t="str">
        <f t="shared" si="63"/>
        <v>-</v>
      </c>
      <c r="DQ46" s="100"/>
      <c r="DR46" s="100"/>
      <c r="DT46" s="98" t="str">
        <f t="shared" si="86"/>
        <v>-</v>
      </c>
      <c r="DU46" s="98" t="str">
        <f t="shared" si="64"/>
        <v>-</v>
      </c>
      <c r="DV46" s="74" t="str">
        <f t="shared" si="90"/>
        <v>-</v>
      </c>
      <c r="DW46" s="74" t="str">
        <f t="shared" si="90"/>
        <v>-</v>
      </c>
      <c r="DX46" s="100" t="str">
        <f t="shared" si="24"/>
        <v>-</v>
      </c>
      <c r="DY46" s="58" t="str">
        <f t="shared" si="66"/>
        <v>-</v>
      </c>
      <c r="DZ46" s="58" t="str">
        <f t="shared" si="67"/>
        <v>-</v>
      </c>
      <c r="EA46" s="58" t="str">
        <f t="shared" si="68"/>
        <v>-</v>
      </c>
      <c r="EB46" s="58" t="str">
        <f t="shared" si="69"/>
        <v>-</v>
      </c>
      <c r="EC46" s="100"/>
      <c r="ED46" s="100"/>
      <c r="EF46" s="98" t="str">
        <f t="shared" si="70"/>
        <v>-</v>
      </c>
      <c r="EG46" s="98" t="str">
        <f t="shared" si="71"/>
        <v>-</v>
      </c>
      <c r="EH46" s="74" t="str">
        <f t="shared" si="91"/>
        <v>-</v>
      </c>
      <c r="EI46" s="74" t="str">
        <f t="shared" si="91"/>
        <v>-</v>
      </c>
      <c r="EJ46" s="100" t="str">
        <f t="shared" si="26"/>
        <v>-</v>
      </c>
      <c r="EK46" s="58" t="str">
        <f t="shared" si="73"/>
        <v>-</v>
      </c>
      <c r="EL46" s="58" t="str">
        <f t="shared" si="74"/>
        <v>-</v>
      </c>
      <c r="EM46" s="58" t="str">
        <f t="shared" si="75"/>
        <v>-</v>
      </c>
      <c r="EN46" s="58" t="str">
        <f t="shared" si="76"/>
        <v>-</v>
      </c>
      <c r="EO46" s="100"/>
      <c r="EP46" s="100"/>
      <c r="ER46" s="79" t="str">
        <f t="shared" si="77"/>
        <v>-</v>
      </c>
      <c r="ES46" s="79" t="str">
        <f t="shared" si="78"/>
        <v>-</v>
      </c>
      <c r="ET46" s="79" t="str">
        <f t="shared" si="79"/>
        <v>-</v>
      </c>
      <c r="EU46" s="79" t="str">
        <f t="shared" si="80"/>
        <v>-</v>
      </c>
      <c r="EY46" s="74" t="str">
        <f>IF(E46=0,"-",LARGE(E6:E50,41))</f>
        <v>-</v>
      </c>
      <c r="EZ46" s="77" t="str">
        <f t="shared" si="81"/>
        <v>-</v>
      </c>
      <c r="FB46" s="77" t="str">
        <f t="shared" si="83"/>
        <v>-</v>
      </c>
      <c r="FC46" s="77" t="str">
        <f>IF(FB46="-","-",SMALL(FB6:FB50,41))</f>
        <v>-</v>
      </c>
    </row>
    <row r="47" spans="1:159" s="77" customFormat="1">
      <c r="B47" s="77" t="str">
        <f>IF(Main!$BL$5&gt;41,"x","")</f>
        <v/>
      </c>
      <c r="C47" s="95">
        <f>'1'!R44</f>
        <v>0</v>
      </c>
      <c r="D47" s="96">
        <f>'1'!J44</f>
        <v>0</v>
      </c>
      <c r="E47" s="96">
        <f>'1'!K44</f>
        <v>0</v>
      </c>
      <c r="G47" s="77" t="str">
        <f>IF(Main!$BN$5&gt;41,"x","")</f>
        <v/>
      </c>
      <c r="L47" s="96">
        <f>'3'!R44</f>
        <v>0</v>
      </c>
      <c r="M47" s="77">
        <f>'3'!J44</f>
        <v>0</v>
      </c>
      <c r="N47" s="74">
        <f>'3'!K44</f>
        <v>0</v>
      </c>
      <c r="Q47" s="74" t="s">
        <v>47</v>
      </c>
      <c r="T47" s="95" t="e">
        <f t="shared" si="95"/>
        <v>#DIV/0!</v>
      </c>
      <c r="AJ47" s="98" t="str">
        <f t="shared" si="27"/>
        <v>-</v>
      </c>
      <c r="AK47" s="98" t="str">
        <f t="shared" si="28"/>
        <v>-</v>
      </c>
      <c r="AL47" s="98" t="str">
        <f t="shared" si="0"/>
        <v>-</v>
      </c>
      <c r="AM47" s="98" t="str">
        <f t="shared" si="29"/>
        <v>-</v>
      </c>
      <c r="AN47" s="98" t="str">
        <f t="shared" si="30"/>
        <v>-</v>
      </c>
      <c r="AO47" s="98" t="str">
        <f t="shared" si="31"/>
        <v>-</v>
      </c>
      <c r="AP47" s="98" t="str">
        <f t="shared" si="32"/>
        <v>-</v>
      </c>
      <c r="AQ47" s="98" t="str">
        <f t="shared" si="33"/>
        <v>-</v>
      </c>
      <c r="AT47" s="103" t="e">
        <f t="shared" si="93"/>
        <v>#DIV/0!</v>
      </c>
      <c r="AU47" s="103" t="e">
        <f t="shared" si="93"/>
        <v>#DIV/0!</v>
      </c>
      <c r="AV47" s="103" t="e">
        <f t="shared" si="93"/>
        <v>#DIV/0!</v>
      </c>
      <c r="AW47" s="103" t="e">
        <f t="shared" si="93"/>
        <v>#DIV/0!</v>
      </c>
      <c r="AX47" s="74" t="str">
        <f t="shared" si="35"/>
        <v>-</v>
      </c>
      <c r="AY47" s="74">
        <f t="shared" si="36"/>
        <v>0</v>
      </c>
      <c r="AZ47" s="74">
        <f t="shared" si="37"/>
        <v>0</v>
      </c>
      <c r="BA47" s="98">
        <f t="shared" si="38"/>
        <v>0</v>
      </c>
      <c r="BB47" s="74">
        <f t="shared" si="1"/>
        <v>0</v>
      </c>
      <c r="BC47" s="74">
        <f t="shared" si="2"/>
        <v>0</v>
      </c>
      <c r="BG47" s="74">
        <f t="shared" si="39"/>
        <v>0</v>
      </c>
      <c r="BH47" s="74">
        <f t="shared" si="40"/>
        <v>0</v>
      </c>
      <c r="BI47" s="98">
        <f t="shared" si="41"/>
        <v>0</v>
      </c>
      <c r="BJ47" s="74">
        <f t="shared" si="3"/>
        <v>0</v>
      </c>
      <c r="BK47" s="74">
        <f t="shared" si="4"/>
        <v>0</v>
      </c>
      <c r="BN47" s="74">
        <f t="shared" si="42"/>
        <v>0</v>
      </c>
      <c r="BO47" s="74" t="str">
        <f t="shared" si="43"/>
        <v>-</v>
      </c>
      <c r="BP47" s="98" t="str">
        <f t="shared" si="44"/>
        <v>-</v>
      </c>
      <c r="BQ47" s="98" t="str">
        <f t="shared" si="45"/>
        <v>-</v>
      </c>
      <c r="BR47" s="98" t="str">
        <f t="shared" si="5"/>
        <v>-</v>
      </c>
      <c r="BS47" s="98" t="str">
        <f t="shared" si="6"/>
        <v>-</v>
      </c>
      <c r="BT47" s="98" t="str">
        <f t="shared" si="7"/>
        <v>-</v>
      </c>
      <c r="BU47" s="98" t="str">
        <f t="shared" si="8"/>
        <v>-</v>
      </c>
      <c r="BV47" s="98" t="str">
        <f t="shared" si="9"/>
        <v>-</v>
      </c>
      <c r="BW47" s="98" t="str">
        <f t="shared" si="10"/>
        <v>-</v>
      </c>
      <c r="BZ47" s="103" t="e">
        <f t="shared" si="94"/>
        <v>#DIV/0!</v>
      </c>
      <c r="CA47" s="103" t="e">
        <f t="shared" si="94"/>
        <v>#DIV/0!</v>
      </c>
      <c r="CB47" s="103" t="e">
        <f t="shared" si="94"/>
        <v>#DIV/0!</v>
      </c>
      <c r="CC47" s="103" t="e">
        <f t="shared" si="94"/>
        <v>#DIV/0!</v>
      </c>
      <c r="CD47" s="74" t="str">
        <f t="shared" si="11"/>
        <v>-</v>
      </c>
      <c r="CE47" s="74">
        <f t="shared" si="47"/>
        <v>0</v>
      </c>
      <c r="CF47" s="74">
        <f t="shared" si="48"/>
        <v>0</v>
      </c>
      <c r="CG47" s="98">
        <f t="shared" si="49"/>
        <v>0</v>
      </c>
      <c r="CH47" s="74">
        <f t="shared" si="12"/>
        <v>0</v>
      </c>
      <c r="CI47" s="74">
        <f t="shared" si="13"/>
        <v>0</v>
      </c>
      <c r="CM47" s="74">
        <f t="shared" si="14"/>
        <v>0</v>
      </c>
      <c r="CN47" s="74">
        <f t="shared" si="50"/>
        <v>0</v>
      </c>
      <c r="CO47" s="98">
        <f t="shared" si="51"/>
        <v>0</v>
      </c>
      <c r="CP47" s="74">
        <f t="shared" si="15"/>
        <v>0</v>
      </c>
      <c r="CQ47" s="74">
        <f t="shared" si="16"/>
        <v>0</v>
      </c>
      <c r="CV47" s="98" t="str">
        <f t="shared" si="17"/>
        <v>-</v>
      </c>
      <c r="CW47" s="95" t="str">
        <f t="shared" si="18"/>
        <v>-</v>
      </c>
      <c r="CX47" s="74" t="str">
        <f t="shared" si="52"/>
        <v>-</v>
      </c>
      <c r="CY47" s="74" t="str">
        <f t="shared" si="19"/>
        <v>-</v>
      </c>
      <c r="CZ47" s="100" t="str">
        <f t="shared" si="20"/>
        <v>-</v>
      </c>
      <c r="DA47" s="58" t="str">
        <f t="shared" si="53"/>
        <v>-</v>
      </c>
      <c r="DB47" s="58" t="str">
        <f t="shared" si="54"/>
        <v>-</v>
      </c>
      <c r="DC47" s="58" t="str">
        <f t="shared" si="55"/>
        <v>-</v>
      </c>
      <c r="DD47" s="58" t="str">
        <f t="shared" si="56"/>
        <v>-</v>
      </c>
      <c r="DH47" s="98" t="str">
        <f t="shared" si="57"/>
        <v>-</v>
      </c>
      <c r="DI47" s="98" t="str">
        <f t="shared" si="58"/>
        <v>-</v>
      </c>
      <c r="DJ47" s="74" t="str">
        <f t="shared" si="89"/>
        <v>-</v>
      </c>
      <c r="DK47" s="74" t="str">
        <f t="shared" si="89"/>
        <v>-</v>
      </c>
      <c r="DL47" s="100" t="str">
        <f t="shared" si="22"/>
        <v>-</v>
      </c>
      <c r="DM47" s="58" t="str">
        <f t="shared" si="60"/>
        <v>-</v>
      </c>
      <c r="DN47" s="58" t="str">
        <f t="shared" si="61"/>
        <v>-</v>
      </c>
      <c r="DO47" s="58" t="str">
        <f t="shared" si="62"/>
        <v>-</v>
      </c>
      <c r="DP47" s="58" t="str">
        <f t="shared" si="63"/>
        <v>-</v>
      </c>
      <c r="DQ47" s="100"/>
      <c r="DR47" s="100"/>
      <c r="DT47" s="98" t="str">
        <f t="shared" si="86"/>
        <v>-</v>
      </c>
      <c r="DU47" s="98" t="str">
        <f t="shared" si="64"/>
        <v>-</v>
      </c>
      <c r="DV47" s="74" t="str">
        <f t="shared" si="90"/>
        <v>-</v>
      </c>
      <c r="DW47" s="74" t="str">
        <f t="shared" si="90"/>
        <v>-</v>
      </c>
      <c r="DX47" s="100" t="str">
        <f t="shared" si="24"/>
        <v>-</v>
      </c>
      <c r="DY47" s="58" t="str">
        <f t="shared" si="66"/>
        <v>-</v>
      </c>
      <c r="DZ47" s="58" t="str">
        <f t="shared" si="67"/>
        <v>-</v>
      </c>
      <c r="EA47" s="58" t="str">
        <f t="shared" si="68"/>
        <v>-</v>
      </c>
      <c r="EB47" s="58" t="str">
        <f t="shared" si="69"/>
        <v>-</v>
      </c>
      <c r="EC47" s="100"/>
      <c r="ED47" s="100"/>
      <c r="EF47" s="98" t="str">
        <f t="shared" si="70"/>
        <v>-</v>
      </c>
      <c r="EG47" s="98" t="str">
        <f t="shared" si="71"/>
        <v>-</v>
      </c>
      <c r="EH47" s="74" t="str">
        <f t="shared" si="91"/>
        <v>-</v>
      </c>
      <c r="EI47" s="74" t="str">
        <f t="shared" si="91"/>
        <v>-</v>
      </c>
      <c r="EJ47" s="100" t="str">
        <f t="shared" si="26"/>
        <v>-</v>
      </c>
      <c r="EK47" s="58" t="str">
        <f t="shared" si="73"/>
        <v>-</v>
      </c>
      <c r="EL47" s="58" t="str">
        <f t="shared" si="74"/>
        <v>-</v>
      </c>
      <c r="EM47" s="58" t="str">
        <f t="shared" si="75"/>
        <v>-</v>
      </c>
      <c r="EN47" s="58" t="str">
        <f t="shared" si="76"/>
        <v>-</v>
      </c>
      <c r="EO47" s="100"/>
      <c r="EP47" s="100"/>
      <c r="ER47" s="79" t="str">
        <f t="shared" si="77"/>
        <v>-</v>
      </c>
      <c r="ES47" s="79" t="str">
        <f t="shared" si="78"/>
        <v>-</v>
      </c>
      <c r="ET47" s="79" t="str">
        <f t="shared" si="79"/>
        <v>-</v>
      </c>
      <c r="EU47" s="79" t="str">
        <f t="shared" si="80"/>
        <v>-</v>
      </c>
      <c r="EY47" s="74" t="str">
        <f>IF(E47=0,"-",LARGE(E6:E50,42))</f>
        <v>-</v>
      </c>
      <c r="EZ47" s="77" t="str">
        <f t="shared" si="81"/>
        <v>-</v>
      </c>
      <c r="FB47" s="77" t="str">
        <f t="shared" si="83"/>
        <v>-</v>
      </c>
      <c r="FC47" s="77" t="str">
        <f>IF(FB47="-","-",SMALL(FB6:FB50,42))</f>
        <v>-</v>
      </c>
    </row>
    <row r="48" spans="1:159" s="77" customFormat="1">
      <c r="B48" s="77" t="str">
        <f>IF(Main!$BL$5&gt;42,"x","")</f>
        <v/>
      </c>
      <c r="C48" s="95">
        <f>'1'!R45</f>
        <v>0</v>
      </c>
      <c r="D48" s="96">
        <f>'1'!J45</f>
        <v>0</v>
      </c>
      <c r="E48" s="96">
        <f>'1'!K45</f>
        <v>0</v>
      </c>
      <c r="G48" s="77" t="str">
        <f>IF(Main!$BN$5&gt;42,"x","")</f>
        <v/>
      </c>
      <c r="L48" s="96">
        <f>'3'!R45</f>
        <v>0</v>
      </c>
      <c r="M48" s="77">
        <f>'3'!J45</f>
        <v>0</v>
      </c>
      <c r="N48" s="74">
        <f>'3'!K45</f>
        <v>0</v>
      </c>
      <c r="AJ48" s="98" t="str">
        <f t="shared" si="27"/>
        <v>-</v>
      </c>
      <c r="AK48" s="98" t="str">
        <f t="shared" si="28"/>
        <v>-</v>
      </c>
      <c r="AL48" s="98" t="str">
        <f t="shared" si="0"/>
        <v>-</v>
      </c>
      <c r="AM48" s="98" t="str">
        <f t="shared" si="29"/>
        <v>-</v>
      </c>
      <c r="AN48" s="98" t="str">
        <f t="shared" si="30"/>
        <v>-</v>
      </c>
      <c r="AO48" s="98" t="str">
        <f t="shared" si="31"/>
        <v>-</v>
      </c>
      <c r="AP48" s="98" t="str">
        <f t="shared" si="32"/>
        <v>-</v>
      </c>
      <c r="AQ48" s="98" t="str">
        <f t="shared" si="33"/>
        <v>-</v>
      </c>
      <c r="AT48" s="103" t="e">
        <f t="shared" si="93"/>
        <v>#DIV/0!</v>
      </c>
      <c r="AU48" s="103" t="e">
        <f t="shared" si="93"/>
        <v>#DIV/0!</v>
      </c>
      <c r="AV48" s="103" t="e">
        <f t="shared" si="93"/>
        <v>#DIV/0!</v>
      </c>
      <c r="AW48" s="103" t="e">
        <f t="shared" si="93"/>
        <v>#DIV/0!</v>
      </c>
      <c r="AX48" s="74" t="str">
        <f t="shared" si="35"/>
        <v>-</v>
      </c>
      <c r="AY48" s="74">
        <f t="shared" si="36"/>
        <v>0</v>
      </c>
      <c r="AZ48" s="74">
        <f t="shared" si="37"/>
        <v>0</v>
      </c>
      <c r="BA48" s="98">
        <f t="shared" si="38"/>
        <v>0</v>
      </c>
      <c r="BB48" s="74">
        <f t="shared" si="1"/>
        <v>0</v>
      </c>
      <c r="BC48" s="74">
        <f t="shared" si="2"/>
        <v>0</v>
      </c>
      <c r="BG48" s="74">
        <f t="shared" si="39"/>
        <v>0</v>
      </c>
      <c r="BH48" s="74">
        <f t="shared" si="40"/>
        <v>0</v>
      </c>
      <c r="BI48" s="98">
        <f t="shared" si="41"/>
        <v>0</v>
      </c>
      <c r="BJ48" s="74">
        <f t="shared" si="3"/>
        <v>0</v>
      </c>
      <c r="BK48" s="74">
        <f t="shared" si="4"/>
        <v>0</v>
      </c>
      <c r="BN48" s="74">
        <f t="shared" si="42"/>
        <v>0</v>
      </c>
      <c r="BO48" s="74" t="str">
        <f t="shared" si="43"/>
        <v>-</v>
      </c>
      <c r="BP48" s="98" t="str">
        <f t="shared" si="44"/>
        <v>-</v>
      </c>
      <c r="BQ48" s="98" t="str">
        <f t="shared" si="45"/>
        <v>-</v>
      </c>
      <c r="BR48" s="98" t="str">
        <f t="shared" si="5"/>
        <v>-</v>
      </c>
      <c r="BS48" s="98" t="str">
        <f t="shared" si="6"/>
        <v>-</v>
      </c>
      <c r="BT48" s="98" t="str">
        <f t="shared" si="7"/>
        <v>-</v>
      </c>
      <c r="BU48" s="98" t="str">
        <f t="shared" si="8"/>
        <v>-</v>
      </c>
      <c r="BV48" s="98" t="str">
        <f t="shared" si="9"/>
        <v>-</v>
      </c>
      <c r="BW48" s="98" t="str">
        <f t="shared" si="10"/>
        <v>-</v>
      </c>
      <c r="BZ48" s="103" t="e">
        <f t="shared" si="94"/>
        <v>#DIV/0!</v>
      </c>
      <c r="CA48" s="103" t="e">
        <f t="shared" si="94"/>
        <v>#DIV/0!</v>
      </c>
      <c r="CB48" s="103" t="e">
        <f t="shared" si="94"/>
        <v>#DIV/0!</v>
      </c>
      <c r="CC48" s="103" t="e">
        <f t="shared" si="94"/>
        <v>#DIV/0!</v>
      </c>
      <c r="CD48" s="74" t="str">
        <f t="shared" si="11"/>
        <v>-</v>
      </c>
      <c r="CE48" s="74">
        <f t="shared" si="47"/>
        <v>0</v>
      </c>
      <c r="CF48" s="74">
        <f t="shared" si="48"/>
        <v>0</v>
      </c>
      <c r="CG48" s="98">
        <f t="shared" si="49"/>
        <v>0</v>
      </c>
      <c r="CH48" s="74">
        <f t="shared" si="12"/>
        <v>0</v>
      </c>
      <c r="CI48" s="74">
        <f t="shared" si="13"/>
        <v>0</v>
      </c>
      <c r="CM48" s="74">
        <f t="shared" si="14"/>
        <v>0</v>
      </c>
      <c r="CN48" s="74">
        <f t="shared" si="50"/>
        <v>0</v>
      </c>
      <c r="CO48" s="98">
        <f t="shared" si="51"/>
        <v>0</v>
      </c>
      <c r="CP48" s="74">
        <f t="shared" si="15"/>
        <v>0</v>
      </c>
      <c r="CQ48" s="74">
        <f t="shared" si="16"/>
        <v>0</v>
      </c>
      <c r="CV48" s="98" t="str">
        <f t="shared" si="17"/>
        <v>-</v>
      </c>
      <c r="CW48" s="95" t="str">
        <f t="shared" si="18"/>
        <v>-</v>
      </c>
      <c r="CX48" s="74" t="str">
        <f t="shared" si="52"/>
        <v>-</v>
      </c>
      <c r="CY48" s="74" t="str">
        <f t="shared" si="19"/>
        <v>-</v>
      </c>
      <c r="CZ48" s="100" t="str">
        <f t="shared" si="20"/>
        <v>-</v>
      </c>
      <c r="DA48" s="58" t="str">
        <f t="shared" si="53"/>
        <v>-</v>
      </c>
      <c r="DB48" s="58" t="str">
        <f t="shared" si="54"/>
        <v>-</v>
      </c>
      <c r="DC48" s="58" t="str">
        <f t="shared" si="55"/>
        <v>-</v>
      </c>
      <c r="DD48" s="58" t="str">
        <f t="shared" si="56"/>
        <v>-</v>
      </c>
      <c r="DH48" s="98" t="str">
        <f t="shared" si="57"/>
        <v>-</v>
      </c>
      <c r="DI48" s="98" t="str">
        <f t="shared" si="58"/>
        <v>-</v>
      </c>
      <c r="DJ48" s="74" t="str">
        <f t="shared" si="89"/>
        <v>-</v>
      </c>
      <c r="DK48" s="74" t="str">
        <f t="shared" si="89"/>
        <v>-</v>
      </c>
      <c r="DL48" s="100" t="str">
        <f t="shared" si="22"/>
        <v>-</v>
      </c>
      <c r="DM48" s="58" t="str">
        <f t="shared" si="60"/>
        <v>-</v>
      </c>
      <c r="DN48" s="58" t="str">
        <f t="shared" si="61"/>
        <v>-</v>
      </c>
      <c r="DO48" s="58" t="str">
        <f t="shared" si="62"/>
        <v>-</v>
      </c>
      <c r="DP48" s="58" t="str">
        <f t="shared" si="63"/>
        <v>-</v>
      </c>
      <c r="DQ48" s="100"/>
      <c r="DR48" s="100"/>
      <c r="DT48" s="98" t="str">
        <f t="shared" si="86"/>
        <v>-</v>
      </c>
      <c r="DU48" s="98" t="str">
        <f t="shared" si="64"/>
        <v>-</v>
      </c>
      <c r="DV48" s="74" t="str">
        <f t="shared" si="90"/>
        <v>-</v>
      </c>
      <c r="DW48" s="74" t="str">
        <f t="shared" si="90"/>
        <v>-</v>
      </c>
      <c r="DX48" s="100" t="str">
        <f t="shared" si="24"/>
        <v>-</v>
      </c>
      <c r="DY48" s="58" t="str">
        <f t="shared" si="66"/>
        <v>-</v>
      </c>
      <c r="DZ48" s="58" t="str">
        <f t="shared" si="67"/>
        <v>-</v>
      </c>
      <c r="EA48" s="58" t="str">
        <f t="shared" si="68"/>
        <v>-</v>
      </c>
      <c r="EB48" s="58" t="str">
        <f t="shared" si="69"/>
        <v>-</v>
      </c>
      <c r="EC48" s="100"/>
      <c r="ED48" s="100"/>
      <c r="EF48" s="98" t="str">
        <f t="shared" si="70"/>
        <v>-</v>
      </c>
      <c r="EG48" s="98" t="str">
        <f t="shared" si="71"/>
        <v>-</v>
      </c>
      <c r="EH48" s="74" t="str">
        <f t="shared" si="91"/>
        <v>-</v>
      </c>
      <c r="EI48" s="74" t="str">
        <f t="shared" si="91"/>
        <v>-</v>
      </c>
      <c r="EJ48" s="100" t="str">
        <f t="shared" si="26"/>
        <v>-</v>
      </c>
      <c r="EK48" s="58" t="str">
        <f t="shared" si="73"/>
        <v>-</v>
      </c>
      <c r="EL48" s="58" t="str">
        <f t="shared" si="74"/>
        <v>-</v>
      </c>
      <c r="EM48" s="58" t="str">
        <f t="shared" si="75"/>
        <v>-</v>
      </c>
      <c r="EN48" s="58" t="str">
        <f t="shared" si="76"/>
        <v>-</v>
      </c>
      <c r="EO48" s="100"/>
      <c r="EP48" s="100"/>
      <c r="ER48" s="79" t="str">
        <f t="shared" si="77"/>
        <v>-</v>
      </c>
      <c r="ES48" s="79" t="str">
        <f t="shared" si="78"/>
        <v>-</v>
      </c>
      <c r="ET48" s="79" t="str">
        <f t="shared" si="79"/>
        <v>-</v>
      </c>
      <c r="EU48" s="79" t="str">
        <f t="shared" si="80"/>
        <v>-</v>
      </c>
      <c r="EY48" s="74" t="str">
        <f>IF(E48=0,"-",LARGE(E6:E50,43))</f>
        <v>-</v>
      </c>
      <c r="EZ48" s="77" t="str">
        <f t="shared" si="81"/>
        <v>-</v>
      </c>
      <c r="FB48" s="77" t="str">
        <f t="shared" si="83"/>
        <v>-</v>
      </c>
      <c r="FC48" s="77" t="str">
        <f>IF(FB48="-","-",SMALL(FB6:FB50,43))</f>
        <v>-</v>
      </c>
    </row>
    <row r="49" spans="2:159" s="77" customFormat="1">
      <c r="B49" s="77" t="str">
        <f>IF(Main!$BL$5&gt;43,"x","")</f>
        <v/>
      </c>
      <c r="C49" s="95">
        <f>'1'!R46</f>
        <v>0</v>
      </c>
      <c r="D49" s="96">
        <f>'1'!J46</f>
        <v>0</v>
      </c>
      <c r="E49" s="96">
        <f>'1'!K46</f>
        <v>0</v>
      </c>
      <c r="G49" s="77" t="str">
        <f>IF(Main!$BN$5&gt;43,"x","")</f>
        <v/>
      </c>
      <c r="L49" s="96">
        <f>'3'!R46</f>
        <v>0</v>
      </c>
      <c r="M49" s="77">
        <f>'3'!J46</f>
        <v>0</v>
      </c>
      <c r="N49" s="74">
        <f>'3'!K46</f>
        <v>0</v>
      </c>
      <c r="AJ49" s="98" t="str">
        <f t="shared" si="27"/>
        <v>-</v>
      </c>
      <c r="AK49" s="98" t="str">
        <f t="shared" si="28"/>
        <v>-</v>
      </c>
      <c r="AL49" s="98" t="str">
        <f t="shared" si="0"/>
        <v>-</v>
      </c>
      <c r="AM49" s="98" t="str">
        <f t="shared" si="29"/>
        <v>-</v>
      </c>
      <c r="AN49" s="98" t="str">
        <f t="shared" si="30"/>
        <v>-</v>
      </c>
      <c r="AO49" s="98" t="str">
        <f t="shared" si="31"/>
        <v>-</v>
      </c>
      <c r="AP49" s="98" t="str">
        <f t="shared" si="32"/>
        <v>-</v>
      </c>
      <c r="AQ49" s="98" t="str">
        <f t="shared" si="33"/>
        <v>-</v>
      </c>
      <c r="AT49" s="103" t="e">
        <f t="shared" si="93"/>
        <v>#DIV/0!</v>
      </c>
      <c r="AU49" s="103" t="e">
        <f t="shared" si="93"/>
        <v>#DIV/0!</v>
      </c>
      <c r="AV49" s="103" t="e">
        <f t="shared" si="93"/>
        <v>#DIV/0!</v>
      </c>
      <c r="AW49" s="103" t="e">
        <f t="shared" si="93"/>
        <v>#DIV/0!</v>
      </c>
      <c r="AX49" s="74" t="str">
        <f t="shared" si="35"/>
        <v>-</v>
      </c>
      <c r="AY49" s="74">
        <f t="shared" si="36"/>
        <v>0</v>
      </c>
      <c r="AZ49" s="74">
        <f t="shared" si="37"/>
        <v>0</v>
      </c>
      <c r="BA49" s="98">
        <f t="shared" si="38"/>
        <v>0</v>
      </c>
      <c r="BB49" s="74">
        <f t="shared" si="1"/>
        <v>0</v>
      </c>
      <c r="BC49" s="74">
        <f t="shared" si="2"/>
        <v>0</v>
      </c>
      <c r="BG49" s="74">
        <f t="shared" si="39"/>
        <v>0</v>
      </c>
      <c r="BH49" s="74">
        <f t="shared" si="40"/>
        <v>0</v>
      </c>
      <c r="BI49" s="98">
        <f t="shared" si="41"/>
        <v>0</v>
      </c>
      <c r="BJ49" s="74">
        <f t="shared" si="3"/>
        <v>0</v>
      </c>
      <c r="BK49" s="74">
        <f t="shared" si="4"/>
        <v>0</v>
      </c>
      <c r="BN49" s="74">
        <f t="shared" si="42"/>
        <v>0</v>
      </c>
      <c r="BO49" s="74" t="str">
        <f t="shared" si="43"/>
        <v>-</v>
      </c>
      <c r="BP49" s="98" t="str">
        <f t="shared" si="44"/>
        <v>-</v>
      </c>
      <c r="BQ49" s="98" t="str">
        <f t="shared" si="45"/>
        <v>-</v>
      </c>
      <c r="BR49" s="98" t="str">
        <f t="shared" si="5"/>
        <v>-</v>
      </c>
      <c r="BS49" s="98" t="str">
        <f t="shared" si="6"/>
        <v>-</v>
      </c>
      <c r="BT49" s="98" t="str">
        <f t="shared" si="7"/>
        <v>-</v>
      </c>
      <c r="BU49" s="98" t="str">
        <f t="shared" si="8"/>
        <v>-</v>
      </c>
      <c r="BV49" s="98" t="str">
        <f t="shared" si="9"/>
        <v>-</v>
      </c>
      <c r="BW49" s="98" t="str">
        <f t="shared" si="10"/>
        <v>-</v>
      </c>
      <c r="BZ49" s="103" t="e">
        <f t="shared" si="94"/>
        <v>#DIV/0!</v>
      </c>
      <c r="CA49" s="103" t="e">
        <f t="shared" si="94"/>
        <v>#DIV/0!</v>
      </c>
      <c r="CB49" s="103" t="e">
        <f t="shared" si="94"/>
        <v>#DIV/0!</v>
      </c>
      <c r="CC49" s="103" t="e">
        <f t="shared" si="94"/>
        <v>#DIV/0!</v>
      </c>
      <c r="CD49" s="74" t="str">
        <f t="shared" si="11"/>
        <v>-</v>
      </c>
      <c r="CE49" s="74">
        <f t="shared" si="47"/>
        <v>0</v>
      </c>
      <c r="CF49" s="74">
        <f t="shared" si="48"/>
        <v>0</v>
      </c>
      <c r="CG49" s="98">
        <f t="shared" si="49"/>
        <v>0</v>
      </c>
      <c r="CH49" s="74">
        <f t="shared" si="12"/>
        <v>0</v>
      </c>
      <c r="CI49" s="74">
        <f t="shared" si="13"/>
        <v>0</v>
      </c>
      <c r="CM49" s="74">
        <f t="shared" si="14"/>
        <v>0</v>
      </c>
      <c r="CN49" s="74">
        <f t="shared" si="50"/>
        <v>0</v>
      </c>
      <c r="CO49" s="98">
        <f t="shared" si="51"/>
        <v>0</v>
      </c>
      <c r="CP49" s="74">
        <f t="shared" si="15"/>
        <v>0</v>
      </c>
      <c r="CQ49" s="74">
        <f t="shared" si="16"/>
        <v>0</v>
      </c>
      <c r="CV49" s="98" t="str">
        <f t="shared" si="17"/>
        <v>-</v>
      </c>
      <c r="CW49" s="95" t="str">
        <f t="shared" si="18"/>
        <v>-</v>
      </c>
      <c r="CX49" s="74" t="str">
        <f t="shared" si="52"/>
        <v>-</v>
      </c>
      <c r="CY49" s="74" t="str">
        <f t="shared" si="19"/>
        <v>-</v>
      </c>
      <c r="CZ49" s="100" t="str">
        <f t="shared" si="20"/>
        <v>-</v>
      </c>
      <c r="DA49" s="58" t="str">
        <f t="shared" si="53"/>
        <v>-</v>
      </c>
      <c r="DB49" s="58" t="str">
        <f t="shared" si="54"/>
        <v>-</v>
      </c>
      <c r="DC49" s="58" t="str">
        <f t="shared" si="55"/>
        <v>-</v>
      </c>
      <c r="DD49" s="58" t="str">
        <f t="shared" si="56"/>
        <v>-</v>
      </c>
      <c r="DH49" s="98" t="str">
        <f t="shared" si="57"/>
        <v>-</v>
      </c>
      <c r="DI49" s="98" t="str">
        <f t="shared" si="58"/>
        <v>-</v>
      </c>
      <c r="DJ49" s="74" t="str">
        <f t="shared" si="89"/>
        <v>-</v>
      </c>
      <c r="DK49" s="74" t="str">
        <f t="shared" si="89"/>
        <v>-</v>
      </c>
      <c r="DL49" s="100" t="str">
        <f t="shared" si="22"/>
        <v>-</v>
      </c>
      <c r="DM49" s="58" t="str">
        <f t="shared" si="60"/>
        <v>-</v>
      </c>
      <c r="DN49" s="58" t="str">
        <f t="shared" si="61"/>
        <v>-</v>
      </c>
      <c r="DO49" s="58" t="str">
        <f t="shared" si="62"/>
        <v>-</v>
      </c>
      <c r="DP49" s="58" t="str">
        <f t="shared" si="63"/>
        <v>-</v>
      </c>
      <c r="DQ49" s="100"/>
      <c r="DR49" s="100"/>
      <c r="DT49" s="98" t="str">
        <f t="shared" si="86"/>
        <v>-</v>
      </c>
      <c r="DU49" s="98" t="str">
        <f t="shared" si="64"/>
        <v>-</v>
      </c>
      <c r="DV49" s="74" t="str">
        <f t="shared" si="90"/>
        <v>-</v>
      </c>
      <c r="DW49" s="74" t="str">
        <f t="shared" si="90"/>
        <v>-</v>
      </c>
      <c r="DX49" s="100" t="str">
        <f t="shared" si="24"/>
        <v>-</v>
      </c>
      <c r="DY49" s="58" t="str">
        <f t="shared" si="66"/>
        <v>-</v>
      </c>
      <c r="DZ49" s="58" t="str">
        <f t="shared" si="67"/>
        <v>-</v>
      </c>
      <c r="EA49" s="58" t="str">
        <f t="shared" si="68"/>
        <v>-</v>
      </c>
      <c r="EB49" s="58" t="str">
        <f t="shared" si="69"/>
        <v>-</v>
      </c>
      <c r="EC49" s="100"/>
      <c r="ED49" s="100"/>
      <c r="EF49" s="98" t="str">
        <f t="shared" si="70"/>
        <v>-</v>
      </c>
      <c r="EG49" s="98" t="str">
        <f t="shared" si="71"/>
        <v>-</v>
      </c>
      <c r="EH49" s="74" t="str">
        <f t="shared" si="91"/>
        <v>-</v>
      </c>
      <c r="EI49" s="74" t="str">
        <f t="shared" si="91"/>
        <v>-</v>
      </c>
      <c r="EJ49" s="100" t="str">
        <f t="shared" si="26"/>
        <v>-</v>
      </c>
      <c r="EK49" s="58" t="str">
        <f t="shared" si="73"/>
        <v>-</v>
      </c>
      <c r="EL49" s="58" t="str">
        <f t="shared" si="74"/>
        <v>-</v>
      </c>
      <c r="EM49" s="58" t="str">
        <f t="shared" si="75"/>
        <v>-</v>
      </c>
      <c r="EN49" s="58" t="str">
        <f t="shared" si="76"/>
        <v>-</v>
      </c>
      <c r="EO49" s="100"/>
      <c r="EP49" s="100"/>
      <c r="ER49" s="79" t="str">
        <f t="shared" si="77"/>
        <v>-</v>
      </c>
      <c r="ES49" s="79" t="str">
        <f t="shared" si="78"/>
        <v>-</v>
      </c>
      <c r="ET49" s="79" t="str">
        <f t="shared" si="79"/>
        <v>-</v>
      </c>
      <c r="EU49" s="79" t="str">
        <f t="shared" si="80"/>
        <v>-</v>
      </c>
      <c r="EY49" s="74" t="str">
        <f>IF(E49=0,"-",LARGE(E6:E50,44))</f>
        <v>-</v>
      </c>
      <c r="EZ49" s="77" t="str">
        <f t="shared" si="81"/>
        <v>-</v>
      </c>
      <c r="FB49" s="77" t="str">
        <f t="shared" si="83"/>
        <v>-</v>
      </c>
      <c r="FC49" s="77" t="str">
        <f>IF(FB49="-","-",SMALL(FB6:FB50,44))</f>
        <v>-</v>
      </c>
    </row>
    <row r="50" spans="2:159" s="77" customFormat="1">
      <c r="B50" s="77" t="str">
        <f>IF(Main!$BL$5&gt;44,"x","")</f>
        <v/>
      </c>
      <c r="C50" s="95">
        <f>'1'!R47</f>
        <v>0</v>
      </c>
      <c r="D50" s="96">
        <f>'1'!J47</f>
        <v>0</v>
      </c>
      <c r="E50" s="96">
        <f>'1'!K47</f>
        <v>0</v>
      </c>
      <c r="G50" s="77" t="str">
        <f>IF(Main!$BN$5&gt;44,"x","")</f>
        <v/>
      </c>
      <c r="L50" s="96">
        <f>'3'!R47</f>
        <v>0</v>
      </c>
      <c r="M50" s="77">
        <f>'3'!J47</f>
        <v>0</v>
      </c>
      <c r="N50" s="74">
        <f>'3'!K47</f>
        <v>0</v>
      </c>
      <c r="AJ50" s="98" t="str">
        <f t="shared" si="27"/>
        <v>-</v>
      </c>
      <c r="AK50" s="98" t="str">
        <f t="shared" si="28"/>
        <v>-</v>
      </c>
      <c r="AL50" s="98" t="str">
        <f t="shared" si="0"/>
        <v>-</v>
      </c>
      <c r="AM50" s="98" t="str">
        <f t="shared" si="29"/>
        <v>-</v>
      </c>
      <c r="AN50" s="98" t="str">
        <f t="shared" si="30"/>
        <v>-</v>
      </c>
      <c r="AO50" s="98" t="str">
        <f t="shared" si="31"/>
        <v>-</v>
      </c>
      <c r="AP50" s="98" t="str">
        <f t="shared" si="32"/>
        <v>-</v>
      </c>
      <c r="AQ50" s="98" t="str">
        <f t="shared" si="33"/>
        <v>-</v>
      </c>
      <c r="AT50" s="103" t="e">
        <f t="shared" si="93"/>
        <v>#DIV/0!</v>
      </c>
      <c r="AU50" s="103" t="e">
        <f t="shared" si="93"/>
        <v>#DIV/0!</v>
      </c>
      <c r="AV50" s="103" t="e">
        <f t="shared" si="93"/>
        <v>#DIV/0!</v>
      </c>
      <c r="AW50" s="103" t="e">
        <f t="shared" si="93"/>
        <v>#DIV/0!</v>
      </c>
      <c r="AX50" s="74" t="str">
        <f t="shared" si="35"/>
        <v>-</v>
      </c>
      <c r="AY50" s="74">
        <f t="shared" si="36"/>
        <v>0</v>
      </c>
      <c r="AZ50" s="74">
        <f t="shared" si="37"/>
        <v>0</v>
      </c>
      <c r="BA50" s="98">
        <f t="shared" si="38"/>
        <v>0</v>
      </c>
      <c r="BB50" s="74">
        <f t="shared" si="1"/>
        <v>0</v>
      </c>
      <c r="BC50" s="74">
        <f t="shared" si="2"/>
        <v>0</v>
      </c>
      <c r="BG50" s="74">
        <f t="shared" si="39"/>
        <v>0</v>
      </c>
      <c r="BH50" s="74">
        <f t="shared" si="40"/>
        <v>0</v>
      </c>
      <c r="BI50" s="98">
        <f t="shared" si="41"/>
        <v>0</v>
      </c>
      <c r="BJ50" s="74">
        <f t="shared" si="3"/>
        <v>0</v>
      </c>
      <c r="BK50" s="74">
        <f t="shared" si="4"/>
        <v>0</v>
      </c>
      <c r="BN50" s="74">
        <f t="shared" si="42"/>
        <v>0</v>
      </c>
      <c r="BO50" s="74" t="str">
        <f t="shared" si="43"/>
        <v>-</v>
      </c>
      <c r="BP50" s="98" t="str">
        <f t="shared" si="44"/>
        <v>-</v>
      </c>
      <c r="BQ50" s="98" t="str">
        <f t="shared" si="45"/>
        <v>-</v>
      </c>
      <c r="BR50" s="98" t="str">
        <f t="shared" si="5"/>
        <v>-</v>
      </c>
      <c r="BS50" s="98" t="str">
        <f t="shared" si="6"/>
        <v>-</v>
      </c>
      <c r="BT50" s="98" t="str">
        <f t="shared" si="7"/>
        <v>-</v>
      </c>
      <c r="BU50" s="98" t="str">
        <f t="shared" si="8"/>
        <v>-</v>
      </c>
      <c r="BV50" s="98" t="str">
        <f t="shared" si="9"/>
        <v>-</v>
      </c>
      <c r="BW50" s="98" t="str">
        <f t="shared" si="10"/>
        <v>-</v>
      </c>
      <c r="BZ50" s="103" t="e">
        <f t="shared" si="94"/>
        <v>#DIV/0!</v>
      </c>
      <c r="CA50" s="103" t="e">
        <f t="shared" si="94"/>
        <v>#DIV/0!</v>
      </c>
      <c r="CB50" s="103" t="e">
        <f t="shared" si="94"/>
        <v>#DIV/0!</v>
      </c>
      <c r="CC50" s="103" t="e">
        <f t="shared" si="94"/>
        <v>#DIV/0!</v>
      </c>
      <c r="CD50" s="74" t="str">
        <f t="shared" si="11"/>
        <v>-</v>
      </c>
      <c r="CE50" s="74">
        <f t="shared" si="47"/>
        <v>0</v>
      </c>
      <c r="CF50" s="74">
        <f t="shared" si="48"/>
        <v>0</v>
      </c>
      <c r="CG50" s="98">
        <f t="shared" si="49"/>
        <v>0</v>
      </c>
      <c r="CH50" s="74">
        <f t="shared" si="12"/>
        <v>0</v>
      </c>
      <c r="CI50" s="74">
        <f t="shared" si="13"/>
        <v>0</v>
      </c>
      <c r="CM50" s="74">
        <f t="shared" si="14"/>
        <v>0</v>
      </c>
      <c r="CN50" s="74">
        <f t="shared" si="50"/>
        <v>0</v>
      </c>
      <c r="CO50" s="98">
        <f t="shared" si="51"/>
        <v>0</v>
      </c>
      <c r="CP50" s="74">
        <f t="shared" si="15"/>
        <v>0</v>
      </c>
      <c r="CQ50" s="74">
        <f t="shared" si="16"/>
        <v>0</v>
      </c>
      <c r="CV50" s="98" t="str">
        <f t="shared" si="17"/>
        <v>-</v>
      </c>
      <c r="CW50" s="95" t="str">
        <f t="shared" si="18"/>
        <v>-</v>
      </c>
      <c r="CX50" s="74" t="str">
        <f t="shared" si="52"/>
        <v>-</v>
      </c>
      <c r="CY50" s="74" t="str">
        <f t="shared" si="19"/>
        <v>-</v>
      </c>
      <c r="CZ50" s="100" t="str">
        <f t="shared" si="20"/>
        <v>-</v>
      </c>
      <c r="DA50" s="58" t="str">
        <f t="shared" si="53"/>
        <v>-</v>
      </c>
      <c r="DB50" s="58" t="str">
        <f t="shared" si="54"/>
        <v>-</v>
      </c>
      <c r="DC50" s="58" t="str">
        <f t="shared" si="55"/>
        <v>-</v>
      </c>
      <c r="DD50" s="58" t="str">
        <f t="shared" si="56"/>
        <v>-</v>
      </c>
      <c r="DH50" s="98" t="str">
        <f t="shared" si="57"/>
        <v>-</v>
      </c>
      <c r="DI50" s="98" t="str">
        <f t="shared" si="58"/>
        <v>-</v>
      </c>
      <c r="DJ50" s="74" t="str">
        <f t="shared" si="89"/>
        <v>-</v>
      </c>
      <c r="DK50" s="74" t="str">
        <f t="shared" si="89"/>
        <v>-</v>
      </c>
      <c r="DL50" s="100" t="str">
        <f t="shared" si="22"/>
        <v>-</v>
      </c>
      <c r="DM50" s="58" t="str">
        <f t="shared" si="60"/>
        <v>-</v>
      </c>
      <c r="DN50" s="58" t="str">
        <f t="shared" si="61"/>
        <v>-</v>
      </c>
      <c r="DO50" s="58" t="str">
        <f t="shared" si="62"/>
        <v>-</v>
      </c>
      <c r="DP50" s="58" t="str">
        <f t="shared" si="63"/>
        <v>-</v>
      </c>
      <c r="DQ50" s="100"/>
      <c r="DR50" s="100"/>
      <c r="DT50" s="98" t="str">
        <f t="shared" si="86"/>
        <v>-</v>
      </c>
      <c r="DU50" s="98" t="str">
        <f t="shared" si="64"/>
        <v>-</v>
      </c>
      <c r="DV50" s="74" t="str">
        <f t="shared" si="90"/>
        <v>-</v>
      </c>
      <c r="DW50" s="74" t="str">
        <f t="shared" si="90"/>
        <v>-</v>
      </c>
      <c r="DX50" s="100" t="str">
        <f t="shared" si="24"/>
        <v>-</v>
      </c>
      <c r="DY50" s="58" t="str">
        <f t="shared" si="66"/>
        <v>-</v>
      </c>
      <c r="DZ50" s="58" t="str">
        <f t="shared" si="67"/>
        <v>-</v>
      </c>
      <c r="EA50" s="58" t="str">
        <f t="shared" si="68"/>
        <v>-</v>
      </c>
      <c r="EB50" s="58" t="str">
        <f t="shared" si="69"/>
        <v>-</v>
      </c>
      <c r="EC50" s="100"/>
      <c r="ED50" s="100"/>
      <c r="EF50" s="98" t="str">
        <f t="shared" si="70"/>
        <v>-</v>
      </c>
      <c r="EG50" s="98" t="str">
        <f t="shared" si="71"/>
        <v>-</v>
      </c>
      <c r="EH50" s="74" t="str">
        <f t="shared" si="91"/>
        <v>-</v>
      </c>
      <c r="EI50" s="74" t="str">
        <f t="shared" si="91"/>
        <v>-</v>
      </c>
      <c r="EJ50" s="100" t="str">
        <f t="shared" si="26"/>
        <v>-</v>
      </c>
      <c r="EK50" s="58" t="str">
        <f t="shared" si="73"/>
        <v>-</v>
      </c>
      <c r="EL50" s="58" t="str">
        <f t="shared" si="74"/>
        <v>-</v>
      </c>
      <c r="EM50" s="58" t="str">
        <f t="shared" si="75"/>
        <v>-</v>
      </c>
      <c r="EN50" s="58" t="str">
        <f t="shared" si="76"/>
        <v>-</v>
      </c>
      <c r="EO50" s="100"/>
      <c r="EP50" s="100"/>
      <c r="ER50" s="79" t="str">
        <f t="shared" si="77"/>
        <v>-</v>
      </c>
      <c r="ES50" s="79" t="str">
        <f t="shared" si="78"/>
        <v>-</v>
      </c>
      <c r="ET50" s="79" t="str">
        <f t="shared" si="79"/>
        <v>-</v>
      </c>
      <c r="EU50" s="79" t="str">
        <f t="shared" si="80"/>
        <v>-</v>
      </c>
      <c r="EY50" s="74" t="str">
        <f>IF(E50=0,"-",LARGE(E6:E50,45))</f>
        <v>-</v>
      </c>
      <c r="EZ50" s="77" t="str">
        <f t="shared" si="81"/>
        <v>-</v>
      </c>
      <c r="FB50" s="77" t="str">
        <f t="shared" si="83"/>
        <v>-</v>
      </c>
      <c r="FC50" s="77" t="str">
        <f>IF(FB50="-","-",SMALL(FB6:FB50,45))</f>
        <v>-</v>
      </c>
    </row>
    <row r="51" spans="2:159" s="104" customFormat="1">
      <c r="AY51" s="105">
        <f>SUM(AY6:AY50)</f>
        <v>0</v>
      </c>
      <c r="AZ51" s="105">
        <f t="shared" ref="AZ51:BC51" si="96">SUM(AZ6:AZ50)</f>
        <v>0</v>
      </c>
      <c r="BA51" s="105">
        <f t="shared" si="96"/>
        <v>0</v>
      </c>
      <c r="BB51" s="105">
        <f t="shared" si="96"/>
        <v>0</v>
      </c>
      <c r="BC51" s="105">
        <f t="shared" si="96"/>
        <v>0</v>
      </c>
      <c r="BG51" s="105">
        <f>SUM(BG6:BG50)</f>
        <v>0</v>
      </c>
      <c r="BH51" s="105">
        <f t="shared" ref="BH51:BK51" si="97">SUM(BH6:BH50)</f>
        <v>0</v>
      </c>
      <c r="BI51" s="105">
        <f t="shared" si="97"/>
        <v>0</v>
      </c>
      <c r="BJ51" s="105">
        <f t="shared" si="97"/>
        <v>0</v>
      </c>
      <c r="BK51" s="105">
        <f t="shared" si="97"/>
        <v>0</v>
      </c>
      <c r="CE51" s="105">
        <f>SUM(CE6:CE50)</f>
        <v>0</v>
      </c>
      <c r="CF51" s="105">
        <f t="shared" ref="CF51:CI51" si="98">SUM(CF6:CF50)</f>
        <v>0</v>
      </c>
      <c r="CG51" s="105">
        <f t="shared" si="98"/>
        <v>0</v>
      </c>
      <c r="CH51" s="105">
        <f t="shared" si="98"/>
        <v>0</v>
      </c>
      <c r="CI51" s="105">
        <f t="shared" si="98"/>
        <v>0</v>
      </c>
      <c r="CM51" s="105">
        <f t="shared" ref="CM51:CQ51" si="99">SUM(CM6:CM50)</f>
        <v>0</v>
      </c>
      <c r="CN51" s="105">
        <f t="shared" si="99"/>
        <v>0</v>
      </c>
      <c r="CO51" s="105">
        <f t="shared" si="99"/>
        <v>0</v>
      </c>
      <c r="CP51" s="105">
        <f t="shared" si="99"/>
        <v>0</v>
      </c>
      <c r="CQ51" s="105">
        <f t="shared" si="99"/>
        <v>0</v>
      </c>
    </row>
  </sheetData>
  <sheetProtection password="EA63" sheet="1" objects="1" scenarios="1"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K74"/>
  <sheetViews>
    <sheetView workbookViewId="0"/>
  </sheetViews>
  <sheetFormatPr defaultColWidth="11.42578125" defaultRowHeight="15"/>
  <cols>
    <col min="1" max="4" width="11.42578125" style="29"/>
    <col min="5" max="5" width="12.5703125" style="29" bestFit="1" customWidth="1"/>
    <col min="6" max="16384" width="11.42578125" style="29"/>
  </cols>
  <sheetData>
    <row r="2" spans="1:11">
      <c r="A2" s="78" t="e">
        <f>'4'!R19</f>
        <v>#DIV/0!</v>
      </c>
      <c r="B2" s="78" t="e">
        <f>VALUE(A2)</f>
        <v>#DIV/0!</v>
      </c>
      <c r="D2" s="78" t="e">
        <f>'5'!R6</f>
        <v>#DIV/0!</v>
      </c>
      <c r="E2" s="78" t="e">
        <f>VALUE(D2)</f>
        <v>#DIV/0!</v>
      </c>
      <c r="G2" s="78" t="e">
        <f>B2</f>
        <v>#DIV/0!</v>
      </c>
      <c r="K2" s="78"/>
    </row>
    <row r="3" spans="1:11">
      <c r="A3" s="78" t="e">
        <f>'4'!R20</f>
        <v>#DIV/0!</v>
      </c>
      <c r="B3" s="78" t="e">
        <f t="shared" ref="B3:B37" si="0">VALUE(A3)</f>
        <v>#DIV/0!</v>
      </c>
      <c r="D3" s="78" t="e">
        <f>'5'!R7</f>
        <v>#DIV/0!</v>
      </c>
      <c r="E3" s="78" t="e">
        <f t="shared" ref="E3:E37" si="1">VALUE(D3)</f>
        <v>#DIV/0!</v>
      </c>
      <c r="G3" s="78" t="e">
        <f t="shared" ref="G3:G37" si="2">B3</f>
        <v>#DIV/0!</v>
      </c>
      <c r="K3" s="78"/>
    </row>
    <row r="4" spans="1:11">
      <c r="A4" s="78">
        <f>'4'!R21</f>
        <v>0</v>
      </c>
      <c r="B4" s="78">
        <f t="shared" si="0"/>
        <v>0</v>
      </c>
      <c r="D4" s="78">
        <f>'5'!R8</f>
        <v>0</v>
      </c>
      <c r="E4" s="78">
        <f t="shared" si="1"/>
        <v>0</v>
      </c>
      <c r="G4" s="78">
        <f t="shared" si="2"/>
        <v>0</v>
      </c>
      <c r="K4" s="78"/>
    </row>
    <row r="5" spans="1:11">
      <c r="A5" s="78" t="e">
        <f>'4'!R22</f>
        <v>#DIV/0!</v>
      </c>
      <c r="B5" s="107" t="e">
        <f t="shared" si="0"/>
        <v>#DIV/0!</v>
      </c>
      <c r="D5" s="29" t="e">
        <f>'5'!R9</f>
        <v>#DIV/0!</v>
      </c>
      <c r="E5" s="107" t="e">
        <f t="shared" si="1"/>
        <v>#DIV/0!</v>
      </c>
      <c r="G5" s="78" t="e">
        <f t="shared" si="2"/>
        <v>#DIV/0!</v>
      </c>
      <c r="K5" s="78"/>
    </row>
    <row r="6" spans="1:11">
      <c r="A6" s="78" t="e">
        <f>'4'!R23</f>
        <v>#DIV/0!</v>
      </c>
      <c r="B6" s="78" t="e">
        <f t="shared" si="0"/>
        <v>#DIV/0!</v>
      </c>
      <c r="D6" s="78" t="e">
        <f>'5'!R10</f>
        <v>#DIV/0!</v>
      </c>
      <c r="E6" s="78" t="e">
        <f t="shared" si="1"/>
        <v>#DIV/0!</v>
      </c>
      <c r="G6" s="78" t="e">
        <f t="shared" si="2"/>
        <v>#DIV/0!</v>
      </c>
      <c r="K6" s="78"/>
    </row>
    <row r="7" spans="1:11">
      <c r="A7" s="78" t="e">
        <f>'4'!R24</f>
        <v>#DIV/0!</v>
      </c>
      <c r="B7" s="78" t="e">
        <f t="shared" si="0"/>
        <v>#DIV/0!</v>
      </c>
      <c r="D7" s="78" t="e">
        <f>'5'!R11</f>
        <v>#DIV/0!</v>
      </c>
      <c r="E7" s="78" t="e">
        <f t="shared" si="1"/>
        <v>#DIV/0!</v>
      </c>
      <c r="G7" s="78" t="e">
        <f t="shared" si="2"/>
        <v>#DIV/0!</v>
      </c>
      <c r="K7" s="78"/>
    </row>
    <row r="8" spans="1:11">
      <c r="A8" s="78" t="e">
        <f>'4'!R25</f>
        <v>#DIV/0!</v>
      </c>
      <c r="B8" s="78" t="e">
        <f t="shared" si="0"/>
        <v>#DIV/0!</v>
      </c>
      <c r="D8" s="78" t="e">
        <f>'5'!R12</f>
        <v>#DIV/0!</v>
      </c>
      <c r="E8" s="78" t="e">
        <f t="shared" si="1"/>
        <v>#DIV/0!</v>
      </c>
      <c r="G8" s="78" t="e">
        <f t="shared" si="2"/>
        <v>#DIV/0!</v>
      </c>
      <c r="K8" s="78"/>
    </row>
    <row r="9" spans="1:11">
      <c r="A9" s="78" t="e">
        <f>'4'!R26</f>
        <v>#DIV/0!</v>
      </c>
      <c r="B9" s="78" t="e">
        <f t="shared" si="0"/>
        <v>#DIV/0!</v>
      </c>
      <c r="D9" s="78" t="e">
        <f>'5'!R13</f>
        <v>#DIV/0!</v>
      </c>
      <c r="E9" s="78" t="e">
        <f t="shared" si="1"/>
        <v>#DIV/0!</v>
      </c>
      <c r="G9" s="78" t="e">
        <f t="shared" si="2"/>
        <v>#DIV/0!</v>
      </c>
      <c r="K9" s="78"/>
    </row>
    <row r="10" spans="1:11">
      <c r="A10" s="78">
        <f>'4'!R27</f>
        <v>0</v>
      </c>
      <c r="B10" s="78">
        <f t="shared" si="0"/>
        <v>0</v>
      </c>
      <c r="D10" s="78">
        <f>'5'!R14</f>
        <v>0</v>
      </c>
      <c r="E10" s="78">
        <f t="shared" si="1"/>
        <v>0</v>
      </c>
      <c r="G10" s="78">
        <f t="shared" si="2"/>
        <v>0</v>
      </c>
      <c r="K10" s="78"/>
    </row>
    <row r="11" spans="1:11">
      <c r="A11" s="78" t="e">
        <f>'4'!S19</f>
        <v>#DIV/0!</v>
      </c>
      <c r="B11" s="78" t="e">
        <f t="shared" si="0"/>
        <v>#DIV/0!</v>
      </c>
      <c r="D11" s="78" t="e">
        <f>'5'!S6</f>
        <v>#DIV/0!</v>
      </c>
      <c r="E11" s="78" t="e">
        <f t="shared" si="1"/>
        <v>#DIV/0!</v>
      </c>
      <c r="G11" s="78" t="e">
        <f t="shared" si="2"/>
        <v>#DIV/0!</v>
      </c>
      <c r="K11" s="78"/>
    </row>
    <row r="12" spans="1:11">
      <c r="A12" s="78" t="e">
        <f>'4'!S20</f>
        <v>#DIV/0!</v>
      </c>
      <c r="B12" s="78" t="e">
        <f t="shared" si="0"/>
        <v>#DIV/0!</v>
      </c>
      <c r="D12" s="78" t="e">
        <f>'5'!S7</f>
        <v>#DIV/0!</v>
      </c>
      <c r="E12" s="78" t="e">
        <f t="shared" si="1"/>
        <v>#DIV/0!</v>
      </c>
      <c r="G12" s="78" t="e">
        <f t="shared" si="2"/>
        <v>#DIV/0!</v>
      </c>
      <c r="K12" s="78"/>
    </row>
    <row r="13" spans="1:11">
      <c r="A13" s="78">
        <f>'4'!S21</f>
        <v>0</v>
      </c>
      <c r="B13" s="78">
        <f t="shared" si="0"/>
        <v>0</v>
      </c>
      <c r="D13" s="78">
        <f>'5'!S8</f>
        <v>0</v>
      </c>
      <c r="E13" s="78">
        <f t="shared" si="1"/>
        <v>0</v>
      </c>
      <c r="G13" s="78">
        <f t="shared" si="2"/>
        <v>0</v>
      </c>
      <c r="K13" s="78"/>
    </row>
    <row r="14" spans="1:11">
      <c r="A14" s="78" t="e">
        <f>'4'!S22</f>
        <v>#DIV/0!</v>
      </c>
      <c r="B14" s="107" t="e">
        <f t="shared" si="0"/>
        <v>#DIV/0!</v>
      </c>
      <c r="D14" s="29" t="e">
        <f>'5'!S9</f>
        <v>#DIV/0!</v>
      </c>
      <c r="E14" s="107" t="e">
        <f t="shared" si="1"/>
        <v>#DIV/0!</v>
      </c>
      <c r="G14" s="78" t="e">
        <f t="shared" si="2"/>
        <v>#DIV/0!</v>
      </c>
      <c r="K14" s="78"/>
    </row>
    <row r="15" spans="1:11">
      <c r="A15" s="78" t="e">
        <f>'4'!S23</f>
        <v>#DIV/0!</v>
      </c>
      <c r="B15" s="78" t="e">
        <f t="shared" si="0"/>
        <v>#DIV/0!</v>
      </c>
      <c r="D15" s="78" t="e">
        <f>'5'!S10</f>
        <v>#DIV/0!</v>
      </c>
      <c r="E15" s="78" t="e">
        <f t="shared" si="1"/>
        <v>#DIV/0!</v>
      </c>
      <c r="G15" s="78" t="e">
        <f t="shared" si="2"/>
        <v>#DIV/0!</v>
      </c>
      <c r="K15" s="78"/>
    </row>
    <row r="16" spans="1:11">
      <c r="A16" s="78" t="e">
        <f>'4'!S24</f>
        <v>#DIV/0!</v>
      </c>
      <c r="B16" s="78" t="e">
        <f t="shared" si="0"/>
        <v>#DIV/0!</v>
      </c>
      <c r="D16" s="78" t="e">
        <f>'5'!S11</f>
        <v>#DIV/0!</v>
      </c>
      <c r="E16" s="78" t="e">
        <f t="shared" si="1"/>
        <v>#DIV/0!</v>
      </c>
      <c r="G16" s="78" t="e">
        <f t="shared" si="2"/>
        <v>#DIV/0!</v>
      </c>
      <c r="K16" s="78"/>
    </row>
    <row r="17" spans="1:11">
      <c r="A17" s="78" t="e">
        <f>'4'!S25</f>
        <v>#DIV/0!</v>
      </c>
      <c r="B17" s="78" t="e">
        <f t="shared" si="0"/>
        <v>#DIV/0!</v>
      </c>
      <c r="D17" s="78" t="e">
        <f>'5'!S12</f>
        <v>#DIV/0!</v>
      </c>
      <c r="E17" s="78" t="e">
        <f t="shared" si="1"/>
        <v>#DIV/0!</v>
      </c>
      <c r="G17" s="78" t="e">
        <f t="shared" si="2"/>
        <v>#DIV/0!</v>
      </c>
      <c r="K17" s="78"/>
    </row>
    <row r="18" spans="1:11">
      <c r="A18" s="78" t="e">
        <f>'4'!S26</f>
        <v>#DIV/0!</v>
      </c>
      <c r="B18" s="78" t="e">
        <f t="shared" si="0"/>
        <v>#DIV/0!</v>
      </c>
      <c r="D18" s="78" t="e">
        <f>'5'!S13</f>
        <v>#DIV/0!</v>
      </c>
      <c r="E18" s="78" t="e">
        <f t="shared" si="1"/>
        <v>#DIV/0!</v>
      </c>
      <c r="G18" s="78" t="e">
        <f t="shared" si="2"/>
        <v>#DIV/0!</v>
      </c>
      <c r="K18" s="78"/>
    </row>
    <row r="19" spans="1:11">
      <c r="A19" s="78">
        <f>'4'!S27</f>
        <v>0</v>
      </c>
      <c r="B19" s="78">
        <f t="shared" si="0"/>
        <v>0</v>
      </c>
      <c r="D19" s="78">
        <f>'5'!S14</f>
        <v>0</v>
      </c>
      <c r="E19" s="78">
        <f t="shared" si="1"/>
        <v>0</v>
      </c>
      <c r="G19" s="78">
        <f t="shared" si="2"/>
        <v>0</v>
      </c>
      <c r="K19" s="78"/>
    </row>
    <row r="20" spans="1:11">
      <c r="A20" s="78" t="e">
        <f>'4'!T19</f>
        <v>#DIV/0!</v>
      </c>
      <c r="B20" s="78" t="e">
        <f t="shared" si="0"/>
        <v>#DIV/0!</v>
      </c>
      <c r="D20" s="78" t="e">
        <f>'5'!T6</f>
        <v>#DIV/0!</v>
      </c>
      <c r="E20" s="78" t="e">
        <f t="shared" si="1"/>
        <v>#DIV/0!</v>
      </c>
      <c r="G20" s="78" t="e">
        <f t="shared" si="2"/>
        <v>#DIV/0!</v>
      </c>
      <c r="K20" s="78"/>
    </row>
    <row r="21" spans="1:11">
      <c r="A21" s="78" t="e">
        <f>'4'!T20</f>
        <v>#DIV/0!</v>
      </c>
      <c r="B21" s="78" t="e">
        <f t="shared" si="0"/>
        <v>#DIV/0!</v>
      </c>
      <c r="D21" s="78" t="e">
        <f>'5'!T7</f>
        <v>#DIV/0!</v>
      </c>
      <c r="E21" s="78" t="e">
        <f t="shared" si="1"/>
        <v>#DIV/0!</v>
      </c>
      <c r="G21" s="78" t="e">
        <f t="shared" si="2"/>
        <v>#DIV/0!</v>
      </c>
      <c r="K21" s="78"/>
    </row>
    <row r="22" spans="1:11">
      <c r="A22" s="78">
        <f>'4'!T21</f>
        <v>0</v>
      </c>
      <c r="B22" s="78">
        <f t="shared" si="0"/>
        <v>0</v>
      </c>
      <c r="D22" s="78">
        <f>'5'!T8</f>
        <v>0</v>
      </c>
      <c r="E22" s="78">
        <f t="shared" si="1"/>
        <v>0</v>
      </c>
      <c r="G22" s="78">
        <f t="shared" si="2"/>
        <v>0</v>
      </c>
      <c r="K22" s="78"/>
    </row>
    <row r="23" spans="1:11">
      <c r="A23" s="78" t="e">
        <f>'4'!T25</f>
        <v>#DIV/0!</v>
      </c>
      <c r="B23" s="78" t="e">
        <f t="shared" si="0"/>
        <v>#DIV/0!</v>
      </c>
      <c r="D23" s="78" t="e">
        <f>'5'!T12</f>
        <v>#DIV/0!</v>
      </c>
      <c r="E23" s="78" t="e">
        <f t="shared" si="1"/>
        <v>#DIV/0!</v>
      </c>
      <c r="G23" s="78" t="e">
        <f t="shared" si="2"/>
        <v>#DIV/0!</v>
      </c>
      <c r="K23" s="78"/>
    </row>
    <row r="24" spans="1:11">
      <c r="A24" s="78" t="e">
        <f>'4'!T26</f>
        <v>#DIV/0!</v>
      </c>
      <c r="B24" s="78" t="e">
        <f t="shared" si="0"/>
        <v>#DIV/0!</v>
      </c>
      <c r="D24" s="78" t="e">
        <f>'5'!T13</f>
        <v>#DIV/0!</v>
      </c>
      <c r="E24" s="78" t="e">
        <f t="shared" si="1"/>
        <v>#DIV/0!</v>
      </c>
      <c r="G24" s="78" t="e">
        <f t="shared" si="2"/>
        <v>#DIV/0!</v>
      </c>
      <c r="K24" s="78"/>
    </row>
    <row r="25" spans="1:11">
      <c r="A25" s="78">
        <f>'4'!T27</f>
        <v>0</v>
      </c>
      <c r="B25" s="78">
        <f t="shared" si="0"/>
        <v>0</v>
      </c>
      <c r="D25" s="78">
        <f>'5'!T14</f>
        <v>0</v>
      </c>
      <c r="E25" s="78">
        <f t="shared" si="1"/>
        <v>0</v>
      </c>
      <c r="G25" s="78">
        <f t="shared" si="2"/>
        <v>0</v>
      </c>
      <c r="K25" s="78"/>
    </row>
    <row r="26" spans="1:11">
      <c r="A26" s="29">
        <f>'4'!T28</f>
        <v>1</v>
      </c>
      <c r="B26" s="29">
        <f t="shared" si="0"/>
        <v>1</v>
      </c>
      <c r="D26" s="29">
        <f>'5'!T15</f>
        <v>1</v>
      </c>
      <c r="E26" s="29">
        <f t="shared" si="1"/>
        <v>1</v>
      </c>
      <c r="G26" s="78">
        <f t="shared" si="2"/>
        <v>1</v>
      </c>
      <c r="K26" s="78"/>
    </row>
    <row r="27" spans="1:11">
      <c r="A27" s="78" t="e">
        <f>'4'!T29</f>
        <v>#DIV/0!</v>
      </c>
      <c r="B27" s="107" t="e">
        <f t="shared" si="0"/>
        <v>#DIV/0!</v>
      </c>
      <c r="D27" s="29" t="e">
        <f>'5'!T16</f>
        <v>#DIV/0!</v>
      </c>
      <c r="E27" s="107" t="e">
        <f t="shared" si="1"/>
        <v>#DIV/0!</v>
      </c>
      <c r="G27" s="78" t="e">
        <f t="shared" si="2"/>
        <v>#DIV/0!</v>
      </c>
      <c r="K27" s="78"/>
    </row>
    <row r="28" spans="1:11">
      <c r="A28" s="29">
        <f>'4'!T30</f>
        <v>1</v>
      </c>
      <c r="B28" s="29">
        <f t="shared" si="0"/>
        <v>1</v>
      </c>
      <c r="D28" s="29">
        <f>'5'!T17</f>
        <v>1</v>
      </c>
      <c r="E28" s="29">
        <f t="shared" si="1"/>
        <v>1</v>
      </c>
      <c r="G28" s="78">
        <f t="shared" si="2"/>
        <v>1</v>
      </c>
      <c r="K28" s="78"/>
    </row>
    <row r="29" spans="1:11">
      <c r="A29" s="78" t="e">
        <f>'4'!T31</f>
        <v>#DIV/0!</v>
      </c>
      <c r="B29" s="107" t="e">
        <f t="shared" si="0"/>
        <v>#DIV/0!</v>
      </c>
      <c r="D29" s="29" t="e">
        <f>'5'!T18</f>
        <v>#DIV/0!</v>
      </c>
      <c r="E29" s="107" t="e">
        <f t="shared" si="1"/>
        <v>#DIV/0!</v>
      </c>
      <c r="G29" s="78" t="e">
        <f t="shared" si="2"/>
        <v>#DIV/0!</v>
      </c>
      <c r="K29" s="78"/>
    </row>
    <row r="30" spans="1:11">
      <c r="A30" s="78" t="e">
        <f>'4'!T40</f>
        <v>#DIV/0!</v>
      </c>
      <c r="B30" s="78" t="e">
        <f t="shared" si="0"/>
        <v>#DIV/0!</v>
      </c>
      <c r="D30" s="29" t="e">
        <f>'5'!T32</f>
        <v>#DIV/0!</v>
      </c>
      <c r="E30" s="78" t="e">
        <f t="shared" si="1"/>
        <v>#DIV/0!</v>
      </c>
      <c r="G30" s="78" t="e">
        <f t="shared" si="2"/>
        <v>#DIV/0!</v>
      </c>
      <c r="K30" s="78"/>
    </row>
    <row r="31" spans="1:11">
      <c r="A31" s="78" t="e">
        <f>'4'!T41</f>
        <v>#DIV/0!</v>
      </c>
      <c r="B31" s="78" t="e">
        <f t="shared" si="0"/>
        <v>#DIV/0!</v>
      </c>
      <c r="D31" s="29" t="e">
        <f>'5'!T33</f>
        <v>#DIV/0!</v>
      </c>
      <c r="E31" s="78" t="e">
        <f t="shared" si="1"/>
        <v>#DIV/0!</v>
      </c>
      <c r="G31" s="78" t="e">
        <f t="shared" si="2"/>
        <v>#DIV/0!</v>
      </c>
      <c r="K31" s="78"/>
    </row>
    <row r="32" spans="1:11">
      <c r="A32" s="78" t="e">
        <f>'4'!T42</f>
        <v>#DIV/0!</v>
      </c>
      <c r="B32" s="78" t="e">
        <f t="shared" si="0"/>
        <v>#DIV/0!</v>
      </c>
      <c r="D32" s="29" t="e">
        <f>'5'!T34</f>
        <v>#DIV/0!</v>
      </c>
      <c r="E32" s="78" t="e">
        <f t="shared" si="1"/>
        <v>#DIV/0!</v>
      </c>
      <c r="G32" s="78" t="e">
        <f t="shared" si="2"/>
        <v>#DIV/0!</v>
      </c>
      <c r="K32" s="78"/>
    </row>
    <row r="33" spans="1:11">
      <c r="A33" s="78" t="e">
        <f>'4'!T43</f>
        <v>#DIV/0!</v>
      </c>
      <c r="B33" s="78" t="e">
        <f t="shared" si="0"/>
        <v>#DIV/0!</v>
      </c>
      <c r="D33" s="29" t="e">
        <f>'5'!T35</f>
        <v>#DIV/0!</v>
      </c>
      <c r="E33" s="78" t="e">
        <f t="shared" si="1"/>
        <v>#DIV/0!</v>
      </c>
      <c r="G33" s="78" t="e">
        <f t="shared" si="2"/>
        <v>#DIV/0!</v>
      </c>
      <c r="K33" s="78"/>
    </row>
    <row r="34" spans="1:11">
      <c r="A34" s="78" t="e">
        <f>'4'!T44</f>
        <v>#DIV/0!</v>
      </c>
      <c r="B34" s="78" t="e">
        <f t="shared" si="0"/>
        <v>#DIV/0!</v>
      </c>
      <c r="D34" s="29" t="e">
        <f>'5'!T36</f>
        <v>#DIV/0!</v>
      </c>
      <c r="E34" s="78" t="e">
        <f t="shared" si="1"/>
        <v>#DIV/0!</v>
      </c>
      <c r="G34" s="78" t="e">
        <f t="shared" si="2"/>
        <v>#DIV/0!</v>
      </c>
      <c r="K34" s="78"/>
    </row>
    <row r="35" spans="1:11">
      <c r="A35" s="78" t="e">
        <f>'4'!T45</f>
        <v>#DIV/0!</v>
      </c>
      <c r="B35" s="78" t="e">
        <f t="shared" si="0"/>
        <v>#DIV/0!</v>
      </c>
      <c r="D35" s="78" t="e">
        <f>'5'!T37</f>
        <v>#DIV/0!</v>
      </c>
      <c r="E35" s="78" t="e">
        <f t="shared" si="1"/>
        <v>#DIV/0!</v>
      </c>
      <c r="G35" s="78" t="e">
        <f t="shared" si="2"/>
        <v>#DIV/0!</v>
      </c>
      <c r="K35" s="78"/>
    </row>
    <row r="36" spans="1:11">
      <c r="A36" s="78" t="e">
        <f>'4'!T46</f>
        <v>#DIV/0!</v>
      </c>
      <c r="B36" s="78" t="e">
        <f t="shared" si="0"/>
        <v>#DIV/0!</v>
      </c>
      <c r="D36" s="78" t="e">
        <f>'5'!T38</f>
        <v>#DIV/0!</v>
      </c>
      <c r="E36" s="78" t="e">
        <f t="shared" si="1"/>
        <v>#DIV/0!</v>
      </c>
      <c r="G36" s="78" t="e">
        <f t="shared" si="2"/>
        <v>#DIV/0!</v>
      </c>
      <c r="K36" s="78"/>
    </row>
    <row r="37" spans="1:11">
      <c r="A37" s="78" t="e">
        <f>'4'!T47</f>
        <v>#DIV/0!</v>
      </c>
      <c r="B37" s="78" t="e">
        <f t="shared" si="0"/>
        <v>#DIV/0!</v>
      </c>
      <c r="D37" s="78" t="e">
        <f>'5'!T39</f>
        <v>#DIV/0!</v>
      </c>
      <c r="E37" s="78" t="e">
        <f t="shared" si="1"/>
        <v>#DIV/0!</v>
      </c>
      <c r="G37" s="78" t="e">
        <f t="shared" si="2"/>
        <v>#DIV/0!</v>
      </c>
      <c r="K37" s="78"/>
    </row>
    <row r="38" spans="1:11">
      <c r="G38" s="78" t="e">
        <f>E2</f>
        <v>#DIV/0!</v>
      </c>
    </row>
    <row r="39" spans="1:11">
      <c r="G39" s="78" t="e">
        <f t="shared" ref="G39:G73" si="3">E3</f>
        <v>#DIV/0!</v>
      </c>
    </row>
    <row r="40" spans="1:11">
      <c r="G40" s="78">
        <f t="shared" si="3"/>
        <v>0</v>
      </c>
    </row>
    <row r="41" spans="1:11">
      <c r="G41" s="78" t="e">
        <f t="shared" si="3"/>
        <v>#DIV/0!</v>
      </c>
    </row>
    <row r="42" spans="1:11">
      <c r="G42" s="78" t="e">
        <f t="shared" si="3"/>
        <v>#DIV/0!</v>
      </c>
    </row>
    <row r="43" spans="1:11">
      <c r="G43" s="78" t="e">
        <f t="shared" si="3"/>
        <v>#DIV/0!</v>
      </c>
    </row>
    <row r="44" spans="1:11">
      <c r="G44" s="78" t="e">
        <f t="shared" si="3"/>
        <v>#DIV/0!</v>
      </c>
    </row>
    <row r="45" spans="1:11">
      <c r="G45" s="78" t="e">
        <f t="shared" si="3"/>
        <v>#DIV/0!</v>
      </c>
    </row>
    <row r="46" spans="1:11">
      <c r="G46" s="78">
        <f t="shared" si="3"/>
        <v>0</v>
      </c>
    </row>
    <row r="47" spans="1:11">
      <c r="G47" s="78" t="e">
        <f t="shared" si="3"/>
        <v>#DIV/0!</v>
      </c>
    </row>
    <row r="48" spans="1:11">
      <c r="G48" s="78" t="e">
        <f t="shared" si="3"/>
        <v>#DIV/0!</v>
      </c>
    </row>
    <row r="49" spans="7:7">
      <c r="G49" s="78">
        <f t="shared" si="3"/>
        <v>0</v>
      </c>
    </row>
    <row r="50" spans="7:7">
      <c r="G50" s="78" t="e">
        <f t="shared" si="3"/>
        <v>#DIV/0!</v>
      </c>
    </row>
    <row r="51" spans="7:7">
      <c r="G51" s="78" t="e">
        <f t="shared" si="3"/>
        <v>#DIV/0!</v>
      </c>
    </row>
    <row r="52" spans="7:7">
      <c r="G52" s="78" t="e">
        <f t="shared" si="3"/>
        <v>#DIV/0!</v>
      </c>
    </row>
    <row r="53" spans="7:7">
      <c r="G53" s="78" t="e">
        <f t="shared" si="3"/>
        <v>#DIV/0!</v>
      </c>
    </row>
    <row r="54" spans="7:7">
      <c r="G54" s="78" t="e">
        <f t="shared" si="3"/>
        <v>#DIV/0!</v>
      </c>
    </row>
    <row r="55" spans="7:7">
      <c r="G55" s="78">
        <f t="shared" si="3"/>
        <v>0</v>
      </c>
    </row>
    <row r="56" spans="7:7">
      <c r="G56" s="78" t="e">
        <f t="shared" si="3"/>
        <v>#DIV/0!</v>
      </c>
    </row>
    <row r="57" spans="7:7">
      <c r="G57" s="78" t="e">
        <f t="shared" si="3"/>
        <v>#DIV/0!</v>
      </c>
    </row>
    <row r="58" spans="7:7">
      <c r="G58" s="78">
        <f t="shared" si="3"/>
        <v>0</v>
      </c>
    </row>
    <row r="59" spans="7:7">
      <c r="G59" s="78" t="e">
        <f t="shared" si="3"/>
        <v>#DIV/0!</v>
      </c>
    </row>
    <row r="60" spans="7:7">
      <c r="G60" s="78" t="e">
        <f t="shared" si="3"/>
        <v>#DIV/0!</v>
      </c>
    </row>
    <row r="61" spans="7:7">
      <c r="G61" s="78">
        <f t="shared" si="3"/>
        <v>0</v>
      </c>
    </row>
    <row r="62" spans="7:7">
      <c r="G62" s="78">
        <f t="shared" si="3"/>
        <v>1</v>
      </c>
    </row>
    <row r="63" spans="7:7">
      <c r="G63" s="78" t="e">
        <f t="shared" si="3"/>
        <v>#DIV/0!</v>
      </c>
    </row>
    <row r="64" spans="7:7">
      <c r="G64" s="78">
        <f t="shared" si="3"/>
        <v>1</v>
      </c>
    </row>
    <row r="65" spans="7:7">
      <c r="G65" s="78" t="e">
        <f t="shared" si="3"/>
        <v>#DIV/0!</v>
      </c>
    </row>
    <row r="66" spans="7:7">
      <c r="G66" s="78" t="e">
        <f t="shared" si="3"/>
        <v>#DIV/0!</v>
      </c>
    </row>
    <row r="67" spans="7:7">
      <c r="G67" s="78" t="e">
        <f t="shared" si="3"/>
        <v>#DIV/0!</v>
      </c>
    </row>
    <row r="68" spans="7:7">
      <c r="G68" s="78" t="e">
        <f t="shared" si="3"/>
        <v>#DIV/0!</v>
      </c>
    </row>
    <row r="69" spans="7:7">
      <c r="G69" s="78" t="e">
        <f t="shared" si="3"/>
        <v>#DIV/0!</v>
      </c>
    </row>
    <row r="70" spans="7:7">
      <c r="G70" s="78" t="e">
        <f t="shared" si="3"/>
        <v>#DIV/0!</v>
      </c>
    </row>
    <row r="71" spans="7:7">
      <c r="G71" s="78" t="e">
        <f t="shared" si="3"/>
        <v>#DIV/0!</v>
      </c>
    </row>
    <row r="72" spans="7:7">
      <c r="G72" s="78" t="e">
        <f t="shared" si="3"/>
        <v>#DIV/0!</v>
      </c>
    </row>
    <row r="73" spans="7:7">
      <c r="G73" s="78" t="e">
        <f t="shared" si="3"/>
        <v>#DIV/0!</v>
      </c>
    </row>
    <row r="74" spans="7:7">
      <c r="G74" s="78"/>
    </row>
  </sheetData>
  <sheetProtection password="EA63" sheet="1" objects="1" scenarios="1" selectLockedCells="1" selectUnlockedCell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F39"/>
  <sheetViews>
    <sheetView workbookViewId="0"/>
  </sheetViews>
  <sheetFormatPr defaultColWidth="11.42578125" defaultRowHeight="15"/>
  <cols>
    <col min="1" max="4" width="11.42578125" style="58"/>
    <col min="5" max="41" width="2.7109375" style="29" customWidth="1"/>
    <col min="42" max="16384" width="11.42578125" style="29"/>
  </cols>
  <sheetData>
    <row r="1" spans="1:58">
      <c r="A1" s="108" t="e">
        <f>BF4</f>
        <v>#DIV/0!</v>
      </c>
    </row>
    <row r="2" spans="1:58">
      <c r="A2" s="108" t="e">
        <f>BF5</f>
        <v>#DIV/0!</v>
      </c>
      <c r="E2" s="60">
        <v>1</v>
      </c>
      <c r="F2" s="60">
        <v>2</v>
      </c>
      <c r="G2" s="60">
        <v>3</v>
      </c>
      <c r="H2" s="60">
        <v>4</v>
      </c>
      <c r="I2" s="60">
        <v>5</v>
      </c>
      <c r="J2" s="60">
        <v>6</v>
      </c>
      <c r="K2" s="60">
        <v>7</v>
      </c>
      <c r="L2" s="60">
        <v>8</v>
      </c>
      <c r="M2" s="60">
        <v>9</v>
      </c>
      <c r="N2" s="60">
        <v>10</v>
      </c>
      <c r="O2" s="60">
        <v>11</v>
      </c>
      <c r="P2" s="60">
        <v>12</v>
      </c>
      <c r="Q2" s="60">
        <v>13</v>
      </c>
      <c r="R2" s="60">
        <v>14</v>
      </c>
      <c r="S2" s="60">
        <v>15</v>
      </c>
      <c r="T2" s="60">
        <v>16</v>
      </c>
      <c r="U2" s="60">
        <v>17</v>
      </c>
      <c r="V2" s="60">
        <v>18</v>
      </c>
      <c r="W2" s="60">
        <v>19</v>
      </c>
      <c r="X2" s="60">
        <v>20</v>
      </c>
      <c r="Y2" s="60">
        <v>21</v>
      </c>
      <c r="Z2" s="60">
        <v>22</v>
      </c>
      <c r="AA2" s="60">
        <v>23</v>
      </c>
      <c r="AB2" s="60">
        <v>24</v>
      </c>
      <c r="AC2" s="60">
        <v>25</v>
      </c>
      <c r="AD2" s="60">
        <v>26</v>
      </c>
      <c r="AE2" s="60">
        <v>27</v>
      </c>
      <c r="AF2" s="60">
        <v>28</v>
      </c>
      <c r="AG2" s="60">
        <v>29</v>
      </c>
      <c r="AH2" s="60">
        <v>30</v>
      </c>
      <c r="AI2" s="60">
        <v>31</v>
      </c>
      <c r="AJ2" s="60">
        <v>32</v>
      </c>
      <c r="AK2" s="60">
        <v>33</v>
      </c>
      <c r="AL2" s="60">
        <v>34</v>
      </c>
      <c r="AM2" s="60">
        <v>35</v>
      </c>
      <c r="AN2" s="60">
        <v>36</v>
      </c>
      <c r="AO2" s="60" t="s">
        <v>18</v>
      </c>
      <c r="AS2" s="60">
        <v>1</v>
      </c>
      <c r="AT2" s="60">
        <v>2</v>
      </c>
      <c r="AU2" s="60">
        <v>3</v>
      </c>
      <c r="AV2" s="60">
        <v>4</v>
      </c>
      <c r="AW2" s="60">
        <v>5</v>
      </c>
      <c r="AX2" s="60">
        <v>6</v>
      </c>
      <c r="AY2" s="60">
        <v>7</v>
      </c>
      <c r="AZ2" s="60">
        <v>8</v>
      </c>
      <c r="BA2" s="60">
        <v>9</v>
      </c>
      <c r="BB2" s="60">
        <v>10</v>
      </c>
      <c r="BC2" s="29" t="s">
        <v>18</v>
      </c>
    </row>
    <row r="3" spans="1:58">
      <c r="B3" s="60"/>
      <c r="C3" s="60"/>
      <c r="D3" s="60"/>
      <c r="E3" s="58" t="e">
        <f>2*(A4-B4)/(C4-B4)-1</f>
        <v>#DIV/0!</v>
      </c>
      <c r="F3" s="58" t="e">
        <f>2*(A5-B5)/(C5-B5)-1</f>
        <v>#DIV/0!</v>
      </c>
      <c r="G3" s="58">
        <f>2*(A6-B6)/(C6-B6)-1</f>
        <v>-1.0760226694547608</v>
      </c>
      <c r="H3" s="58" t="e">
        <f>2*(A7-B7)/(C7-B7)-1</f>
        <v>#DIV/0!</v>
      </c>
      <c r="I3" s="58" t="e">
        <f>2*(A8-B8)/(C8-B8)-1</f>
        <v>#DIV/0!</v>
      </c>
      <c r="J3" s="58" t="e">
        <f>2*(A9-B9)/(C9-B9)-1</f>
        <v>#DIV/0!</v>
      </c>
      <c r="K3" s="58" t="e">
        <f>2*(A10-B10)/(C10-B10)-1</f>
        <v>#DIV/0!</v>
      </c>
      <c r="L3" s="58" t="e">
        <f>2*(A11-B11)/(C11-B11)-1</f>
        <v>#DIV/0!</v>
      </c>
      <c r="M3" s="58">
        <f>2*(A12-B12)/(C12-B12)-1</f>
        <v>-1.0424053195901015</v>
      </c>
      <c r="N3" s="58" t="e">
        <f>2*(A13-B13)/(C13-B13)-1</f>
        <v>#DIV/0!</v>
      </c>
      <c r="O3" s="58" t="e">
        <f>2*(A14-B14)/(C14-B14)-1</f>
        <v>#DIV/0!</v>
      </c>
      <c r="P3" s="58">
        <f>2*(A15-B15)/(C15-B15)-1</f>
        <v>-1.2092466703662625</v>
      </c>
      <c r="Q3" s="58" t="e">
        <f>2*(A16-B16)/(C16-B16)-1</f>
        <v>#DIV/0!</v>
      </c>
      <c r="R3" s="58" t="e">
        <f>2*(A17-B17)/(C17-B17)-1</f>
        <v>#DIV/0!</v>
      </c>
      <c r="S3" s="58" t="e">
        <f>2*(A18-B18)/(C18-B18)-1</f>
        <v>#DIV/0!</v>
      </c>
      <c r="T3" s="58" t="e">
        <f>2*(A19-B19)/(C19-B19)-1</f>
        <v>#DIV/0!</v>
      </c>
      <c r="U3" s="58" t="e">
        <f>2*(A20-B20)/(C20-B20)-1</f>
        <v>#DIV/0!</v>
      </c>
      <c r="V3" s="58">
        <f>2*(A21-B21)/(C21-B21)-1</f>
        <v>-1.0695771794338265</v>
      </c>
      <c r="W3" s="58" t="e">
        <f>2*(A22-B22)/(C22-B22)-1</f>
        <v>#DIV/0!</v>
      </c>
      <c r="X3" s="58" t="e">
        <f>2*(A23-B23)/(C23-B23)-1</f>
        <v>#DIV/0!</v>
      </c>
      <c r="Y3" s="58">
        <f>2*(A24-B24)/(C24-B24)-1</f>
        <v>-1.0339096617704735</v>
      </c>
      <c r="Z3" s="58" t="e">
        <f>2*(A25-B25)/(C25-B25)-1</f>
        <v>#DIV/0!</v>
      </c>
      <c r="AA3" s="58" t="e">
        <f>2*(A26-B26)/(C26-B26)-1</f>
        <v>#DIV/0!</v>
      </c>
      <c r="AB3" s="58">
        <f>2*(A27-B27)/(C27-B27)-1</f>
        <v>-1.0264630192186366</v>
      </c>
      <c r="AC3" s="58">
        <f>2*(A28-B28)/(C28-B28)-1</f>
        <v>-1</v>
      </c>
      <c r="AD3" s="58" t="e">
        <f>2*(A29-B29)/(C29-B29)-1</f>
        <v>#DIV/0!</v>
      </c>
      <c r="AE3" s="58">
        <f>2*(A30-B30)/(C30-B30)-1</f>
        <v>-1</v>
      </c>
      <c r="AF3" s="58" t="e">
        <f>2*(A31-B31)/(C31-B31)-1</f>
        <v>#DIV/0!</v>
      </c>
      <c r="AG3" s="58" t="e">
        <f>2*(A32-B32)/(C32-B32)-1</f>
        <v>#DIV/0!</v>
      </c>
      <c r="AH3" s="58" t="e">
        <f>2*(A33-B33)/(C33-B33)-1</f>
        <v>#DIV/0!</v>
      </c>
      <c r="AI3" s="58" t="e">
        <f>2*(A34-B34)/(C34-B34)-1</f>
        <v>#DIV/0!</v>
      </c>
      <c r="AJ3" s="58" t="e">
        <f>2*(A35-B35)/(C35-B35)-1</f>
        <v>#DIV/0!</v>
      </c>
      <c r="AK3" s="58" t="e">
        <f>2*(A36-B36)/(C36-B36)-1</f>
        <v>#DIV/0!</v>
      </c>
      <c r="AL3" s="58" t="e">
        <f>2*(A37-B37)/(C37-B37)-1</f>
        <v>#DIV/0!</v>
      </c>
      <c r="AM3" s="58" t="e">
        <f>2*(A38-B38)/(C38-B38)-1</f>
        <v>#DIV/0!</v>
      </c>
      <c r="AN3" s="58" t="e">
        <f>2*(A39-B39)/(C39-B39)-1</f>
        <v>#DIV/0!</v>
      </c>
      <c r="AS3" s="29" t="e">
        <f>TANH(AP4)</f>
        <v>#DIV/0!</v>
      </c>
      <c r="AT3" s="29" t="e">
        <f>TANH(AP5)</f>
        <v>#DIV/0!</v>
      </c>
      <c r="AU3" s="29" t="e">
        <f>TANH(AP6)</f>
        <v>#DIV/0!</v>
      </c>
      <c r="AV3" s="29" t="e">
        <f>TANH(AP7)</f>
        <v>#DIV/0!</v>
      </c>
      <c r="AW3" s="29" t="e">
        <f>TANH(AP8)</f>
        <v>#DIV/0!</v>
      </c>
      <c r="AX3" s="29" t="e">
        <f>TANH(AP9)</f>
        <v>#DIV/0!</v>
      </c>
      <c r="AY3" s="29" t="e">
        <f>TANH(AP10)</f>
        <v>#DIV/0!</v>
      </c>
      <c r="AZ3" s="29" t="e">
        <f>TANH(AP11)</f>
        <v>#DIV/0!</v>
      </c>
      <c r="BA3" s="29" t="e">
        <f>TANH(AP12)</f>
        <v>#DIV/0!</v>
      </c>
      <c r="BB3" s="29" t="e">
        <f>TANH(AP13)</f>
        <v>#DIV/0!</v>
      </c>
    </row>
    <row r="4" spans="1:58">
      <c r="A4" s="97" t="e">
        <f>'6'!B2</f>
        <v>#DIV/0!</v>
      </c>
      <c r="B4" s="58">
        <v>0.36136250000000292</v>
      </c>
      <c r="C4" s="58">
        <v>7.6931785714285708</v>
      </c>
      <c r="E4" s="29">
        <v>0.34279999999999999</v>
      </c>
      <c r="F4" s="29">
        <v>0.31690000000000002</v>
      </c>
      <c r="G4" s="29">
        <v>0.33</v>
      </c>
      <c r="H4" s="29">
        <v>0.1681</v>
      </c>
      <c r="I4" s="29">
        <v>9.0999999999999998E-2</v>
      </c>
      <c r="J4" s="29">
        <v>2.0400000000000001E-2</v>
      </c>
      <c r="K4" s="29">
        <v>-0.17549999999999999</v>
      </c>
      <c r="L4" s="29">
        <v>-0.32240000000000002</v>
      </c>
      <c r="M4" s="29">
        <v>0.43919999999999998</v>
      </c>
      <c r="N4" s="29">
        <v>-0.29870000000000002</v>
      </c>
      <c r="O4" s="29">
        <v>0.23849999999999999</v>
      </c>
      <c r="P4" s="29">
        <v>-0.1588</v>
      </c>
      <c r="Q4" s="29">
        <v>0.2505</v>
      </c>
      <c r="R4" s="29">
        <v>-0.3589</v>
      </c>
      <c r="S4" s="29">
        <v>0.1421</v>
      </c>
      <c r="T4" s="29">
        <v>-0.28310000000000002</v>
      </c>
      <c r="U4" s="29">
        <v>8.9499999999999996E-2</v>
      </c>
      <c r="V4" s="29">
        <v>9.7799999999999998E-2</v>
      </c>
      <c r="W4" s="29">
        <v>0.35349999999999998</v>
      </c>
      <c r="X4" s="29">
        <v>-0.32029999999999997</v>
      </c>
      <c r="Y4" s="29">
        <v>0.33239999999999997</v>
      </c>
      <c r="Z4" s="29">
        <v>8.8400000000000006E-2</v>
      </c>
      <c r="AA4" s="29">
        <v>7.0499999999999993E-2</v>
      </c>
      <c r="AB4" s="29">
        <v>-0.2858</v>
      </c>
      <c r="AC4" s="29">
        <v>0.41189999999999999</v>
      </c>
      <c r="AD4" s="29">
        <v>-0.30499999999999999</v>
      </c>
      <c r="AE4" s="29">
        <v>0.61780000000000002</v>
      </c>
      <c r="AF4" s="29">
        <v>-1.5900000000000001E-2</v>
      </c>
      <c r="AG4" s="29">
        <v>0.1895</v>
      </c>
      <c r="AH4" s="29">
        <v>-9.8299999999999998E-2</v>
      </c>
      <c r="AI4" s="29">
        <v>-0.52490000000000003</v>
      </c>
      <c r="AJ4" s="29">
        <v>0.44540000000000002</v>
      </c>
      <c r="AK4" s="29">
        <v>-0.1633</v>
      </c>
      <c r="AL4" s="29">
        <v>-0.3453</v>
      </c>
      <c r="AM4" s="29">
        <v>0.71150000000000002</v>
      </c>
      <c r="AN4" s="29">
        <v>-8.8800000000000004E-2</v>
      </c>
      <c r="AO4" s="29">
        <v>-1.6887000000000001</v>
      </c>
      <c r="AP4" s="29" t="e">
        <f>E4*$E$3+F4*$F$3+G4*$G$3+H4*$H$3+I4*$I$3+J4*$J$3+K4*$K$3+L4*$L$3+M4*$M$3+N4*$N$3+O4*$O$3+P4*$P$3+Q4*$Q$3+R4*$R$3+S4*$S$3+T4*$T$3+U4*$U$3+V4*$V$3+W4*$W$3+X4*$X$3+Y4*$Y$3+Z4*$Z$3+AA4*$AA$3+AB4*$AB$3+AC4*$AC$3+AD4*$AD$3+AE4*$AE$3+AF4*$AF$3+AG4*$AG$3+AH4*$AH$3+AI4*$AI$3+AJ4*$AJ$3+AK4*$AK$3+AL4*$AL$3+AM4*$AM$3+AN4*$AN$3+AO4</f>
        <v>#DIV/0!</v>
      </c>
      <c r="AS4" s="29">
        <v>0.89029999999999998</v>
      </c>
      <c r="AT4" s="29">
        <v>6.9599999999999995E-2</v>
      </c>
      <c r="AU4" s="29">
        <v>1.4864999999999999</v>
      </c>
      <c r="AV4" s="29">
        <v>-0.48170000000000002</v>
      </c>
      <c r="AW4" s="29">
        <v>-0.28899999999999998</v>
      </c>
      <c r="AX4" s="29">
        <v>-1.1794</v>
      </c>
      <c r="AY4" s="29">
        <v>1.2087000000000001</v>
      </c>
      <c r="AZ4" s="29">
        <v>1.21E-2</v>
      </c>
      <c r="BA4" s="29">
        <v>1.458</v>
      </c>
      <c r="BB4" s="29">
        <v>-1.2927</v>
      </c>
      <c r="BC4" s="29">
        <v>0.72330000000000005</v>
      </c>
      <c r="BD4" s="29" t="e">
        <f>AS4*$AS$3+AT4*$AT$3+AU4*$AU$3+AV4*$AV$3+AW4*$AW$3+AX4*$AX$3+AY4*$AY$3+AZ4*$AZ$3+BA4*$BA$3+BB4*$BB$3+BC4</f>
        <v>#DIV/0!</v>
      </c>
      <c r="BE4" s="29" t="e">
        <f>TANH(BD4)</f>
        <v>#DIV/0!</v>
      </c>
      <c r="BF4" s="109" t="e">
        <f>(BE4+1)/2</f>
        <v>#DIV/0!</v>
      </c>
    </row>
    <row r="5" spans="1:58">
      <c r="A5" s="97" t="e">
        <f>'6'!B3</f>
        <v>#DIV/0!</v>
      </c>
      <c r="B5" s="58">
        <v>0.19308766097662128</v>
      </c>
      <c r="C5" s="58">
        <v>4.766922566815488</v>
      </c>
      <c r="E5" s="29">
        <v>0.34100000000000003</v>
      </c>
      <c r="F5" s="29">
        <v>4.2799999999999998E-2</v>
      </c>
      <c r="G5" s="29">
        <v>-0.3165</v>
      </c>
      <c r="H5" s="29">
        <v>-0.34399999999999997</v>
      </c>
      <c r="I5" s="29">
        <v>0.29920000000000002</v>
      </c>
      <c r="J5" s="29">
        <v>0.27650000000000002</v>
      </c>
      <c r="K5" s="29">
        <v>0.33960000000000001</v>
      </c>
      <c r="L5" s="29">
        <v>0.28989999999999999</v>
      </c>
      <c r="M5" s="29">
        <v>-0.30349999999999999</v>
      </c>
      <c r="N5" s="29">
        <v>-0.12039999999999999</v>
      </c>
      <c r="O5" s="29">
        <v>0.38669999999999999</v>
      </c>
      <c r="P5" s="29">
        <v>0.22020000000000001</v>
      </c>
      <c r="Q5" s="29">
        <v>-0.26529999999999998</v>
      </c>
      <c r="R5" s="29">
        <v>-3.04E-2</v>
      </c>
      <c r="S5" s="29">
        <v>0.20250000000000001</v>
      </c>
      <c r="T5" s="29">
        <v>-1.9E-2</v>
      </c>
      <c r="U5" s="29">
        <v>-0.20180000000000001</v>
      </c>
      <c r="V5" s="29">
        <v>0.20380000000000001</v>
      </c>
      <c r="W5" s="29">
        <v>0.21970000000000001</v>
      </c>
      <c r="X5" s="29">
        <v>-2.8400000000000002E-2</v>
      </c>
      <c r="Y5" s="29">
        <v>1.49E-2</v>
      </c>
      <c r="Z5" s="29">
        <v>-0.1148</v>
      </c>
      <c r="AA5" s="29">
        <v>0.4204</v>
      </c>
      <c r="AB5" s="29">
        <v>-0.2571</v>
      </c>
      <c r="AC5" s="29">
        <v>-8.9700000000000002E-2</v>
      </c>
      <c r="AD5" s="29">
        <v>-9.8799999999999999E-2</v>
      </c>
      <c r="AE5" s="29">
        <v>0.46110000000000001</v>
      </c>
      <c r="AF5" s="29">
        <v>-0.37509999999999999</v>
      </c>
      <c r="AG5" s="29">
        <v>4.3799999999999999E-2</v>
      </c>
      <c r="AH5" s="29">
        <v>2.4799999999999999E-2</v>
      </c>
      <c r="AI5" s="29">
        <v>-8.8000000000000005E-3</v>
      </c>
      <c r="AJ5" s="29">
        <v>0.2301</v>
      </c>
      <c r="AK5" s="29">
        <v>0.1769</v>
      </c>
      <c r="AL5" s="29">
        <v>-9.2499999999999999E-2</v>
      </c>
      <c r="AM5" s="29">
        <v>0.3528</v>
      </c>
      <c r="AN5" s="29">
        <v>0.24030000000000001</v>
      </c>
      <c r="AO5" s="29">
        <v>-1.1194</v>
      </c>
      <c r="AP5" s="29" t="e">
        <f t="shared" ref="AP5:AP13" si="0">E5*$E$3+F5*$F$3+G5*$G$3+H5*$H$3+I5*$I$3+J5*$J$3+K5*$K$3+L5*$L$3+M5*$M$3+N5*$N$3+O5*$O$3+P5*$P$3+Q5*$Q$3+R5*$R$3+S5*$S$3+T5*$T$3+U5*$U$3+V5*$V$3+W5*$W$3+X5*$X$3+Y5*$Y$3+Z5*$Z$3+AA5*$AA$3+AB5*$AB$3+AC5*$AC$3+AD5*$AD$3+AE5*$AE$3+AF5*$AF$3+AG5*$AG$3+AH5*$AH$3+AI5*$AI$3+AJ5*$AJ$3+AK5*$AK$3+AL5*$AL$3+AM5*$AM$3+AN5*$AN$3+AO5</f>
        <v>#DIV/0!</v>
      </c>
      <c r="AS5" s="29">
        <v>-1.1214999999999999</v>
      </c>
      <c r="AT5" s="29">
        <v>-2.0899999999999998E-2</v>
      </c>
      <c r="AU5" s="29">
        <v>-1.593</v>
      </c>
      <c r="AV5" s="29">
        <v>0.45419999999999999</v>
      </c>
      <c r="AW5" s="29">
        <v>0.46700000000000003</v>
      </c>
      <c r="AX5" s="29">
        <v>1.0359</v>
      </c>
      <c r="AY5" s="29">
        <v>-1.2907</v>
      </c>
      <c r="AZ5" s="29">
        <v>0.27489999999999998</v>
      </c>
      <c r="BA5" s="29">
        <v>-1.2548999999999999</v>
      </c>
      <c r="BB5" s="29">
        <v>1.3304</v>
      </c>
      <c r="BC5" s="29">
        <v>-0.9466</v>
      </c>
      <c r="BD5" s="29" t="e">
        <f>AS5*$AS$3+AT5*$AT$3+AU5*$AU$3+AV5*$AV$3+AW5*$AW$3+AX5*$AX$3+AY5*$AY$3+AZ5*$AZ$3+BA5*$BA$3+BB5*$BB$3+BC5</f>
        <v>#DIV/0!</v>
      </c>
      <c r="BE5" s="29" t="e">
        <f>TANH(BD5)</f>
        <v>#DIV/0!</v>
      </c>
      <c r="BF5" s="109" t="e">
        <f>(BE5+1)/2</f>
        <v>#DIV/0!</v>
      </c>
    </row>
    <row r="6" spans="1:58">
      <c r="A6" s="97">
        <f>'6'!B4</f>
        <v>0</v>
      </c>
      <c r="B6" s="58">
        <v>0.64622499999998695</v>
      </c>
      <c r="C6" s="58">
        <v>17.647075000000029</v>
      </c>
      <c r="E6" s="29">
        <v>0.40949999999999998</v>
      </c>
      <c r="F6" s="29">
        <v>0.60470000000000002</v>
      </c>
      <c r="G6" s="29">
        <v>0.1236</v>
      </c>
      <c r="H6" s="29">
        <v>1.3599999999999999E-2</v>
      </c>
      <c r="I6" s="29">
        <v>-0.7913</v>
      </c>
      <c r="J6" s="29">
        <v>0.1895</v>
      </c>
      <c r="K6" s="29">
        <v>-0.66220000000000001</v>
      </c>
      <c r="L6" s="29">
        <v>-0.83689999999999998</v>
      </c>
      <c r="M6" s="29">
        <v>-0.75790000000000002</v>
      </c>
      <c r="N6" s="29">
        <v>-0.50290000000000001</v>
      </c>
      <c r="O6" s="29">
        <v>-4.7199999999999999E-2</v>
      </c>
      <c r="P6" s="29">
        <v>-0.22900000000000001</v>
      </c>
      <c r="Q6" s="29">
        <v>0.1988</v>
      </c>
      <c r="R6" s="29">
        <v>-0.27639999999999998</v>
      </c>
      <c r="S6" s="29">
        <v>-0.47899999999999998</v>
      </c>
      <c r="T6" s="29">
        <v>-0.59919999999999995</v>
      </c>
      <c r="U6" s="29">
        <v>0.43469999999999998</v>
      </c>
      <c r="V6" s="29">
        <v>4.7199999999999999E-2</v>
      </c>
      <c r="W6" s="29">
        <v>-0.50149999999999995</v>
      </c>
      <c r="X6" s="29">
        <v>0.5907</v>
      </c>
      <c r="Y6" s="29">
        <v>-0.3705</v>
      </c>
      <c r="Z6" s="29">
        <v>-0.73109999999999997</v>
      </c>
      <c r="AA6" s="29">
        <v>-3.8399999999999997E-2</v>
      </c>
      <c r="AB6" s="29">
        <v>-0.67130000000000001</v>
      </c>
      <c r="AC6" s="29">
        <v>0.48909999999999998</v>
      </c>
      <c r="AD6" s="29">
        <v>-0.1348</v>
      </c>
      <c r="AE6" s="29">
        <v>-8.2199999999999995E-2</v>
      </c>
      <c r="AF6" s="29">
        <v>-0.34179999999999999</v>
      </c>
      <c r="AG6" s="29">
        <v>0.15229999999999999</v>
      </c>
      <c r="AH6" s="29">
        <v>9.2999999999999992E-3</v>
      </c>
      <c r="AI6" s="29">
        <v>-0.1578</v>
      </c>
      <c r="AJ6" s="29">
        <v>0.56320000000000003</v>
      </c>
      <c r="AK6" s="29">
        <v>-0.10879999999999999</v>
      </c>
      <c r="AL6" s="29">
        <v>0.373</v>
      </c>
      <c r="AM6" s="29">
        <v>0.30559999999999998</v>
      </c>
      <c r="AN6" s="29">
        <v>-0.43080000000000002</v>
      </c>
      <c r="AO6" s="29">
        <v>-1.5027999999999999</v>
      </c>
      <c r="AP6" s="29" t="e">
        <f t="shared" si="0"/>
        <v>#DIV/0!</v>
      </c>
    </row>
    <row r="7" spans="1:58">
      <c r="A7" s="97" t="e">
        <f>'6'!B5</f>
        <v>#DIV/0!</v>
      </c>
      <c r="B7" s="58">
        <v>0.66371378375117862</v>
      </c>
      <c r="C7" s="58">
        <v>0.99991549750497233</v>
      </c>
      <c r="E7" s="29">
        <v>-0.27710000000000001</v>
      </c>
      <c r="F7" s="29">
        <v>0.24929999999999999</v>
      </c>
      <c r="G7" s="29">
        <v>-0.29870000000000002</v>
      </c>
      <c r="H7" s="29">
        <v>0.28149999999999997</v>
      </c>
      <c r="I7" s="29">
        <v>-0.21829999999999999</v>
      </c>
      <c r="J7" s="29">
        <v>-0.36230000000000001</v>
      </c>
      <c r="K7" s="29">
        <v>0.57540000000000002</v>
      </c>
      <c r="L7" s="29">
        <v>0.15140000000000001</v>
      </c>
      <c r="M7" s="29">
        <v>0.43930000000000002</v>
      </c>
      <c r="N7" s="29">
        <v>9.8699999999999996E-2</v>
      </c>
      <c r="O7" s="29">
        <v>-0.41510000000000002</v>
      </c>
      <c r="P7" s="29">
        <v>-0.39550000000000002</v>
      </c>
      <c r="Q7" s="29">
        <v>-9.3799999999999994E-2</v>
      </c>
      <c r="R7" s="29">
        <v>-3.5400000000000001E-2</v>
      </c>
      <c r="S7" s="29">
        <v>-0.2165</v>
      </c>
      <c r="T7" s="29">
        <v>0.40629999999999999</v>
      </c>
      <c r="U7" s="29">
        <v>-0.19969999999999999</v>
      </c>
      <c r="V7" s="29">
        <v>0.12959999999999999</v>
      </c>
      <c r="W7" s="29">
        <v>3.8100000000000002E-2</v>
      </c>
      <c r="X7" s="29">
        <v>0.3009</v>
      </c>
      <c r="Y7" s="29">
        <v>0.31069999999999998</v>
      </c>
      <c r="Z7" s="29">
        <v>0.53259999999999996</v>
      </c>
      <c r="AA7" s="29">
        <v>-0.183</v>
      </c>
      <c r="AB7" s="29">
        <v>-0.06</v>
      </c>
      <c r="AC7" s="29">
        <v>-0.1108</v>
      </c>
      <c r="AD7" s="29">
        <v>2.3900000000000001E-2</v>
      </c>
      <c r="AE7" s="29">
        <v>-1.6000000000000001E-3</v>
      </c>
      <c r="AF7" s="29">
        <v>0.17810000000000001</v>
      </c>
      <c r="AG7" s="29">
        <v>-1.3899999999999999E-2</v>
      </c>
      <c r="AH7" s="29">
        <v>-3.4000000000000002E-2</v>
      </c>
      <c r="AI7" s="29">
        <v>-0.2467</v>
      </c>
      <c r="AJ7" s="29">
        <v>0.1037</v>
      </c>
      <c r="AK7" s="29">
        <v>-3.6400000000000002E-2</v>
      </c>
      <c r="AL7" s="29">
        <v>0.18640000000000001</v>
      </c>
      <c r="AM7" s="29">
        <v>-0.4763</v>
      </c>
      <c r="AN7" s="29">
        <v>0.34010000000000001</v>
      </c>
      <c r="AO7" s="29">
        <v>0.51539999999999997</v>
      </c>
      <c r="AP7" s="29" t="e">
        <f t="shared" si="0"/>
        <v>#DIV/0!</v>
      </c>
    </row>
    <row r="8" spans="1:58">
      <c r="A8" s="97" t="e">
        <f>'6'!B6</f>
        <v>#DIV/0!</v>
      </c>
      <c r="B8" s="58">
        <v>0.73983484372151986</v>
      </c>
      <c r="C8" s="58">
        <v>1.0175365591531995</v>
      </c>
      <c r="E8" s="29">
        <v>-0.3639</v>
      </c>
      <c r="F8" s="29">
        <v>0.23100000000000001</v>
      </c>
      <c r="G8" s="29">
        <v>-0.24560000000000001</v>
      </c>
      <c r="H8" s="29">
        <v>6.9199999999999998E-2</v>
      </c>
      <c r="I8" s="29">
        <v>-9.4000000000000004E-3</v>
      </c>
      <c r="J8" s="29">
        <v>0.30719999999999997</v>
      </c>
      <c r="K8" s="29">
        <v>0.47070000000000001</v>
      </c>
      <c r="L8" s="29">
        <v>0.3387</v>
      </c>
      <c r="M8" s="29">
        <v>4.5600000000000002E-2</v>
      </c>
      <c r="N8" s="29">
        <v>0.34329999999999999</v>
      </c>
      <c r="O8" s="29">
        <v>0.19600000000000001</v>
      </c>
      <c r="P8" s="29">
        <v>-0.27039999999999997</v>
      </c>
      <c r="Q8" s="29">
        <v>-9.2200000000000004E-2</v>
      </c>
      <c r="R8" s="29">
        <v>-1.06E-2</v>
      </c>
      <c r="S8" s="29">
        <v>0.1482</v>
      </c>
      <c r="T8" s="29">
        <v>0.16070000000000001</v>
      </c>
      <c r="U8" s="29">
        <v>-6.3500000000000001E-2</v>
      </c>
      <c r="V8" s="29">
        <v>-0.11020000000000001</v>
      </c>
      <c r="W8" s="29">
        <v>0.3695</v>
      </c>
      <c r="X8" s="29">
        <v>0.10199999999999999</v>
      </c>
      <c r="Y8" s="29">
        <v>0.22059999999999999</v>
      </c>
      <c r="Z8" s="29">
        <v>-0.1331</v>
      </c>
      <c r="AA8" s="29">
        <v>-8.2199999999999995E-2</v>
      </c>
      <c r="AB8" s="29">
        <v>0.49299999999999999</v>
      </c>
      <c r="AC8" s="29">
        <v>0.11119999999999999</v>
      </c>
      <c r="AD8" s="29">
        <v>0.4299</v>
      </c>
      <c r="AE8" s="29">
        <v>-7.1800000000000003E-2</v>
      </c>
      <c r="AF8" s="29">
        <v>0.32390000000000002</v>
      </c>
      <c r="AG8" s="29">
        <v>6.9199999999999998E-2</v>
      </c>
      <c r="AH8" s="29">
        <v>-0.30499999999999999</v>
      </c>
      <c r="AI8" s="29">
        <v>-2.7699999999999999E-2</v>
      </c>
      <c r="AJ8" s="29">
        <v>-0.3049</v>
      </c>
      <c r="AK8" s="29">
        <v>-0.34420000000000001</v>
      </c>
      <c r="AL8" s="29">
        <v>-0.25169999999999998</v>
      </c>
      <c r="AM8" s="29">
        <v>-0.20780000000000001</v>
      </c>
      <c r="AN8" s="29">
        <v>-0.21329999999999999</v>
      </c>
      <c r="AO8" s="29">
        <v>0.47</v>
      </c>
      <c r="AP8" s="29" t="e">
        <f>E8*$E$3+F8*$F$3+G8*$G$3+H8*$H$3+I8*$I$3+J8*$J$3+K8*$K$3+L8*$L$3+M8*$M$3+N8*$N$3+O8*$O$3+P8*$P$3+Q8*$Q$3+R8*$R$3+S8*$S$3+T8*$T$3+U8*$U$3+V8*$V$3+W8*$W$3+X8*$X$3+Y8*$Y$3+Z8*$Z$3+AA8*$AA$3+AB8*$AB$3+AC8*$AC$3+AD8*$AD$3+AE8*$AE$3+AF8*$AF$3+AG8*$AG$3+AH8*$AH$3+AI8*$AI$3+AJ8*$AJ$3+AK8*$AK$3+AL8*$AL$3+AM8*$AM$3+AN8*$AN$3+AO8</f>
        <v>#DIV/0!</v>
      </c>
    </row>
    <row r="9" spans="1:58">
      <c r="A9" s="97" t="e">
        <f>'6'!B7</f>
        <v>#DIV/0!</v>
      </c>
      <c r="B9" s="58">
        <v>-5.3016992799026106</v>
      </c>
      <c r="C9" s="58">
        <v>29.00165011471351</v>
      </c>
      <c r="E9" s="29">
        <v>0.37209999999999999</v>
      </c>
      <c r="F9" s="29">
        <v>-1.5900000000000001E-2</v>
      </c>
      <c r="G9" s="29">
        <v>0.219</v>
      </c>
      <c r="H9" s="29">
        <v>0.22070000000000001</v>
      </c>
      <c r="I9" s="29">
        <v>0.39629999999999999</v>
      </c>
      <c r="J9" s="29">
        <v>0.1125</v>
      </c>
      <c r="K9" s="29">
        <v>-0.24809999999999999</v>
      </c>
      <c r="L9" s="29">
        <v>0.2402</v>
      </c>
      <c r="M9" s="29">
        <v>0.53549999999999998</v>
      </c>
      <c r="N9" s="29">
        <v>-5.3600000000000002E-2</v>
      </c>
      <c r="O9" s="29">
        <v>-0.1212</v>
      </c>
      <c r="P9" s="29">
        <v>0.51149999999999995</v>
      </c>
      <c r="Q9" s="29">
        <v>0.29749999999999999</v>
      </c>
      <c r="R9" s="29">
        <v>-0.24579999999999999</v>
      </c>
      <c r="S9" s="29">
        <v>0.30270000000000002</v>
      </c>
      <c r="T9" s="29">
        <v>0.53100000000000003</v>
      </c>
      <c r="U9" s="29">
        <v>-0.26040000000000002</v>
      </c>
      <c r="V9" s="29">
        <v>-0.26840000000000003</v>
      </c>
      <c r="W9" s="29">
        <v>0.1862</v>
      </c>
      <c r="X9" s="29">
        <v>-0.2455</v>
      </c>
      <c r="Y9" s="29">
        <v>-0.18110000000000001</v>
      </c>
      <c r="Z9" s="29">
        <v>3.8199999999999998E-2</v>
      </c>
      <c r="AA9" s="29">
        <v>0.17730000000000001</v>
      </c>
      <c r="AB9" s="29">
        <v>-0.22850000000000001</v>
      </c>
      <c r="AC9" s="29">
        <v>-0.25440000000000002</v>
      </c>
      <c r="AD9" s="29">
        <v>-0.1497</v>
      </c>
      <c r="AE9" s="29">
        <v>-7.1999999999999998E-3</v>
      </c>
      <c r="AF9" s="29">
        <v>0.67220000000000002</v>
      </c>
      <c r="AG9" s="29">
        <v>-8.2400000000000001E-2</v>
      </c>
      <c r="AH9" s="29">
        <v>2.3999999999999998E-3</v>
      </c>
      <c r="AI9" s="29">
        <v>-0.24340000000000001</v>
      </c>
      <c r="AJ9" s="29">
        <v>-0.50470000000000004</v>
      </c>
      <c r="AK9" s="29">
        <v>-0.06</v>
      </c>
      <c r="AL9" s="29">
        <v>0.1132</v>
      </c>
      <c r="AM9" s="29">
        <v>-0.23069999999999999</v>
      </c>
      <c r="AN9" s="29">
        <v>0.47520000000000001</v>
      </c>
      <c r="AO9" s="29">
        <v>0.63939999999999997</v>
      </c>
      <c r="AP9" s="29" t="e">
        <f t="shared" si="0"/>
        <v>#DIV/0!</v>
      </c>
    </row>
    <row r="10" spans="1:58">
      <c r="A10" s="97" t="e">
        <f>'6'!B8</f>
        <v>#DIV/0!</v>
      </c>
      <c r="B10" s="58">
        <v>0.19442848674900048</v>
      </c>
      <c r="C10" s="58">
        <v>8.768550658788115</v>
      </c>
      <c r="E10" s="29">
        <v>-0.40560000000000002</v>
      </c>
      <c r="F10" s="29">
        <v>-0.65310000000000001</v>
      </c>
      <c r="G10" s="29">
        <v>-0.3327</v>
      </c>
      <c r="H10" s="29">
        <v>-0.49980000000000002</v>
      </c>
      <c r="I10" s="29">
        <v>-0.51549999999999996</v>
      </c>
      <c r="J10" s="29">
        <v>-0.40260000000000001</v>
      </c>
      <c r="K10" s="29">
        <v>-0.51690000000000003</v>
      </c>
      <c r="L10" s="29">
        <v>-0.46889999999999998</v>
      </c>
      <c r="M10" s="29">
        <v>-0.1032</v>
      </c>
      <c r="N10" s="29">
        <v>0.52969999999999995</v>
      </c>
      <c r="O10" s="29">
        <v>-0.2389</v>
      </c>
      <c r="P10" s="29">
        <v>6.7699999999999996E-2</v>
      </c>
      <c r="Q10" s="29">
        <v>-8.2199999999999995E-2</v>
      </c>
      <c r="R10" s="29">
        <v>-0.27039999999999997</v>
      </c>
      <c r="S10" s="29">
        <v>-0.31009999999999999</v>
      </c>
      <c r="T10" s="29">
        <v>-0.32319999999999999</v>
      </c>
      <c r="U10" s="29">
        <v>0.13250000000000001</v>
      </c>
      <c r="V10" s="29">
        <v>0.32400000000000001</v>
      </c>
      <c r="W10" s="29">
        <v>-0.43940000000000001</v>
      </c>
      <c r="X10" s="29">
        <v>0.2994</v>
      </c>
      <c r="Y10" s="29">
        <v>-1.9E-2</v>
      </c>
      <c r="Z10" s="29">
        <v>5.8299999999999998E-2</v>
      </c>
      <c r="AA10" s="29">
        <v>-0.56840000000000002</v>
      </c>
      <c r="AB10" s="29">
        <v>-0.48060000000000003</v>
      </c>
      <c r="AC10" s="29">
        <v>-0.57489999999999997</v>
      </c>
      <c r="AD10" s="29">
        <v>-0.29170000000000001</v>
      </c>
      <c r="AE10" s="29">
        <v>-0.69379999999999997</v>
      </c>
      <c r="AF10" s="29">
        <v>-0.32629999999999998</v>
      </c>
      <c r="AG10" s="29">
        <v>0.47820000000000001</v>
      </c>
      <c r="AH10" s="29">
        <v>-0.1832</v>
      </c>
      <c r="AI10" s="29">
        <v>0.24579999999999999</v>
      </c>
      <c r="AJ10" s="29">
        <v>3.1899999999999998E-2</v>
      </c>
      <c r="AK10" s="29">
        <v>0.3851</v>
      </c>
      <c r="AL10" s="29">
        <v>0.69810000000000005</v>
      </c>
      <c r="AM10" s="29">
        <v>0.1091</v>
      </c>
      <c r="AN10" s="29">
        <v>-0.2331</v>
      </c>
      <c r="AO10" s="29">
        <v>-0.77590000000000003</v>
      </c>
      <c r="AP10" s="29" t="e">
        <f t="shared" si="0"/>
        <v>#DIV/0!</v>
      </c>
    </row>
    <row r="11" spans="1:58">
      <c r="A11" s="97" t="e">
        <f>'6'!B9</f>
        <v>#DIV/0!</v>
      </c>
      <c r="B11" s="58">
        <v>0.15073884931767886</v>
      </c>
      <c r="C11" s="58">
        <v>5.9938882585413591</v>
      </c>
      <c r="E11" s="29">
        <v>-0.33450000000000002</v>
      </c>
      <c r="F11" s="29">
        <v>-4.9399999999999999E-2</v>
      </c>
      <c r="G11" s="29">
        <v>-0.17899999999999999</v>
      </c>
      <c r="H11" s="29">
        <v>0.63829999999999998</v>
      </c>
      <c r="I11" s="29">
        <v>0.22040000000000001</v>
      </c>
      <c r="J11" s="29">
        <v>-0.50460000000000005</v>
      </c>
      <c r="K11" s="29">
        <v>-0.3493</v>
      </c>
      <c r="L11" s="29">
        <v>-0.38569999999999999</v>
      </c>
      <c r="M11" s="29">
        <v>0.1507</v>
      </c>
      <c r="N11" s="29">
        <v>0.34749999999999998</v>
      </c>
      <c r="O11" s="29">
        <v>0.3306</v>
      </c>
      <c r="P11" s="29">
        <v>-0.3221</v>
      </c>
      <c r="Q11" s="29">
        <v>-0.16339999999999999</v>
      </c>
      <c r="R11" s="29">
        <v>0.19739999999999999</v>
      </c>
      <c r="S11" s="29">
        <v>3.5900000000000001E-2</v>
      </c>
      <c r="T11" s="29">
        <v>-0.28299999999999997</v>
      </c>
      <c r="U11" s="29">
        <v>-0.31819999999999998</v>
      </c>
      <c r="V11" s="29">
        <v>-0.36680000000000001</v>
      </c>
      <c r="W11" s="29">
        <v>-0.26879999999999998</v>
      </c>
      <c r="X11" s="29">
        <v>-0.29899999999999999</v>
      </c>
      <c r="Y11" s="29">
        <v>-0.2261</v>
      </c>
      <c r="Z11" s="29">
        <v>-4.7899999999999998E-2</v>
      </c>
      <c r="AA11" s="29">
        <v>-5.3400000000000003E-2</v>
      </c>
      <c r="AB11" s="29">
        <v>-1.9400000000000001E-2</v>
      </c>
      <c r="AC11" s="29">
        <v>0.20949999999999999</v>
      </c>
      <c r="AD11" s="29">
        <v>0.22450000000000001</v>
      </c>
      <c r="AE11" s="29">
        <v>-0.35099999999999998</v>
      </c>
      <c r="AF11" s="29">
        <v>0.12939999999999999</v>
      </c>
      <c r="AG11" s="29">
        <v>-0.16969999999999999</v>
      </c>
      <c r="AH11" s="29">
        <v>-0.52569999999999995</v>
      </c>
      <c r="AI11" s="29">
        <v>0.15620000000000001</v>
      </c>
      <c r="AJ11" s="29">
        <v>-0.44879999999999998</v>
      </c>
      <c r="AK11" s="29">
        <v>0.17680000000000001</v>
      </c>
      <c r="AL11" s="29">
        <v>-0.24879999999999999</v>
      </c>
      <c r="AM11" s="29">
        <v>-0.184</v>
      </c>
      <c r="AN11" s="29">
        <v>-0.19059999999999999</v>
      </c>
      <c r="AO11" s="29">
        <v>-0.53139999999999998</v>
      </c>
      <c r="AP11" s="29" t="e">
        <f t="shared" si="0"/>
        <v>#DIV/0!</v>
      </c>
    </row>
    <row r="12" spans="1:58">
      <c r="A12" s="97">
        <f>'6'!B10</f>
        <v>0</v>
      </c>
      <c r="B12" s="58">
        <v>0.38885697349800097</v>
      </c>
      <c r="C12" s="58">
        <v>18.72886606937422</v>
      </c>
      <c r="E12" s="29">
        <v>-0.10829999999999999</v>
      </c>
      <c r="F12" s="29">
        <v>-0.23219999999999999</v>
      </c>
      <c r="G12" s="29">
        <v>0.37340000000000001</v>
      </c>
      <c r="H12" s="29">
        <v>-2.58E-2</v>
      </c>
      <c r="I12" s="29">
        <v>-0.58420000000000005</v>
      </c>
      <c r="J12" s="29">
        <v>-0.1313</v>
      </c>
      <c r="K12" s="29">
        <v>-0.20369999999999999</v>
      </c>
      <c r="L12" s="29">
        <v>-0.95609999999999995</v>
      </c>
      <c r="M12" s="29">
        <v>-8.1799999999999998E-2</v>
      </c>
      <c r="N12" s="29">
        <v>-1.47E-2</v>
      </c>
      <c r="O12" s="29">
        <v>-0.55479999999999996</v>
      </c>
      <c r="P12" s="29">
        <v>-0.2205</v>
      </c>
      <c r="Q12" s="29">
        <v>-8.1699999999999995E-2</v>
      </c>
      <c r="R12" s="29">
        <v>0.12559999999999999</v>
      </c>
      <c r="S12" s="29">
        <v>-0.31950000000000001</v>
      </c>
      <c r="T12" s="29">
        <v>-0.39479999999999998</v>
      </c>
      <c r="U12" s="29">
        <v>0.20930000000000001</v>
      </c>
      <c r="V12" s="29">
        <v>5.3E-3</v>
      </c>
      <c r="W12" s="29">
        <v>7.2900000000000006E-2</v>
      </c>
      <c r="X12" s="29">
        <v>0.1993</v>
      </c>
      <c r="Y12" s="29">
        <v>-0.30470000000000003</v>
      </c>
      <c r="Z12" s="29">
        <v>-0.65110000000000001</v>
      </c>
      <c r="AA12" s="29">
        <v>-0.73529999999999995</v>
      </c>
      <c r="AB12" s="29">
        <v>-0.59450000000000003</v>
      </c>
      <c r="AC12" s="29">
        <v>0.1797</v>
      </c>
      <c r="AD12" s="29">
        <v>-0.53500000000000003</v>
      </c>
      <c r="AE12" s="29">
        <v>-1.7000000000000001E-2</v>
      </c>
      <c r="AF12" s="29">
        <v>-3.1099999999999999E-2</v>
      </c>
      <c r="AG12" s="29">
        <v>0.56499999999999995</v>
      </c>
      <c r="AH12" s="29">
        <v>0.37030000000000002</v>
      </c>
      <c r="AI12" s="29">
        <v>0.1532</v>
      </c>
      <c r="AJ12" s="29">
        <v>0.28810000000000002</v>
      </c>
      <c r="AK12" s="29">
        <v>-0.29380000000000001</v>
      </c>
      <c r="AL12" s="29">
        <v>0.12379999999999999</v>
      </c>
      <c r="AM12" s="29">
        <v>0.2349</v>
      </c>
      <c r="AN12" s="29">
        <v>-8.0500000000000002E-2</v>
      </c>
      <c r="AO12" s="29">
        <v>-1.5916999999999999</v>
      </c>
      <c r="AP12" s="29" t="e">
        <f t="shared" si="0"/>
        <v>#DIV/0!</v>
      </c>
    </row>
    <row r="13" spans="1:58">
      <c r="A13" s="97" t="e">
        <f>'6'!B11</f>
        <v>#DIV/0!</v>
      </c>
      <c r="B13" s="58">
        <v>5.1990277777777316E-2</v>
      </c>
      <c r="C13" s="58">
        <v>0.40780999999999767</v>
      </c>
      <c r="E13" s="29">
        <v>-0.1052</v>
      </c>
      <c r="F13" s="29">
        <v>0.35449999999999998</v>
      </c>
      <c r="G13" s="29">
        <v>0.54590000000000005</v>
      </c>
      <c r="H13" s="29">
        <v>-3.8199999999999998E-2</v>
      </c>
      <c r="I13" s="29">
        <v>-0.45229999999999998</v>
      </c>
      <c r="J13" s="29">
        <v>-4.0399999999999998E-2</v>
      </c>
      <c r="K13" s="29">
        <v>0.61599999999999999</v>
      </c>
      <c r="L13" s="29">
        <v>0.10730000000000001</v>
      </c>
      <c r="M13" s="29">
        <v>0.1452</v>
      </c>
      <c r="N13" s="29">
        <v>0.31409999999999999</v>
      </c>
      <c r="O13" s="29">
        <v>0.47860000000000003</v>
      </c>
      <c r="P13" s="29">
        <v>0.37819999999999998</v>
      </c>
      <c r="Q13" s="29">
        <v>-0.26669999999999999</v>
      </c>
      <c r="R13" s="29">
        <v>0.34760000000000002</v>
      </c>
      <c r="S13" s="29">
        <v>0.13469999999999999</v>
      </c>
      <c r="T13" s="29">
        <v>0.45829999999999999</v>
      </c>
      <c r="U13" s="29">
        <v>0.47299999999999998</v>
      </c>
      <c r="V13" s="29">
        <v>0.3221</v>
      </c>
      <c r="W13" s="29">
        <v>0.20380000000000001</v>
      </c>
      <c r="X13" s="29">
        <v>-0.2293</v>
      </c>
      <c r="Y13" s="29">
        <v>0.6472</v>
      </c>
      <c r="Z13" s="29">
        <v>0.4642</v>
      </c>
      <c r="AA13" s="29">
        <v>0.39829999999999999</v>
      </c>
      <c r="AB13" s="29">
        <v>0.20630000000000001</v>
      </c>
      <c r="AC13" s="29">
        <v>0.16020000000000001</v>
      </c>
      <c r="AD13" s="29">
        <v>-0.51549999999999996</v>
      </c>
      <c r="AE13" s="29">
        <v>-0.83450000000000002</v>
      </c>
      <c r="AF13" s="29">
        <v>0.46129999999999999</v>
      </c>
      <c r="AG13" s="29">
        <v>-0.27800000000000002</v>
      </c>
      <c r="AH13" s="29">
        <v>-0.69159999999999999</v>
      </c>
      <c r="AI13" s="29">
        <v>0.32429999999999998</v>
      </c>
      <c r="AJ13" s="29">
        <v>-0.42830000000000001</v>
      </c>
      <c r="AK13" s="29">
        <v>9.1000000000000004E-3</v>
      </c>
      <c r="AL13" s="29">
        <v>-0.54010000000000002</v>
      </c>
      <c r="AM13" s="29">
        <v>-9.5000000000000001E-2</v>
      </c>
      <c r="AN13" s="29">
        <v>0.79249999999999998</v>
      </c>
      <c r="AO13" s="29">
        <v>1.6889000000000001</v>
      </c>
      <c r="AP13" s="29" t="e">
        <f t="shared" si="0"/>
        <v>#DIV/0!</v>
      </c>
    </row>
    <row r="14" spans="1:58">
      <c r="A14" s="97" t="e">
        <f>'6'!B12</f>
        <v>#DIV/0!</v>
      </c>
      <c r="B14" s="58">
        <v>4.4172132635717717E-2</v>
      </c>
      <c r="C14" s="58">
        <v>0.37735636191226413</v>
      </c>
    </row>
    <row r="15" spans="1:58">
      <c r="A15" s="97">
        <f>'6'!B13</f>
        <v>0</v>
      </c>
      <c r="B15" s="58">
        <v>0.15082500000000199</v>
      </c>
      <c r="C15" s="58">
        <v>1.5924250000000013</v>
      </c>
    </row>
    <row r="16" spans="1:58">
      <c r="A16" s="97" t="e">
        <f>'6'!B14</f>
        <v>#DIV/0!</v>
      </c>
      <c r="B16" s="58">
        <v>0.68464115060254516</v>
      </c>
      <c r="C16" s="58">
        <v>0.99966312466168894</v>
      </c>
    </row>
    <row r="17" spans="1:3">
      <c r="A17" s="97" t="e">
        <f>'6'!B15</f>
        <v>#DIV/0!</v>
      </c>
      <c r="B17" s="58">
        <v>0.7446199985956703</v>
      </c>
      <c r="C17" s="58">
        <v>1.776058872322485</v>
      </c>
    </row>
    <row r="18" spans="1:3">
      <c r="A18" s="97" t="e">
        <f>'6'!B16</f>
        <v>#DIV/0!</v>
      </c>
      <c r="B18" s="58">
        <v>-5.894196736816415</v>
      </c>
      <c r="C18" s="58">
        <v>0.53477884415095644</v>
      </c>
    </row>
    <row r="19" spans="1:3">
      <c r="A19" s="97" t="e">
        <f>'6'!B17</f>
        <v>#DIV/0!</v>
      </c>
      <c r="B19" s="58">
        <v>2.9720804698070653E-2</v>
      </c>
      <c r="C19" s="58">
        <v>0.34648755322224511</v>
      </c>
    </row>
    <row r="20" spans="1:3">
      <c r="A20" s="97" t="e">
        <f>'6'!B18</f>
        <v>#DIV/0!</v>
      </c>
      <c r="B20" s="58">
        <v>1.9634173954842009E-2</v>
      </c>
      <c r="C20" s="58">
        <v>0.35034493712250947</v>
      </c>
    </row>
    <row r="21" spans="1:3">
      <c r="A21" s="97">
        <f>'6'!B19</f>
        <v>0</v>
      </c>
      <c r="B21" s="58">
        <v>5.1963856455004231E-2</v>
      </c>
      <c r="C21" s="58">
        <v>1.5456678806149959</v>
      </c>
    </row>
    <row r="22" spans="1:3">
      <c r="A22" s="97" t="e">
        <f>'6'!B20</f>
        <v>#DIV/0!</v>
      </c>
      <c r="B22" s="58">
        <v>0.41528071135973343</v>
      </c>
      <c r="C22" s="58">
        <v>9.6308153268741172</v>
      </c>
    </row>
    <row r="23" spans="1:3">
      <c r="A23" s="97" t="e">
        <f>'6'!B21</f>
        <v>#DIV/0!</v>
      </c>
      <c r="B23" s="58">
        <v>0.12521992081957711</v>
      </c>
      <c r="C23" s="58">
        <v>13.400393589276268</v>
      </c>
    </row>
    <row r="24" spans="1:3">
      <c r="A24" s="97">
        <f>'6'!B22</f>
        <v>0</v>
      </c>
      <c r="B24" s="58">
        <v>0.64923311009989582</v>
      </c>
      <c r="C24" s="58">
        <v>38.941157959978931</v>
      </c>
    </row>
    <row r="25" spans="1:3">
      <c r="A25" s="97" t="e">
        <f>'6'!B23</f>
        <v>#DIV/0!</v>
      </c>
      <c r="B25" s="58">
        <v>0.25695916956797354</v>
      </c>
      <c r="C25" s="58">
        <v>11.254092025620213</v>
      </c>
    </row>
    <row r="26" spans="1:3">
      <c r="A26" s="97" t="e">
        <f>'6'!B24</f>
        <v>#DIV/0!</v>
      </c>
      <c r="B26" s="58">
        <v>0.15875915527613643</v>
      </c>
      <c r="C26" s="58">
        <v>14.263171078963079</v>
      </c>
    </row>
    <row r="27" spans="1:3">
      <c r="A27" s="97">
        <f>'6'!B25</f>
        <v>0</v>
      </c>
      <c r="B27" s="58">
        <v>0.51217038616742794</v>
      </c>
      <c r="C27" s="58">
        <v>39.22055675250715</v>
      </c>
    </row>
    <row r="28" spans="1:3">
      <c r="A28" s="97">
        <f>'6'!B26</f>
        <v>1</v>
      </c>
      <c r="B28" s="58">
        <v>1</v>
      </c>
      <c r="C28" s="58">
        <v>4</v>
      </c>
    </row>
    <row r="29" spans="1:3">
      <c r="A29" s="97" t="e">
        <f>'6'!B27</f>
        <v>#DIV/0!</v>
      </c>
      <c r="B29" s="58">
        <v>0.87924814484934699</v>
      </c>
      <c r="C29" s="58">
        <v>1.5387769951967811</v>
      </c>
    </row>
    <row r="30" spans="1:3">
      <c r="A30" s="97">
        <f>'6'!B28</f>
        <v>1</v>
      </c>
      <c r="B30" s="58">
        <v>1</v>
      </c>
      <c r="C30" s="58">
        <v>4</v>
      </c>
    </row>
    <row r="31" spans="1:3">
      <c r="A31" s="97" t="e">
        <f>'6'!B29</f>
        <v>#DIV/0!</v>
      </c>
      <c r="B31" s="58">
        <v>0.60404566495248024</v>
      </c>
      <c r="C31" s="58">
        <v>1.5303361189034319</v>
      </c>
    </row>
    <row r="32" spans="1:3">
      <c r="A32" s="97" t="e">
        <f>'6'!B30</f>
        <v>#DIV/0!</v>
      </c>
      <c r="B32" s="58">
        <v>0</v>
      </c>
      <c r="C32" s="58">
        <v>1</v>
      </c>
    </row>
    <row r="33" spans="1:3">
      <c r="A33" s="97" t="e">
        <f>'6'!B31</f>
        <v>#DIV/0!</v>
      </c>
      <c r="B33" s="58">
        <v>0</v>
      </c>
      <c r="C33" s="58">
        <v>0.72727272727272729</v>
      </c>
    </row>
    <row r="34" spans="1:3">
      <c r="A34" s="97" t="e">
        <f>'6'!B32</f>
        <v>#DIV/0!</v>
      </c>
      <c r="B34" s="58">
        <v>0</v>
      </c>
      <c r="C34" s="58">
        <v>0.6470588235294118</v>
      </c>
    </row>
    <row r="35" spans="1:3">
      <c r="A35" s="97" t="e">
        <f>'6'!B33</f>
        <v>#DIV/0!</v>
      </c>
      <c r="B35" s="58">
        <v>0</v>
      </c>
      <c r="C35" s="58">
        <v>0.8571428571428571</v>
      </c>
    </row>
    <row r="36" spans="1:3">
      <c r="A36" s="97" t="e">
        <f>'6'!B34</f>
        <v>#DIV/0!</v>
      </c>
      <c r="B36" s="58">
        <v>0</v>
      </c>
      <c r="C36" s="58">
        <v>0.55555555555555558</v>
      </c>
    </row>
    <row r="37" spans="1:3">
      <c r="A37" s="97" t="e">
        <f>'6'!B35</f>
        <v>#DIV/0!</v>
      </c>
      <c r="B37" s="58">
        <v>0</v>
      </c>
      <c r="C37" s="58">
        <v>0.66666666666666663</v>
      </c>
    </row>
    <row r="38" spans="1:3">
      <c r="A38" s="97" t="e">
        <f>'6'!B36</f>
        <v>#DIV/0!</v>
      </c>
      <c r="B38" s="58">
        <v>0</v>
      </c>
      <c r="C38" s="58">
        <v>0.6</v>
      </c>
    </row>
    <row r="39" spans="1:3">
      <c r="A39" s="97" t="e">
        <f>'6'!B37</f>
        <v>#DIV/0!</v>
      </c>
      <c r="B39" s="58">
        <v>0</v>
      </c>
      <c r="C39" s="58">
        <v>0.55555555555555558</v>
      </c>
    </row>
  </sheetData>
  <sheetProtection password="EA63" sheet="1" objects="1" scenarios="1" selectLockedCells="1" selectUnlockedCells="1"/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BP39"/>
  <sheetViews>
    <sheetView workbookViewId="0"/>
  </sheetViews>
  <sheetFormatPr defaultColWidth="11.42578125" defaultRowHeight="15"/>
  <cols>
    <col min="1" max="4" width="11.42578125" style="58"/>
    <col min="5" max="41" width="2.7109375" style="29" customWidth="1"/>
    <col min="42" max="16384" width="11.42578125" style="29"/>
  </cols>
  <sheetData>
    <row r="1" spans="1:68">
      <c r="A1" s="108" t="e">
        <f>BP4</f>
        <v>#DIV/0!</v>
      </c>
    </row>
    <row r="2" spans="1:68">
      <c r="A2" s="108" t="e">
        <f>BP5</f>
        <v>#DIV/0!</v>
      </c>
      <c r="E2" s="60">
        <v>1</v>
      </c>
      <c r="F2" s="60">
        <v>2</v>
      </c>
      <c r="G2" s="60">
        <v>3</v>
      </c>
      <c r="H2" s="60">
        <v>4</v>
      </c>
      <c r="I2" s="60">
        <v>5</v>
      </c>
      <c r="J2" s="60">
        <v>6</v>
      </c>
      <c r="K2" s="60">
        <v>7</v>
      </c>
      <c r="L2" s="60">
        <v>8</v>
      </c>
      <c r="M2" s="60">
        <v>9</v>
      </c>
      <c r="N2" s="60">
        <v>10</v>
      </c>
      <c r="O2" s="60">
        <v>11</v>
      </c>
      <c r="P2" s="60">
        <v>12</v>
      </c>
      <c r="Q2" s="60">
        <v>13</v>
      </c>
      <c r="R2" s="60">
        <v>14</v>
      </c>
      <c r="S2" s="60">
        <v>15</v>
      </c>
      <c r="T2" s="60">
        <v>16</v>
      </c>
      <c r="U2" s="60">
        <v>17</v>
      </c>
      <c r="V2" s="60">
        <v>18</v>
      </c>
      <c r="W2" s="60">
        <v>19</v>
      </c>
      <c r="X2" s="60">
        <v>20</v>
      </c>
      <c r="Y2" s="60">
        <v>21</v>
      </c>
      <c r="Z2" s="60">
        <v>22</v>
      </c>
      <c r="AA2" s="60">
        <v>23</v>
      </c>
      <c r="AB2" s="60">
        <v>24</v>
      </c>
      <c r="AC2" s="60">
        <v>25</v>
      </c>
      <c r="AD2" s="60">
        <v>26</v>
      </c>
      <c r="AE2" s="60">
        <v>27</v>
      </c>
      <c r="AF2" s="60">
        <v>28</v>
      </c>
      <c r="AG2" s="60">
        <v>29</v>
      </c>
      <c r="AH2" s="60">
        <v>30</v>
      </c>
      <c r="AI2" s="60">
        <v>31</v>
      </c>
      <c r="AJ2" s="60">
        <v>32</v>
      </c>
      <c r="AK2" s="60">
        <v>33</v>
      </c>
      <c r="AL2" s="60">
        <v>34</v>
      </c>
      <c r="AM2" s="60">
        <v>35</v>
      </c>
      <c r="AN2" s="60">
        <v>36</v>
      </c>
      <c r="AO2" s="60" t="s">
        <v>18</v>
      </c>
      <c r="AS2" s="60">
        <v>1</v>
      </c>
      <c r="AT2" s="60">
        <v>2</v>
      </c>
      <c r="AU2" s="60">
        <v>3</v>
      </c>
      <c r="AV2" s="60">
        <v>4</v>
      </c>
      <c r="AW2" s="60">
        <v>5</v>
      </c>
      <c r="AX2" s="60">
        <v>6</v>
      </c>
      <c r="AY2" s="60">
        <v>7</v>
      </c>
      <c r="AZ2" s="60">
        <v>8</v>
      </c>
      <c r="BA2" s="60">
        <v>9</v>
      </c>
      <c r="BB2" s="60">
        <v>10</v>
      </c>
      <c r="BC2" s="60">
        <v>11</v>
      </c>
      <c r="BD2" s="60">
        <v>12</v>
      </c>
      <c r="BE2" s="60">
        <v>13</v>
      </c>
      <c r="BF2" s="60">
        <v>14</v>
      </c>
      <c r="BG2" s="60">
        <v>15</v>
      </c>
      <c r="BH2" s="60">
        <v>16</v>
      </c>
      <c r="BI2" s="60">
        <v>17</v>
      </c>
      <c r="BJ2" s="60">
        <v>18</v>
      </c>
      <c r="BK2" s="60">
        <v>19</v>
      </c>
      <c r="BL2" s="60">
        <v>20</v>
      </c>
      <c r="BM2" s="60" t="s">
        <v>18</v>
      </c>
    </row>
    <row r="3" spans="1:68">
      <c r="B3" s="60"/>
      <c r="C3" s="60"/>
      <c r="D3" s="60" t="s">
        <v>8</v>
      </c>
      <c r="E3" s="58" t="e">
        <f>2*(A4-B4)/(C4-B4)-1</f>
        <v>#DIV/0!</v>
      </c>
      <c r="F3" s="58" t="e">
        <f>2*(A5-B5)/(C5-B5)-1</f>
        <v>#DIV/0!</v>
      </c>
      <c r="G3" s="58">
        <f>2*(A6-B6)/(C6-B6)-1</f>
        <v>-1.0574004100254524</v>
      </c>
      <c r="H3" s="58" t="e">
        <f>2*(A7-B7)/(C7-B7)-1</f>
        <v>#DIV/0!</v>
      </c>
      <c r="I3" s="58" t="e">
        <f>2*(A8-B8)/(C8-B8)-1</f>
        <v>#DIV/0!</v>
      </c>
      <c r="J3" s="58" t="e">
        <f>2*(A9-B9)/(C9-B9)-1</f>
        <v>#DIV/0!</v>
      </c>
      <c r="K3" s="58" t="e">
        <f>2*(A10-B10)/(C10-B10)-1</f>
        <v>#DIV/0!</v>
      </c>
      <c r="L3" s="58" t="e">
        <f>2*(A11-B11)/(C11-B11)-1</f>
        <v>#DIV/0!</v>
      </c>
      <c r="M3" s="58">
        <f>2*(A12-B12)/(C12-B12)-1</f>
        <v>-1.0468638784954638</v>
      </c>
      <c r="N3" s="58" t="e">
        <f>2*(A13-B13)/(C13-B13)-1</f>
        <v>#DIV/0!</v>
      </c>
      <c r="O3" s="58" t="e">
        <f>2*(A14-B14)/(C14-B14)-1</f>
        <v>#DIV/0!</v>
      </c>
      <c r="P3" s="58">
        <f>2*(A15-B15)/(C15-B15)-1</f>
        <v>-1.1516415082104288</v>
      </c>
      <c r="Q3" s="58" t="e">
        <f>2*(A16-B16)/(C16-B16)-1</f>
        <v>#DIV/0!</v>
      </c>
      <c r="R3" s="58" t="e">
        <f>2*(A17-B17)/(C17-B17)-1</f>
        <v>#DIV/0!</v>
      </c>
      <c r="S3" s="58" t="e">
        <f>2*(A18-B18)/(C18-B18)-1</f>
        <v>#DIV/0!</v>
      </c>
      <c r="T3" s="58" t="e">
        <f>2*(A19-B19)/(C19-B19)-1</f>
        <v>#DIV/0!</v>
      </c>
      <c r="U3" s="58" t="e">
        <f>2*(A20-B20)/(C20-B20)-1</f>
        <v>#DIV/0!</v>
      </c>
      <c r="V3" s="58">
        <f>2*(A21-B21)/(C21-B21)-1</f>
        <v>-1.1131243554311647</v>
      </c>
      <c r="W3" s="58" t="e">
        <f>2*(A22-B22)/(C22-B22)-1</f>
        <v>#DIV/0!</v>
      </c>
      <c r="X3" s="58" t="e">
        <f>2*(A23-B23)/(C23-B23)-1</f>
        <v>#DIV/0!</v>
      </c>
      <c r="Y3" s="58">
        <f>2*(A24-B24)/(C24-B24)-1</f>
        <v>-1.0335651067244673</v>
      </c>
      <c r="Z3" s="58" t="e">
        <f>2*(A25-B25)/(C25-B25)-1</f>
        <v>#DIV/0!</v>
      </c>
      <c r="AA3" s="58" t="e">
        <f>2*(A26-B26)/(C26-B26)-1</f>
        <v>#DIV/0!</v>
      </c>
      <c r="AB3" s="58">
        <f>2*(A27-B27)/(C27-B27)-1</f>
        <v>-1.020252149791578</v>
      </c>
      <c r="AC3" s="58">
        <f>2*(A28-B28)/(C28-B28)-1</f>
        <v>-1</v>
      </c>
      <c r="AD3" s="58" t="e">
        <f>2*(A29-B29)/(C29-B29)-1</f>
        <v>#DIV/0!</v>
      </c>
      <c r="AE3" s="58">
        <f>2*(A30-B30)/(C30-B30)-1</f>
        <v>-1</v>
      </c>
      <c r="AF3" s="58" t="e">
        <f>2*(A31-B31)/(C31-B31)-1</f>
        <v>#DIV/0!</v>
      </c>
      <c r="AG3" s="58" t="e">
        <f>2*(A32-B32)/(C32-B32)-1</f>
        <v>#DIV/0!</v>
      </c>
      <c r="AH3" s="58" t="e">
        <f>2*(A33-B33)/(C33-B33)-1</f>
        <v>#DIV/0!</v>
      </c>
      <c r="AI3" s="58" t="e">
        <f>2*(A34-B34)/(C34-B34)-1</f>
        <v>#DIV/0!</v>
      </c>
      <c r="AJ3" s="58" t="e">
        <f>2*(A35-B35)/(C35-B35)-1</f>
        <v>#DIV/0!</v>
      </c>
      <c r="AK3" s="58" t="e">
        <f>2*(A36-B36)/(C36-B36)-1</f>
        <v>#DIV/0!</v>
      </c>
      <c r="AL3" s="58" t="e">
        <f>2*(A37-B37)/(C37-B37)-1</f>
        <v>#DIV/0!</v>
      </c>
      <c r="AM3" s="58" t="e">
        <f>2*(A38-B38)/(C38-B38)-1</f>
        <v>#DIV/0!</v>
      </c>
      <c r="AN3" s="58" t="e">
        <f>2*(A39-B39)/(C39-B39)-1</f>
        <v>#DIV/0!</v>
      </c>
      <c r="AS3" s="29" t="e">
        <f>TANH(AP4)</f>
        <v>#DIV/0!</v>
      </c>
      <c r="AT3" s="29" t="e">
        <f>TANH(AP5)</f>
        <v>#DIV/0!</v>
      </c>
      <c r="AU3" s="29" t="e">
        <f>TANH(AP6)</f>
        <v>#DIV/0!</v>
      </c>
      <c r="AV3" s="29" t="e">
        <f>TANH(AP7)</f>
        <v>#DIV/0!</v>
      </c>
      <c r="AW3" s="29" t="e">
        <f>TANH(AP8)</f>
        <v>#DIV/0!</v>
      </c>
      <c r="AX3" s="29" t="e">
        <f>TANH(AP9)</f>
        <v>#DIV/0!</v>
      </c>
      <c r="AY3" s="29" t="e">
        <f>TANH(AP10)</f>
        <v>#DIV/0!</v>
      </c>
      <c r="AZ3" s="29" t="e">
        <f>TANH(AP11)</f>
        <v>#DIV/0!</v>
      </c>
      <c r="BA3" s="29" t="e">
        <f>TANH(AP12)</f>
        <v>#DIV/0!</v>
      </c>
      <c r="BB3" s="29" t="e">
        <f>TANH(AP13)</f>
        <v>#DIV/0!</v>
      </c>
      <c r="BC3" s="29" t="e">
        <f>TANH(AP14)</f>
        <v>#DIV/0!</v>
      </c>
      <c r="BD3" s="29" t="e">
        <f>TANH(AP15)</f>
        <v>#DIV/0!</v>
      </c>
      <c r="BE3" s="29" t="e">
        <f>TANH(AP16)</f>
        <v>#DIV/0!</v>
      </c>
      <c r="BF3" s="29" t="e">
        <f>TANH(AP17)</f>
        <v>#DIV/0!</v>
      </c>
      <c r="BG3" s="29" t="e">
        <f>TANH(AP18)</f>
        <v>#DIV/0!</v>
      </c>
      <c r="BH3" s="29" t="e">
        <f>TANH(AP19)</f>
        <v>#DIV/0!</v>
      </c>
      <c r="BI3" s="29" t="e">
        <f>TANH(AP20)</f>
        <v>#DIV/0!</v>
      </c>
      <c r="BJ3" s="29" t="e">
        <f>TANH(AP21)</f>
        <v>#DIV/0!</v>
      </c>
      <c r="BK3" s="29" t="e">
        <f>TANH(AP22)</f>
        <v>#DIV/0!</v>
      </c>
      <c r="BL3" s="29" t="e">
        <f>TANH(AP23)</f>
        <v>#DIV/0!</v>
      </c>
    </row>
    <row r="4" spans="1:68">
      <c r="A4" s="97" t="e">
        <f>'6'!E2</f>
        <v>#DIV/0!</v>
      </c>
      <c r="B4" s="58">
        <v>0.34617499999999435</v>
      </c>
      <c r="C4" s="58">
        <v>5.5179721386939544</v>
      </c>
      <c r="E4" s="29">
        <v>4.0800000000000003E-2</v>
      </c>
      <c r="F4" s="29">
        <v>0.33279999999999998</v>
      </c>
      <c r="G4" s="29">
        <v>0.38479999999999998</v>
      </c>
      <c r="H4" s="29">
        <v>0.1227</v>
      </c>
      <c r="I4" s="29">
        <v>0.43609999999999999</v>
      </c>
      <c r="J4" s="29">
        <v>-0.19739999999999999</v>
      </c>
      <c r="K4" s="29">
        <v>-0.34849999999999998</v>
      </c>
      <c r="L4" s="29">
        <v>-0.49099999999999999</v>
      </c>
      <c r="M4" s="29">
        <v>3.2599999999999997E-2</v>
      </c>
      <c r="N4" s="29">
        <v>-0.31380000000000002</v>
      </c>
      <c r="O4" s="29">
        <v>0.16969999999999999</v>
      </c>
      <c r="P4" s="29">
        <v>0.1159</v>
      </c>
      <c r="Q4" s="29">
        <v>-6.7799999999999999E-2</v>
      </c>
      <c r="R4" s="29">
        <v>-0.52839999999999998</v>
      </c>
      <c r="S4" s="29">
        <v>0.17349999999999999</v>
      </c>
      <c r="T4" s="29">
        <v>-4.6899999999999997E-2</v>
      </c>
      <c r="U4" s="29">
        <v>-0.25979999999999998</v>
      </c>
      <c r="V4" s="29">
        <v>-0.26929999999999998</v>
      </c>
      <c r="W4" s="29">
        <v>-0.4118</v>
      </c>
      <c r="X4" s="29">
        <v>0.20319999999999999</v>
      </c>
      <c r="Y4" s="29">
        <v>1.6899999999999998E-2</v>
      </c>
      <c r="Z4" s="29">
        <v>-0.1676</v>
      </c>
      <c r="AA4" s="29">
        <v>-0.44419999999999998</v>
      </c>
      <c r="AB4" s="29">
        <v>-0.44030000000000002</v>
      </c>
      <c r="AC4" s="29">
        <v>8.7900000000000006E-2</v>
      </c>
      <c r="AD4" s="29">
        <v>-0.1651</v>
      </c>
      <c r="AE4" s="29">
        <v>-0.1628</v>
      </c>
      <c r="AF4" s="29">
        <v>0.19520000000000001</v>
      </c>
      <c r="AG4" s="29">
        <v>0</v>
      </c>
      <c r="AH4" s="29">
        <v>0.2281</v>
      </c>
      <c r="AI4" s="29">
        <v>4.7899999999999998E-2</v>
      </c>
      <c r="AJ4" s="29">
        <v>0.13900000000000001</v>
      </c>
      <c r="AK4" s="29">
        <v>-0.22950000000000001</v>
      </c>
      <c r="AL4" s="29">
        <v>0.50429999999999997</v>
      </c>
      <c r="AM4" s="29">
        <v>7.4099999999999999E-2</v>
      </c>
      <c r="AN4" s="29">
        <v>0.1986</v>
      </c>
      <c r="AO4" s="29">
        <v>-1.6114999999999999</v>
      </c>
      <c r="AP4" s="29" t="e">
        <f>E4*$E$3+F4*$F$3+G4*$G$3+H4*$H$3+I4*$I$3+J4*$J$3+K4*$K$3+L4*$L$3+M4*$M$3+N4*$N$3+O4*$O$3+P4*$P$3+Q4*$Q$3+R4*$R$3+S4*$S$3+T4*$T$3+U4*$U$3+V4*$V$3+W4*$W$3+X4*$X$3+Y4*$Y$3+Z4*$Z$3+AA4*$AA$3+AB4*$AB$3+AC4*$AC$3+AD4*$AD$3+AE4*$AE$3+AF4*$AF$3+AG4*$AG$3+AH4*$AH$3+AI4*$AI$3+AJ4*$AJ$3+AK4*$AK$3+AL4*$AL$3+AM4*$AM$3+AN4*$AN$3+AO4</f>
        <v>#DIV/0!</v>
      </c>
      <c r="AS4" s="29">
        <v>0.70920000000000005</v>
      </c>
      <c r="AT4" s="29">
        <v>-0.3322</v>
      </c>
      <c r="AU4" s="29">
        <v>0.31209999999999999</v>
      </c>
      <c r="AV4" s="29">
        <v>0.34589999999999999</v>
      </c>
      <c r="AW4" s="29">
        <v>-0.32500000000000001</v>
      </c>
      <c r="AX4" s="29">
        <v>-0.1855</v>
      </c>
      <c r="AY4" s="29">
        <v>0.49270000000000003</v>
      </c>
      <c r="AZ4" s="29">
        <v>-9.0999999999999998E-2</v>
      </c>
      <c r="BA4" s="29">
        <v>-0.2177</v>
      </c>
      <c r="BB4" s="29">
        <v>0.32600000000000001</v>
      </c>
      <c r="BC4" s="29">
        <v>0.2994</v>
      </c>
      <c r="BD4" s="29">
        <v>0.76500000000000001</v>
      </c>
      <c r="BE4" s="29">
        <v>-0.30099999999999999</v>
      </c>
      <c r="BF4" s="29">
        <v>7.9799999999999996E-2</v>
      </c>
      <c r="BG4" s="29">
        <v>-1.1809000000000001</v>
      </c>
      <c r="BH4" s="29">
        <v>-0.77170000000000005</v>
      </c>
      <c r="BI4" s="29">
        <v>6.6699999999999995E-2</v>
      </c>
      <c r="BJ4" s="29">
        <v>0.9073</v>
      </c>
      <c r="BK4" s="29">
        <v>0.31340000000000001</v>
      </c>
      <c r="BL4" s="29">
        <v>-0.76019999999999999</v>
      </c>
      <c r="BM4" s="29">
        <v>-1.3292999999999999</v>
      </c>
      <c r="BN4" s="29" t="e">
        <f>AS4*$AS$3+AT4*$AT$3+AU4*$AU$3+AV4*$AV$3+AW4*$AW$3+AX4*$AX$3+AY4*$AY$3+AZ4*$AZ$3+BA4*$BA$3+BB4*$BB$3+BM4+BC4*$BC$3+BD4*$BD$3+BE4*BE$3+BF4*$BF$3+BG4*$BG$3+BH4*$BH$3+BI4*$BI$3+BJ4*$BJ$3+BK4*$BK$3+BL4*$BL$3</f>
        <v>#DIV/0!</v>
      </c>
      <c r="BO4" s="29" t="e">
        <f>TANH(BN4)</f>
        <v>#DIV/0!</v>
      </c>
      <c r="BP4" s="109" t="e">
        <f>(BO4+1)/2</f>
        <v>#DIV/0!</v>
      </c>
    </row>
    <row r="5" spans="1:68">
      <c r="A5" s="97" t="e">
        <f>'6'!E3</f>
        <v>#DIV/0!</v>
      </c>
      <c r="B5" s="58">
        <v>0.20757944606478998</v>
      </c>
      <c r="C5" s="58">
        <v>4.9577400030237939</v>
      </c>
      <c r="E5" s="29">
        <v>-7.0900000000000005E-2</v>
      </c>
      <c r="F5" s="29">
        <v>-4.02E-2</v>
      </c>
      <c r="G5" s="29">
        <v>-4.6100000000000002E-2</v>
      </c>
      <c r="H5" s="29">
        <v>-0.1444</v>
      </c>
      <c r="I5" s="29">
        <v>-0.222</v>
      </c>
      <c r="J5" s="29">
        <v>-0.25440000000000002</v>
      </c>
      <c r="K5" s="29">
        <v>4.4200000000000003E-2</v>
      </c>
      <c r="L5" s="29">
        <v>0.20230000000000001</v>
      </c>
      <c r="M5" s="29">
        <v>-0.13750000000000001</v>
      </c>
      <c r="N5" s="29">
        <v>-5.2699999999999997E-2</v>
      </c>
      <c r="O5" s="29">
        <v>0.40789999999999998</v>
      </c>
      <c r="P5" s="29">
        <v>-0.35270000000000001</v>
      </c>
      <c r="Q5" s="29">
        <v>0.18440000000000001</v>
      </c>
      <c r="R5" s="29">
        <v>-0.1024</v>
      </c>
      <c r="S5" s="29">
        <v>0.1169</v>
      </c>
      <c r="T5" s="29">
        <v>-0.13250000000000001</v>
      </c>
      <c r="U5" s="29">
        <v>0.38690000000000002</v>
      </c>
      <c r="V5" s="29">
        <v>-2.6200000000000001E-2</v>
      </c>
      <c r="W5" s="29">
        <v>-0.10249999999999999</v>
      </c>
      <c r="X5" s="29">
        <v>-0.27029999999999998</v>
      </c>
      <c r="Y5" s="29">
        <v>0.44500000000000001</v>
      </c>
      <c r="Z5" s="29">
        <v>-2.8000000000000001E-2</v>
      </c>
      <c r="AA5" s="29">
        <v>-0.33450000000000002</v>
      </c>
      <c r="AB5" s="29">
        <v>-0.20319999999999999</v>
      </c>
      <c r="AC5" s="29">
        <v>-0.2545</v>
      </c>
      <c r="AD5" s="29">
        <v>-0.22209999999999999</v>
      </c>
      <c r="AE5" s="29">
        <v>0.25259999999999999</v>
      </c>
      <c r="AF5" s="29">
        <v>0.60599999999999998</v>
      </c>
      <c r="AG5" s="29">
        <v>7.3200000000000001E-2</v>
      </c>
      <c r="AH5" s="29">
        <v>0.40649999999999997</v>
      </c>
      <c r="AI5" s="29">
        <v>-0.373</v>
      </c>
      <c r="AJ5" s="29">
        <v>0.43080000000000002</v>
      </c>
      <c r="AK5" s="29">
        <v>-0.39539999999999997</v>
      </c>
      <c r="AL5" s="29">
        <v>0.38469999999999999</v>
      </c>
      <c r="AM5" s="29">
        <v>0.42449999999999999</v>
      </c>
      <c r="AN5" s="29">
        <v>-2.8400000000000002E-2</v>
      </c>
      <c r="AO5" s="29">
        <v>1.3764000000000001</v>
      </c>
      <c r="AP5" s="29" t="e">
        <f t="shared" ref="AP5:AP23" si="0">E5*$E$3+F5*$F$3+G5*$G$3+H5*$H$3+I5*$I$3+J5*$J$3+K5*$K$3+L5*$L$3+M5*$M$3+N5*$N$3+O5*$O$3+P5*$P$3+Q5*$Q$3+R5*$R$3+S5*$S$3+T5*$T$3+U5*$U$3+V5*$V$3+W5*$W$3+X5*$X$3+Y5*$Y$3+Z5*$Z$3+AA5*$AA$3+AB5*$AB$3+AC5*$AC$3+AD5*$AD$3+AE5*$AE$3+AF5*$AF$3+AG5*$AG$3+AH5*$AH$3+AI5*$AI$3+AJ5*$AJ$3+AK5*$AK$3+AL5*$AL$3+AM5*$AM$3+AN5*$AN$3+AO5</f>
        <v>#DIV/0!</v>
      </c>
      <c r="AS5" s="29">
        <v>-0.68200000000000005</v>
      </c>
      <c r="AT5" s="29">
        <v>0.62729999999999997</v>
      </c>
      <c r="AU5" s="29">
        <v>-0.11700000000000001</v>
      </c>
      <c r="AV5" s="29">
        <v>-0.41660000000000003</v>
      </c>
      <c r="AW5" s="29">
        <v>0.6734</v>
      </c>
      <c r="AX5" s="29">
        <v>0.37230000000000002</v>
      </c>
      <c r="AY5" s="29">
        <v>-0.67020000000000002</v>
      </c>
      <c r="AZ5" s="29">
        <v>0.17030000000000001</v>
      </c>
      <c r="BA5" s="29">
        <v>-8.5800000000000001E-2</v>
      </c>
      <c r="BB5" s="29">
        <v>-0.47860000000000003</v>
      </c>
      <c r="BC5" s="29">
        <v>-0.31040000000000001</v>
      </c>
      <c r="BD5" s="29">
        <v>-0.56689999999999996</v>
      </c>
      <c r="BE5" s="29">
        <v>0.40079999999999999</v>
      </c>
      <c r="BF5" s="29">
        <v>1.84E-2</v>
      </c>
      <c r="BG5" s="29">
        <v>1.1555</v>
      </c>
      <c r="BH5" s="29">
        <v>0.41549999999999998</v>
      </c>
      <c r="BI5" s="29">
        <v>-5.67E-2</v>
      </c>
      <c r="BJ5" s="29">
        <v>-1.1066</v>
      </c>
      <c r="BK5" s="29">
        <v>0.9274</v>
      </c>
      <c r="BL5" s="29">
        <v>0.58350000000000002</v>
      </c>
      <c r="BM5" s="29">
        <v>-1.0607</v>
      </c>
      <c r="BN5" s="29" t="e">
        <f>AS5*$AS$3+AT5*$AT$3+AU5*$AU$3+AV5*$AV$3+AW5*$AW$3+AX5*$AX$3+AY5*$AY$3+AZ5*$AZ$3+BA5*$BA$3+BB5*$BB$3+BM5+BC5*$BC$3+BD5*$BD$3+BE5*BE$3+BF5*$BF$3+BG5*$BG$3+BH5*$BH$3+BI5*$BI$3+BJ5*$BJ$3+BK5*$BK$3+BL5*$BL$3</f>
        <v>#DIV/0!</v>
      </c>
      <c r="BO5" s="29" t="e">
        <f>TANH(BN5)</f>
        <v>#DIV/0!</v>
      </c>
      <c r="BP5" s="109" t="e">
        <f>(BO5+1)/2</f>
        <v>#DIV/0!</v>
      </c>
    </row>
    <row r="6" spans="1:68">
      <c r="A6" s="97">
        <f>'6'!E4</f>
        <v>0</v>
      </c>
      <c r="B6" s="58">
        <v>0.56824999999997416</v>
      </c>
      <c r="C6" s="58">
        <v>20.367760134091412</v>
      </c>
      <c r="E6" s="29">
        <v>-0.49070000000000003</v>
      </c>
      <c r="F6" s="29">
        <v>-0.2296</v>
      </c>
      <c r="G6" s="29">
        <v>0.1191</v>
      </c>
      <c r="H6" s="29">
        <v>-0.2044</v>
      </c>
      <c r="I6" s="29">
        <v>-0.31130000000000002</v>
      </c>
      <c r="J6" s="29">
        <v>0.26550000000000001</v>
      </c>
      <c r="K6" s="29">
        <v>3.4000000000000002E-2</v>
      </c>
      <c r="L6" s="29">
        <v>-0.41389999999999999</v>
      </c>
      <c r="M6" s="29">
        <v>0.24030000000000001</v>
      </c>
      <c r="N6" s="29">
        <v>-0.23849999999999999</v>
      </c>
      <c r="O6" s="29">
        <v>-0.2046</v>
      </c>
      <c r="P6" s="29">
        <v>-0.3609</v>
      </c>
      <c r="Q6" s="29">
        <v>7.3200000000000001E-2</v>
      </c>
      <c r="R6" s="29">
        <v>-0.1565</v>
      </c>
      <c r="S6" s="29">
        <v>-0.1047</v>
      </c>
      <c r="T6" s="29">
        <v>-0.52190000000000003</v>
      </c>
      <c r="U6" s="29">
        <v>5.3800000000000001E-2</v>
      </c>
      <c r="V6" s="29">
        <v>9.9000000000000005E-2</v>
      </c>
      <c r="W6" s="29">
        <v>-0.40110000000000001</v>
      </c>
      <c r="X6" s="29">
        <v>0.36359999999999998</v>
      </c>
      <c r="Y6" s="29">
        <v>0.40960000000000002</v>
      </c>
      <c r="Z6" s="29">
        <v>0.1517</v>
      </c>
      <c r="AA6" s="29">
        <v>0.27129999999999999</v>
      </c>
      <c r="AB6" s="29">
        <v>-0.41770000000000002</v>
      </c>
      <c r="AC6" s="29">
        <v>-0.13120000000000001</v>
      </c>
      <c r="AD6" s="29">
        <v>-0.45119999999999999</v>
      </c>
      <c r="AE6" s="29">
        <v>1.6299999999999999E-2</v>
      </c>
      <c r="AF6" s="29">
        <v>0.11609999999999999</v>
      </c>
      <c r="AG6" s="29">
        <v>-0.36730000000000002</v>
      </c>
      <c r="AH6" s="29">
        <v>-0.16159999999999999</v>
      </c>
      <c r="AI6" s="29">
        <v>0.20380000000000001</v>
      </c>
      <c r="AJ6" s="29">
        <v>-0.22270000000000001</v>
      </c>
      <c r="AK6" s="29">
        <v>0.2412</v>
      </c>
      <c r="AL6" s="29">
        <v>-5.74E-2</v>
      </c>
      <c r="AM6" s="29">
        <v>0.34339999999999998</v>
      </c>
      <c r="AN6" s="29">
        <v>-0.1583</v>
      </c>
      <c r="AO6" s="29">
        <v>1.0867</v>
      </c>
      <c r="AP6" s="29" t="e">
        <f t="shared" si="0"/>
        <v>#DIV/0!</v>
      </c>
    </row>
    <row r="7" spans="1:68">
      <c r="A7" s="97" t="e">
        <f>'6'!E5</f>
        <v>#DIV/0!</v>
      </c>
      <c r="B7" s="58">
        <v>0.89507391575388795</v>
      </c>
      <c r="C7" s="58">
        <v>0.99986926760988271</v>
      </c>
      <c r="E7" s="29">
        <v>3.5000000000000001E-3</v>
      </c>
      <c r="F7" s="29">
        <v>0.22189999999999999</v>
      </c>
      <c r="G7" s="29">
        <v>1.6899999999999998E-2</v>
      </c>
      <c r="H7" s="29">
        <v>0.12770000000000001</v>
      </c>
      <c r="I7" s="29">
        <v>0.33200000000000002</v>
      </c>
      <c r="J7" s="29">
        <v>0.1197</v>
      </c>
      <c r="K7" s="29">
        <v>0.27429999999999999</v>
      </c>
      <c r="L7" s="29">
        <v>-0.34770000000000001</v>
      </c>
      <c r="M7" s="29">
        <v>-0.26140000000000002</v>
      </c>
      <c r="N7" s="29">
        <v>9.6100000000000005E-2</v>
      </c>
      <c r="O7" s="29">
        <v>0.2555</v>
      </c>
      <c r="P7" s="29">
        <v>-0.37859999999999999</v>
      </c>
      <c r="Q7" s="29">
        <v>0.29880000000000001</v>
      </c>
      <c r="R7" s="29">
        <v>-0.36730000000000002</v>
      </c>
      <c r="S7" s="29">
        <v>0.28470000000000001</v>
      </c>
      <c r="T7" s="29">
        <v>-0.3795</v>
      </c>
      <c r="U7" s="29">
        <v>0.1268</v>
      </c>
      <c r="V7" s="29">
        <v>0.22450000000000001</v>
      </c>
      <c r="W7" s="29">
        <v>-5.8599999999999999E-2</v>
      </c>
      <c r="X7" s="29">
        <v>-0.28050000000000003</v>
      </c>
      <c r="Y7" s="29">
        <v>-0.31819999999999998</v>
      </c>
      <c r="Z7" s="29">
        <v>-0.31109999999999999</v>
      </c>
      <c r="AA7" s="29">
        <v>-0.253</v>
      </c>
      <c r="AB7" s="29">
        <v>5.6099999999999997E-2</v>
      </c>
      <c r="AC7" s="29">
        <v>-0.2021</v>
      </c>
      <c r="AD7" s="29">
        <v>-0.23039999999999999</v>
      </c>
      <c r="AE7" s="29">
        <v>-0.30420000000000003</v>
      </c>
      <c r="AF7" s="29">
        <v>-2.1299999999999999E-2</v>
      </c>
      <c r="AG7" s="29">
        <v>4.1700000000000001E-2</v>
      </c>
      <c r="AH7" s="29">
        <v>0.34360000000000002</v>
      </c>
      <c r="AI7" s="29">
        <v>-3.3500000000000002E-2</v>
      </c>
      <c r="AJ7" s="29">
        <v>2.8799999999999999E-2</v>
      </c>
      <c r="AK7" s="29">
        <v>-0.12039999999999999</v>
      </c>
      <c r="AL7" s="29">
        <v>-0.22389999999999999</v>
      </c>
      <c r="AM7" s="29">
        <v>0.20019999999999999</v>
      </c>
      <c r="AN7" s="29">
        <v>1.3599999999999999E-2</v>
      </c>
      <c r="AO7" s="29">
        <v>-1.2518</v>
      </c>
      <c r="AP7" s="29" t="e">
        <f t="shared" si="0"/>
        <v>#DIV/0!</v>
      </c>
    </row>
    <row r="8" spans="1:68">
      <c r="A8" s="97" t="e">
        <f>'6'!E6</f>
        <v>#DIV/0!</v>
      </c>
      <c r="B8" s="58">
        <v>0.75576737742948097</v>
      </c>
      <c r="C8" s="58">
        <v>1.0687022404913487</v>
      </c>
      <c r="E8" s="29">
        <v>-0.40350000000000003</v>
      </c>
      <c r="F8" s="29">
        <v>2.1899999999999999E-2</v>
      </c>
      <c r="G8" s="29">
        <v>0.40479999999999999</v>
      </c>
      <c r="H8" s="29">
        <v>-0.29299999999999998</v>
      </c>
      <c r="I8" s="29">
        <v>3.0800000000000001E-2</v>
      </c>
      <c r="J8" s="29">
        <v>-0.33079999999999998</v>
      </c>
      <c r="K8" s="29">
        <v>6.5000000000000002E-2</v>
      </c>
      <c r="L8" s="29">
        <v>-0.28139999999999998</v>
      </c>
      <c r="M8" s="29">
        <v>2.23E-2</v>
      </c>
      <c r="N8" s="29">
        <v>-0.1182</v>
      </c>
      <c r="O8" s="29">
        <v>-0.17879999999999999</v>
      </c>
      <c r="P8" s="29">
        <v>0.2757</v>
      </c>
      <c r="Q8" s="29">
        <v>0.1923</v>
      </c>
      <c r="R8" s="29">
        <v>-0.34949999999999998</v>
      </c>
      <c r="S8" s="29">
        <v>0.28050000000000003</v>
      </c>
      <c r="T8" s="29">
        <v>0.217</v>
      </c>
      <c r="U8" s="29">
        <v>-0.29260000000000003</v>
      </c>
      <c r="V8" s="29">
        <v>-0.16089999999999999</v>
      </c>
      <c r="W8" s="29">
        <v>-0.1069</v>
      </c>
      <c r="X8" s="29">
        <v>-0.20369999999999999</v>
      </c>
      <c r="Y8" s="29">
        <v>-0.27650000000000002</v>
      </c>
      <c r="Z8" s="29">
        <v>-4.3999999999999997E-2</v>
      </c>
      <c r="AA8" s="29">
        <v>-0.33169999999999999</v>
      </c>
      <c r="AB8" s="29">
        <v>0.24379999999999999</v>
      </c>
      <c r="AC8" s="29">
        <v>-0.33610000000000001</v>
      </c>
      <c r="AD8" s="29">
        <v>0.23599999999999999</v>
      </c>
      <c r="AE8" s="29">
        <v>-3.3E-3</v>
      </c>
      <c r="AF8" s="29">
        <v>6.9500000000000006E-2</v>
      </c>
      <c r="AG8" s="29">
        <v>-0.1847</v>
      </c>
      <c r="AH8" s="29">
        <v>-0.26040000000000002</v>
      </c>
      <c r="AI8" s="29">
        <v>0.185</v>
      </c>
      <c r="AJ8" s="29">
        <v>-0.31190000000000001</v>
      </c>
      <c r="AK8" s="29">
        <v>-0.27750000000000002</v>
      </c>
      <c r="AL8" s="29">
        <v>-0.44080000000000003</v>
      </c>
      <c r="AM8" s="29">
        <v>-8.0299999999999996E-2</v>
      </c>
      <c r="AN8" s="29">
        <v>0.35630000000000001</v>
      </c>
      <c r="AO8" s="29">
        <v>1.0497000000000001</v>
      </c>
      <c r="AP8" s="29" t="e">
        <f>E8*$E$3+F8*$F$3+G8*$G$3+H8*$H$3+I8*$I$3+J8*$J$3+K8*$K$3+L8*$L$3+M8*$M$3+N8*$N$3+O8*$O$3+P8*$P$3+Q8*$Q$3+R8*$R$3+S8*$S$3+T8*$T$3+U8*$U$3+V8*$V$3+W8*$W$3+X8*$X$3+Y8*$Y$3+Z8*$Z$3+AA8*$AA$3+AB8*$AB$3+AC8*$AC$3+AD8*$AD$3+AE8*$AE$3+AF8*$AF$3+AG8*$AG$3+AH8*$AH$3+AI8*$AI$3+AJ8*$AJ$3+AK8*$AK$3+AL8*$AL$3+AM8*$AM$3+AN8*$AN$3+AO8</f>
        <v>#DIV/0!</v>
      </c>
    </row>
    <row r="9" spans="1:68">
      <c r="A9" s="97" t="e">
        <f>'6'!E7</f>
        <v>#DIV/0!</v>
      </c>
      <c r="B9" s="58">
        <v>-6.5378563263614975</v>
      </c>
      <c r="C9" s="58">
        <v>32.574267948302563</v>
      </c>
      <c r="E9" s="29">
        <v>-3.2899999999999999E-2</v>
      </c>
      <c r="F9" s="29">
        <v>0.3997</v>
      </c>
      <c r="G9" s="29">
        <v>-0.16550000000000001</v>
      </c>
      <c r="H9" s="29">
        <v>-0.26840000000000003</v>
      </c>
      <c r="I9" s="29">
        <v>-0.2016</v>
      </c>
      <c r="J9" s="29">
        <v>0.4113</v>
      </c>
      <c r="K9" s="29">
        <v>0.38069999999999998</v>
      </c>
      <c r="L9" s="29">
        <v>1.4999999999999999E-2</v>
      </c>
      <c r="M9" s="29">
        <v>-0.2422</v>
      </c>
      <c r="N9" s="29">
        <v>9.4399999999999998E-2</v>
      </c>
      <c r="O9" s="29">
        <v>0.3543</v>
      </c>
      <c r="P9" s="29">
        <v>7.6799999999999993E-2</v>
      </c>
      <c r="Q9" s="29">
        <v>-0.26219999999999999</v>
      </c>
      <c r="R9" s="29">
        <v>0.22120000000000001</v>
      </c>
      <c r="S9" s="29">
        <v>0.30549999999999999</v>
      </c>
      <c r="T9" s="29">
        <v>0.24129999999999999</v>
      </c>
      <c r="U9" s="29">
        <v>-0.25850000000000001</v>
      </c>
      <c r="V9" s="29">
        <v>-0.1552</v>
      </c>
      <c r="W9" s="29">
        <v>2.8E-3</v>
      </c>
      <c r="X9" s="29">
        <v>0.35470000000000002</v>
      </c>
      <c r="Y9" s="29">
        <v>-0.2258</v>
      </c>
      <c r="Z9" s="29">
        <v>0.41710000000000003</v>
      </c>
      <c r="AA9" s="29">
        <v>8.0399999999999999E-2</v>
      </c>
      <c r="AB9" s="29">
        <v>-6.54E-2</v>
      </c>
      <c r="AC9" s="29">
        <v>0.3332</v>
      </c>
      <c r="AD9" s="29">
        <v>0.22889999999999999</v>
      </c>
      <c r="AE9" s="29">
        <v>-0.13150000000000001</v>
      </c>
      <c r="AF9" s="29">
        <v>-0.31080000000000002</v>
      </c>
      <c r="AG9" s="29">
        <v>0.32790000000000002</v>
      </c>
      <c r="AH9" s="29">
        <v>-0.33700000000000002</v>
      </c>
      <c r="AI9" s="29">
        <v>0.1368</v>
      </c>
      <c r="AJ9" s="29">
        <v>0.37009999999999998</v>
      </c>
      <c r="AK9" s="29">
        <v>-0.28370000000000001</v>
      </c>
      <c r="AL9" s="29">
        <v>-0.317</v>
      </c>
      <c r="AM9" s="29">
        <v>0.1575</v>
      </c>
      <c r="AN9" s="29">
        <v>3.4000000000000002E-2</v>
      </c>
      <c r="AO9" s="29">
        <v>0.74139999999999995</v>
      </c>
      <c r="AP9" s="29" t="e">
        <f t="shared" si="0"/>
        <v>#DIV/0!</v>
      </c>
    </row>
    <row r="10" spans="1:68">
      <c r="A10" s="97" t="e">
        <f>'6'!E8</f>
        <v>#DIV/0!</v>
      </c>
      <c r="B10" s="58">
        <v>0.20837134295413851</v>
      </c>
      <c r="C10" s="58">
        <v>4.6720062896736918</v>
      </c>
      <c r="E10" s="29">
        <v>0.2437</v>
      </c>
      <c r="F10" s="29">
        <v>5.2400000000000002E-2</v>
      </c>
      <c r="G10" s="29">
        <v>-0.15820000000000001</v>
      </c>
      <c r="H10" s="29">
        <v>-0.42059999999999997</v>
      </c>
      <c r="I10" s="29">
        <v>-0.29320000000000002</v>
      </c>
      <c r="J10" s="29">
        <v>0.29530000000000001</v>
      </c>
      <c r="K10" s="29">
        <v>8.4900000000000003E-2</v>
      </c>
      <c r="L10" s="29">
        <v>0.12520000000000001</v>
      </c>
      <c r="M10" s="29">
        <v>6.2899999999999998E-2</v>
      </c>
      <c r="N10" s="29">
        <v>-6.3E-2</v>
      </c>
      <c r="O10" s="29">
        <v>3.2800000000000003E-2</v>
      </c>
      <c r="P10" s="29">
        <v>-0.4501</v>
      </c>
      <c r="Q10" s="29">
        <v>0.30759999999999998</v>
      </c>
      <c r="R10" s="29">
        <v>0.3669</v>
      </c>
      <c r="S10" s="29">
        <v>0.32679999999999998</v>
      </c>
      <c r="T10" s="29">
        <v>-0.35060000000000002</v>
      </c>
      <c r="U10" s="29">
        <v>-7.17E-2</v>
      </c>
      <c r="V10" s="29">
        <v>-0.252</v>
      </c>
      <c r="W10" s="29">
        <v>-0.2611</v>
      </c>
      <c r="X10" s="29">
        <v>-0.25580000000000003</v>
      </c>
      <c r="Y10" s="29">
        <v>-0.31319999999999998</v>
      </c>
      <c r="Z10" s="29">
        <v>-0.30359999999999998</v>
      </c>
      <c r="AA10" s="29">
        <v>-0.1234</v>
      </c>
      <c r="AB10" s="29">
        <v>0.37190000000000001</v>
      </c>
      <c r="AC10" s="29">
        <v>-0.30919999999999997</v>
      </c>
      <c r="AD10" s="29">
        <v>0.22520000000000001</v>
      </c>
      <c r="AE10" s="29">
        <v>-0.35520000000000002</v>
      </c>
      <c r="AF10" s="29">
        <v>0.26</v>
      </c>
      <c r="AG10" s="29">
        <v>-0.42649999999999999</v>
      </c>
      <c r="AH10" s="29">
        <v>-0.4914</v>
      </c>
      <c r="AI10" s="29">
        <v>-9.3100000000000002E-2</v>
      </c>
      <c r="AJ10" s="29">
        <v>-5.5899999999999998E-2</v>
      </c>
      <c r="AK10" s="29">
        <v>-7.4899999999999994E-2</v>
      </c>
      <c r="AL10" s="29">
        <v>0.45319999999999999</v>
      </c>
      <c r="AM10" s="29">
        <v>-0.29609999999999997</v>
      </c>
      <c r="AN10" s="29">
        <v>-0.30449999999999999</v>
      </c>
      <c r="AO10" s="29">
        <v>-0.74260000000000004</v>
      </c>
      <c r="AP10" s="29" t="e">
        <f t="shared" si="0"/>
        <v>#DIV/0!</v>
      </c>
    </row>
    <row r="11" spans="1:68">
      <c r="A11" s="97" t="e">
        <f>'6'!E9</f>
        <v>#DIV/0!</v>
      </c>
      <c r="B11" s="58">
        <v>0.14904923911101312</v>
      </c>
      <c r="C11" s="58">
        <v>4.6272526868754724</v>
      </c>
      <c r="E11" s="29">
        <v>-8.5000000000000006E-2</v>
      </c>
      <c r="F11" s="29">
        <v>0.2069</v>
      </c>
      <c r="G11" s="29">
        <v>8.3500000000000005E-2</v>
      </c>
      <c r="H11" s="29">
        <v>0.23930000000000001</v>
      </c>
      <c r="I11" s="29">
        <v>-0.32750000000000001</v>
      </c>
      <c r="J11" s="29">
        <v>-0.41099999999999998</v>
      </c>
      <c r="K11" s="29">
        <v>-3.44E-2</v>
      </c>
      <c r="L11" s="29">
        <v>0.26779999999999998</v>
      </c>
      <c r="M11" s="29">
        <v>-0.1767</v>
      </c>
      <c r="N11" s="29">
        <v>-0.23019999999999999</v>
      </c>
      <c r="O11" s="29">
        <v>-0.38269999999999998</v>
      </c>
      <c r="P11" s="29">
        <v>0.12039999999999999</v>
      </c>
      <c r="Q11" s="29">
        <v>0.32879999999999998</v>
      </c>
      <c r="R11" s="29">
        <v>-0.40870000000000001</v>
      </c>
      <c r="S11" s="29">
        <v>-0.27889999999999998</v>
      </c>
      <c r="T11" s="29">
        <v>-0.14990000000000001</v>
      </c>
      <c r="U11" s="29">
        <v>0.19489999999999999</v>
      </c>
      <c r="V11" s="29">
        <v>6.9099999999999995E-2</v>
      </c>
      <c r="W11" s="29">
        <v>-1.7899999999999999E-2</v>
      </c>
      <c r="X11" s="29">
        <v>-8.2400000000000001E-2</v>
      </c>
      <c r="Y11" s="29">
        <v>0.32100000000000001</v>
      </c>
      <c r="Z11" s="29">
        <v>0.38030000000000003</v>
      </c>
      <c r="AA11" s="29">
        <v>-0.35260000000000002</v>
      </c>
      <c r="AB11" s="29">
        <v>0.30030000000000001</v>
      </c>
      <c r="AC11" s="29">
        <v>0.19059999999999999</v>
      </c>
      <c r="AD11" s="29">
        <v>0.20860000000000001</v>
      </c>
      <c r="AE11" s="29">
        <v>-0.20849999999999999</v>
      </c>
      <c r="AF11" s="29">
        <v>-0.13320000000000001</v>
      </c>
      <c r="AG11" s="29">
        <v>2.4299999999999999E-2</v>
      </c>
      <c r="AH11" s="29">
        <v>0.29420000000000002</v>
      </c>
      <c r="AI11" s="29">
        <v>-0.10780000000000001</v>
      </c>
      <c r="AJ11" s="29">
        <v>-0.40439999999999998</v>
      </c>
      <c r="AK11" s="29">
        <v>0.1159</v>
      </c>
      <c r="AL11" s="29">
        <v>0.29949999999999999</v>
      </c>
      <c r="AM11" s="29">
        <v>-0.3629</v>
      </c>
      <c r="AN11" s="29">
        <v>0.21779999999999999</v>
      </c>
      <c r="AO11" s="29">
        <v>0.44080000000000003</v>
      </c>
      <c r="AP11" s="29" t="e">
        <f t="shared" si="0"/>
        <v>#DIV/0!</v>
      </c>
    </row>
    <row r="12" spans="1:68">
      <c r="A12" s="97">
        <f>'6'!E10</f>
        <v>0</v>
      </c>
      <c r="B12" s="58">
        <v>0.40139680998120397</v>
      </c>
      <c r="C12" s="58">
        <v>17.531725023001712</v>
      </c>
      <c r="E12" s="29">
        <v>0.33550000000000002</v>
      </c>
      <c r="F12" s="29">
        <v>0.3518</v>
      </c>
      <c r="G12" s="29">
        <v>-0.12820000000000001</v>
      </c>
      <c r="H12" s="29">
        <v>0.41160000000000002</v>
      </c>
      <c r="I12" s="29">
        <v>-0.30399999999999999</v>
      </c>
      <c r="J12" s="29">
        <v>-3.4000000000000002E-2</v>
      </c>
      <c r="K12" s="29">
        <v>-0.33660000000000001</v>
      </c>
      <c r="L12" s="29">
        <v>0.34179999999999999</v>
      </c>
      <c r="M12" s="29">
        <v>0.52190000000000003</v>
      </c>
      <c r="N12" s="29">
        <v>-0.1993</v>
      </c>
      <c r="O12" s="29">
        <v>-0.1052</v>
      </c>
      <c r="P12" s="29">
        <v>1.7999999999999999E-2</v>
      </c>
      <c r="Q12" s="29">
        <v>0.28849999999999998</v>
      </c>
      <c r="R12" s="29">
        <v>-0.11849999999999999</v>
      </c>
      <c r="S12" s="29">
        <v>-3.3300000000000003E-2</v>
      </c>
      <c r="T12" s="29">
        <v>8.6599999999999996E-2</v>
      </c>
      <c r="U12" s="29">
        <v>0.20599999999999999</v>
      </c>
      <c r="V12" s="29">
        <v>0.48920000000000002</v>
      </c>
      <c r="W12" s="29">
        <v>-0.1002</v>
      </c>
      <c r="X12" s="29">
        <v>0.30780000000000002</v>
      </c>
      <c r="Y12" s="29">
        <v>-0.155</v>
      </c>
      <c r="Z12" s="29">
        <v>-0.12870000000000001</v>
      </c>
      <c r="AA12" s="29">
        <v>0.45679999999999998</v>
      </c>
      <c r="AB12" s="29">
        <v>0.11550000000000001</v>
      </c>
      <c r="AC12" s="29">
        <v>0.22550000000000001</v>
      </c>
      <c r="AD12" s="29">
        <v>0.1502</v>
      </c>
      <c r="AE12" s="29">
        <v>-0.25059999999999999</v>
      </c>
      <c r="AF12" s="29">
        <v>-0.2326</v>
      </c>
      <c r="AG12" s="29">
        <v>-0.14910000000000001</v>
      </c>
      <c r="AH12" s="29">
        <v>0.1492</v>
      </c>
      <c r="AI12" s="29">
        <v>0.27829999999999999</v>
      </c>
      <c r="AJ12" s="29">
        <v>0.248</v>
      </c>
      <c r="AK12" s="29">
        <v>-2.81E-2</v>
      </c>
      <c r="AL12" s="29">
        <v>0.26719999999999999</v>
      </c>
      <c r="AM12" s="29">
        <v>4.9500000000000002E-2</v>
      </c>
      <c r="AN12" s="29">
        <v>0.31309999999999999</v>
      </c>
      <c r="AO12" s="29">
        <v>-0.24349999999999999</v>
      </c>
      <c r="AP12" s="29" t="e">
        <f t="shared" si="0"/>
        <v>#DIV/0!</v>
      </c>
    </row>
    <row r="13" spans="1:68">
      <c r="A13" s="97" t="e">
        <f>'6'!E11</f>
        <v>#DIV/0!</v>
      </c>
      <c r="B13" s="58">
        <v>4.7233333333333329E-2</v>
      </c>
      <c r="C13" s="58">
        <v>0.34656666666666713</v>
      </c>
      <c r="E13" s="29">
        <v>-0.22159999999999999</v>
      </c>
      <c r="F13" s="29">
        <v>-0.13550000000000001</v>
      </c>
      <c r="G13" s="29">
        <v>0.19489999999999999</v>
      </c>
      <c r="H13" s="29">
        <v>-0.25230000000000002</v>
      </c>
      <c r="I13" s="29">
        <v>-7.8100000000000003E-2</v>
      </c>
      <c r="J13" s="29">
        <v>-0.34129999999999999</v>
      </c>
      <c r="K13" s="29">
        <v>-0.3624</v>
      </c>
      <c r="L13" s="29">
        <v>-0.27010000000000001</v>
      </c>
      <c r="M13" s="29">
        <v>0.25619999999999998</v>
      </c>
      <c r="N13" s="29">
        <v>-6.3200000000000006E-2</v>
      </c>
      <c r="O13" s="29">
        <v>-0.33450000000000002</v>
      </c>
      <c r="P13" s="29">
        <v>0.14599999999999999</v>
      </c>
      <c r="Q13" s="29">
        <v>0.1898</v>
      </c>
      <c r="R13" s="29">
        <v>0.1019</v>
      </c>
      <c r="S13" s="29">
        <v>0.1404</v>
      </c>
      <c r="T13" s="29">
        <v>6.8400000000000002E-2</v>
      </c>
      <c r="U13" s="29">
        <v>-0.1915</v>
      </c>
      <c r="V13" s="29">
        <v>0.25869999999999999</v>
      </c>
      <c r="W13" s="29">
        <v>0.1578</v>
      </c>
      <c r="X13" s="29">
        <v>0.36680000000000001</v>
      </c>
      <c r="Y13" s="29">
        <v>-0.14660000000000001</v>
      </c>
      <c r="Z13" s="29">
        <v>0.3821</v>
      </c>
      <c r="AA13" s="29">
        <v>0.42949999999999999</v>
      </c>
      <c r="AB13" s="29">
        <v>0.16239999999999999</v>
      </c>
      <c r="AC13" s="29">
        <v>0.43009999999999998</v>
      </c>
      <c r="AD13" s="29">
        <v>-0.187</v>
      </c>
      <c r="AE13" s="29">
        <v>0.43690000000000001</v>
      </c>
      <c r="AF13" s="29">
        <v>0.26879999999999998</v>
      </c>
      <c r="AG13" s="29">
        <v>0.36919999999999997</v>
      </c>
      <c r="AH13" s="29">
        <v>0.48220000000000002</v>
      </c>
      <c r="AI13" s="29">
        <v>0.115</v>
      </c>
      <c r="AJ13" s="29">
        <v>0.42370000000000002</v>
      </c>
      <c r="AK13" s="29">
        <v>4.9099999999999998E-2</v>
      </c>
      <c r="AL13" s="29">
        <v>-6.9999999999999999E-4</v>
      </c>
      <c r="AM13" s="29">
        <v>0.47449999999999998</v>
      </c>
      <c r="AN13" s="29">
        <v>-0.4133</v>
      </c>
      <c r="AO13" s="29">
        <v>-8.1799999999999998E-2</v>
      </c>
      <c r="AP13" s="29" t="e">
        <f t="shared" si="0"/>
        <v>#DIV/0!</v>
      </c>
    </row>
    <row r="14" spans="1:68">
      <c r="A14" s="97" t="e">
        <f>'6'!E12</f>
        <v>#DIV/0!</v>
      </c>
      <c r="B14" s="58">
        <v>3.1435982192878124E-2</v>
      </c>
      <c r="C14" s="58">
        <v>0.39017871458310688</v>
      </c>
      <c r="E14" s="29">
        <v>-0.36030000000000001</v>
      </c>
      <c r="F14" s="29">
        <v>0.2011</v>
      </c>
      <c r="G14" s="29">
        <v>0.29599999999999999</v>
      </c>
      <c r="H14" s="29">
        <v>-6.7000000000000002E-3</v>
      </c>
      <c r="I14" s="29">
        <v>0.1623</v>
      </c>
      <c r="J14" s="29">
        <v>0.37880000000000003</v>
      </c>
      <c r="K14" s="29">
        <v>-0.44269999999999998</v>
      </c>
      <c r="L14" s="29">
        <v>2.3599999999999999E-2</v>
      </c>
      <c r="M14" s="29">
        <v>0.3639</v>
      </c>
      <c r="N14" s="29">
        <v>-0.2051</v>
      </c>
      <c r="O14" s="29">
        <v>0.14680000000000001</v>
      </c>
      <c r="P14" s="29">
        <v>-0.13109999999999999</v>
      </c>
      <c r="Q14" s="29">
        <v>0.34699999999999998</v>
      </c>
      <c r="R14" s="29">
        <v>0.33510000000000001</v>
      </c>
      <c r="S14" s="29">
        <v>9.5500000000000002E-2</v>
      </c>
      <c r="T14" s="29">
        <v>-8.9300000000000004E-2</v>
      </c>
      <c r="U14" s="29">
        <v>-0.4194</v>
      </c>
      <c r="V14" s="29">
        <v>-3.7199999999999997E-2</v>
      </c>
      <c r="W14" s="29">
        <v>-0.28710000000000002</v>
      </c>
      <c r="X14" s="29">
        <v>-0.1981</v>
      </c>
      <c r="Y14" s="29">
        <v>0.18629999999999999</v>
      </c>
      <c r="Z14" s="29">
        <v>8.9599999999999999E-2</v>
      </c>
      <c r="AA14" s="29">
        <v>-0.48859999999999998</v>
      </c>
      <c r="AB14" s="29">
        <v>0.19850000000000001</v>
      </c>
      <c r="AC14" s="29">
        <v>0.159</v>
      </c>
      <c r="AD14" s="29">
        <v>-6.2600000000000003E-2</v>
      </c>
      <c r="AE14" s="29">
        <v>6.6000000000000003E-2</v>
      </c>
      <c r="AF14" s="29">
        <v>-0.37819999999999998</v>
      </c>
      <c r="AG14" s="29">
        <v>-0.53139999999999998</v>
      </c>
      <c r="AH14" s="29">
        <v>0.31909999999999999</v>
      </c>
      <c r="AI14" s="29">
        <v>-0.28539999999999999</v>
      </c>
      <c r="AJ14" s="29">
        <v>-0.13009999999999999</v>
      </c>
      <c r="AK14" s="29">
        <v>-0.1215</v>
      </c>
      <c r="AL14" s="29">
        <v>0.24229999999999999</v>
      </c>
      <c r="AM14" s="29">
        <v>-0.28220000000000001</v>
      </c>
      <c r="AN14" s="29">
        <v>0.151</v>
      </c>
      <c r="AO14" s="29">
        <v>-6.4100000000000004E-2</v>
      </c>
      <c r="AP14" s="29" t="e">
        <f t="shared" si="0"/>
        <v>#DIV/0!</v>
      </c>
    </row>
    <row r="15" spans="1:68">
      <c r="A15" s="97">
        <f>'6'!E13</f>
        <v>0</v>
      </c>
      <c r="B15" s="58">
        <v>0.12129818038230766</v>
      </c>
      <c r="C15" s="58">
        <v>1.7211000000000007</v>
      </c>
      <c r="E15" s="29">
        <v>-0.2954</v>
      </c>
      <c r="F15" s="29">
        <v>3.2899999999999999E-2</v>
      </c>
      <c r="G15" s="29">
        <v>-0.47739999999999999</v>
      </c>
      <c r="H15" s="29">
        <v>-0.3382</v>
      </c>
      <c r="I15" s="29">
        <v>0.126</v>
      </c>
      <c r="J15" s="29">
        <v>-0.2268</v>
      </c>
      <c r="K15" s="29">
        <v>-0.53339999999999999</v>
      </c>
      <c r="L15" s="29">
        <v>-6.59E-2</v>
      </c>
      <c r="M15" s="29">
        <v>0.21820000000000001</v>
      </c>
      <c r="N15" s="29">
        <v>-0.28539999999999999</v>
      </c>
      <c r="O15" s="29">
        <v>0.2823</v>
      </c>
      <c r="P15" s="29">
        <v>-0.27379999999999999</v>
      </c>
      <c r="Q15" s="29">
        <v>0.24410000000000001</v>
      </c>
      <c r="R15" s="29">
        <v>-0.2442</v>
      </c>
      <c r="S15" s="29">
        <v>-0.1517</v>
      </c>
      <c r="T15" s="29">
        <v>0.18140000000000001</v>
      </c>
      <c r="U15" s="29">
        <v>0.37190000000000001</v>
      </c>
      <c r="V15" s="29">
        <v>-0.21990000000000001</v>
      </c>
      <c r="W15" s="29">
        <v>-0.60950000000000004</v>
      </c>
      <c r="X15" s="29">
        <v>2.2100000000000002E-2</v>
      </c>
      <c r="Y15" s="29">
        <v>-0.40360000000000001</v>
      </c>
      <c r="Z15" s="29">
        <v>2.7699999999999999E-2</v>
      </c>
      <c r="AA15" s="29">
        <v>-8.7999999999999995E-2</v>
      </c>
      <c r="AB15" s="29">
        <v>0.21190000000000001</v>
      </c>
      <c r="AC15" s="29">
        <v>-8.5300000000000001E-2</v>
      </c>
      <c r="AD15" s="29">
        <v>0.3337</v>
      </c>
      <c r="AE15" s="29">
        <v>-0.32979999999999998</v>
      </c>
      <c r="AF15" s="29">
        <v>-0.29249999999999998</v>
      </c>
      <c r="AG15" s="29">
        <v>0.1167</v>
      </c>
      <c r="AH15" s="29">
        <v>-0.3407</v>
      </c>
      <c r="AI15" s="29">
        <v>0.36430000000000001</v>
      </c>
      <c r="AJ15" s="29">
        <v>-6.9900000000000004E-2</v>
      </c>
      <c r="AK15" s="29">
        <v>-3.4000000000000002E-2</v>
      </c>
      <c r="AL15" s="29">
        <v>0.66959999999999997</v>
      </c>
      <c r="AM15" s="29">
        <v>-5.9700000000000003E-2</v>
      </c>
      <c r="AN15" s="29">
        <v>-7.9500000000000001E-2</v>
      </c>
      <c r="AO15" s="29">
        <v>-0.49840000000000001</v>
      </c>
      <c r="AP15" s="29" t="e">
        <f t="shared" si="0"/>
        <v>#DIV/0!</v>
      </c>
    </row>
    <row r="16" spans="1:68">
      <c r="A16" s="97" t="e">
        <f>'6'!E14</f>
        <v>#DIV/0!</v>
      </c>
      <c r="B16" s="58">
        <v>0.70063335704547636</v>
      </c>
      <c r="C16" s="58">
        <v>0.99950048124566815</v>
      </c>
      <c r="E16" s="29">
        <v>0.26300000000000001</v>
      </c>
      <c r="F16" s="29">
        <v>-0.33810000000000001</v>
      </c>
      <c r="G16" s="29">
        <v>0.29320000000000002</v>
      </c>
      <c r="H16" s="29">
        <v>-0.16930000000000001</v>
      </c>
      <c r="I16" s="29">
        <v>0.32469999999999999</v>
      </c>
      <c r="J16" s="29">
        <v>-6.4199999999999993E-2</v>
      </c>
      <c r="K16" s="29">
        <v>-0.14630000000000001</v>
      </c>
      <c r="L16" s="29">
        <v>-0.28999999999999998</v>
      </c>
      <c r="M16" s="29">
        <v>-0.29480000000000001</v>
      </c>
      <c r="N16" s="29">
        <v>-0.28749999999999998</v>
      </c>
      <c r="O16" s="29">
        <v>-0.31830000000000003</v>
      </c>
      <c r="P16" s="29">
        <v>2.2100000000000002E-2</v>
      </c>
      <c r="Q16" s="29">
        <v>-0.26860000000000001</v>
      </c>
      <c r="R16" s="29">
        <v>-2.69E-2</v>
      </c>
      <c r="S16" s="29">
        <v>-0.2883</v>
      </c>
      <c r="T16" s="29">
        <v>-2.4500000000000001E-2</v>
      </c>
      <c r="U16" s="29">
        <v>0.1976</v>
      </c>
      <c r="V16" s="29">
        <v>0.12759999999999999</v>
      </c>
      <c r="W16" s="29">
        <v>0.35360000000000003</v>
      </c>
      <c r="X16" s="29">
        <v>0.3513</v>
      </c>
      <c r="Y16" s="29">
        <v>-0.2127</v>
      </c>
      <c r="Z16" s="29">
        <v>0.42809999999999998</v>
      </c>
      <c r="AA16" s="29">
        <v>-0.32200000000000001</v>
      </c>
      <c r="AB16" s="29">
        <v>0.16869999999999999</v>
      </c>
      <c r="AC16" s="29">
        <v>-0.32190000000000002</v>
      </c>
      <c r="AD16" s="29">
        <v>0.106</v>
      </c>
      <c r="AE16" s="29">
        <v>-8.3400000000000002E-2</v>
      </c>
      <c r="AF16" s="29">
        <v>-0.22789999999999999</v>
      </c>
      <c r="AG16" s="29">
        <v>-2.64E-2</v>
      </c>
      <c r="AH16" s="29">
        <v>0.20030000000000001</v>
      </c>
      <c r="AI16" s="29">
        <v>-0.3216</v>
      </c>
      <c r="AJ16" s="29">
        <v>-0.41210000000000002</v>
      </c>
      <c r="AK16" s="29">
        <v>0.28739999999999999</v>
      </c>
      <c r="AL16" s="29">
        <v>-0.34499999999999997</v>
      </c>
      <c r="AM16" s="29">
        <v>-5.28E-2</v>
      </c>
      <c r="AN16" s="29">
        <v>-0.21590000000000001</v>
      </c>
      <c r="AO16" s="29">
        <v>0.55489999999999995</v>
      </c>
      <c r="AP16" s="29" t="e">
        <f t="shared" si="0"/>
        <v>#DIV/0!</v>
      </c>
    </row>
    <row r="17" spans="1:42">
      <c r="A17" s="97" t="e">
        <f>'6'!E15</f>
        <v>#DIV/0!</v>
      </c>
      <c r="B17" s="58">
        <v>0.75570390187327274</v>
      </c>
      <c r="C17" s="58">
        <v>1.6734878738639165</v>
      </c>
      <c r="E17" s="29">
        <v>-0.377</v>
      </c>
      <c r="F17" s="29">
        <v>-0.40500000000000003</v>
      </c>
      <c r="G17" s="29">
        <v>0.25800000000000001</v>
      </c>
      <c r="H17" s="29">
        <v>0.3458</v>
      </c>
      <c r="I17" s="29">
        <v>0.33239999999999997</v>
      </c>
      <c r="J17" s="29">
        <v>0.40039999999999998</v>
      </c>
      <c r="K17" s="29">
        <v>0.18479999999999999</v>
      </c>
      <c r="L17" s="29">
        <v>-0.10630000000000001</v>
      </c>
      <c r="M17" s="29">
        <v>-0.3135</v>
      </c>
      <c r="N17" s="29">
        <v>-0.15010000000000001</v>
      </c>
      <c r="O17" s="29">
        <v>-0.16520000000000001</v>
      </c>
      <c r="P17" s="29">
        <v>-0.16239999999999999</v>
      </c>
      <c r="Q17" s="29">
        <v>0.27260000000000001</v>
      </c>
      <c r="R17" s="29">
        <v>-0.34960000000000002</v>
      </c>
      <c r="S17" s="29">
        <v>0.1343</v>
      </c>
      <c r="T17" s="29">
        <v>0.19969999999999999</v>
      </c>
      <c r="U17" s="29">
        <v>0.1232</v>
      </c>
      <c r="V17" s="29">
        <v>-0.46860000000000002</v>
      </c>
      <c r="W17" s="29">
        <v>-0.14299999999999999</v>
      </c>
      <c r="X17" s="29">
        <v>2.2700000000000001E-2</v>
      </c>
      <c r="Y17" s="29">
        <v>0.32400000000000001</v>
      </c>
      <c r="Z17" s="29">
        <v>-9.0499999999999997E-2</v>
      </c>
      <c r="AA17" s="29">
        <v>0.2384</v>
      </c>
      <c r="AB17" s="29">
        <v>0.3468</v>
      </c>
      <c r="AC17" s="29">
        <v>6.4799999999999996E-2</v>
      </c>
      <c r="AD17" s="29">
        <v>0.248</v>
      </c>
      <c r="AE17" s="29">
        <v>0.1527</v>
      </c>
      <c r="AF17" s="29">
        <v>0.15570000000000001</v>
      </c>
      <c r="AG17" s="29">
        <v>-0.1512</v>
      </c>
      <c r="AH17" s="29">
        <v>-0.107</v>
      </c>
      <c r="AI17" s="29">
        <v>-8.8800000000000004E-2</v>
      </c>
      <c r="AJ17" s="29">
        <v>-0.1203</v>
      </c>
      <c r="AK17" s="29">
        <v>-0.1842</v>
      </c>
      <c r="AL17" s="29">
        <v>-0.34289999999999998</v>
      </c>
      <c r="AM17" s="29">
        <v>0.26750000000000002</v>
      </c>
      <c r="AN17" s="29">
        <v>-0.1024</v>
      </c>
      <c r="AO17" s="29">
        <v>-0.6381</v>
      </c>
      <c r="AP17" s="29" t="e">
        <f t="shared" si="0"/>
        <v>#DIV/0!</v>
      </c>
    </row>
    <row r="18" spans="1:42">
      <c r="A18" s="97" t="e">
        <f>'6'!E16</f>
        <v>#DIV/0!</v>
      </c>
      <c r="B18" s="58">
        <v>-5.1927415791926803</v>
      </c>
      <c r="C18" s="58">
        <v>1.3292806342338506</v>
      </c>
      <c r="E18" s="29">
        <v>0.52969999999999995</v>
      </c>
      <c r="F18" s="29">
        <v>0.44180000000000003</v>
      </c>
      <c r="G18" s="29">
        <v>-0.12839999999999999</v>
      </c>
      <c r="H18" s="29">
        <v>-0.38419999999999999</v>
      </c>
      <c r="I18" s="29">
        <v>2.4500000000000001E-2</v>
      </c>
      <c r="J18" s="29">
        <v>4.2200000000000001E-2</v>
      </c>
      <c r="K18" s="29">
        <v>0.25330000000000003</v>
      </c>
      <c r="L18" s="29">
        <v>0.218</v>
      </c>
      <c r="M18" s="29">
        <v>9.7199999999999995E-2</v>
      </c>
      <c r="N18" s="29">
        <v>-2.3999999999999998E-3</v>
      </c>
      <c r="O18" s="29">
        <v>1.9099999999999999E-2</v>
      </c>
      <c r="P18" s="29">
        <v>-2.5999999999999999E-3</v>
      </c>
      <c r="Q18" s="29">
        <v>-0.18229999999999999</v>
      </c>
      <c r="R18" s="29">
        <v>-0.21840000000000001</v>
      </c>
      <c r="S18" s="29">
        <v>0.43840000000000001</v>
      </c>
      <c r="T18" s="29">
        <v>-0.45479999999999998</v>
      </c>
      <c r="U18" s="29">
        <v>-1.04E-2</v>
      </c>
      <c r="V18" s="29">
        <v>0.1171</v>
      </c>
      <c r="W18" s="29">
        <v>0.45550000000000002</v>
      </c>
      <c r="X18" s="29">
        <v>0.4718</v>
      </c>
      <c r="Y18" s="29">
        <v>0.4466</v>
      </c>
      <c r="Z18" s="29">
        <v>7.9399999999999998E-2</v>
      </c>
      <c r="AA18" s="29">
        <v>-0.182</v>
      </c>
      <c r="AB18" s="29">
        <v>0.23719999999999999</v>
      </c>
      <c r="AC18" s="29">
        <v>3.8600000000000002E-2</v>
      </c>
      <c r="AD18" s="29">
        <v>0.1105</v>
      </c>
      <c r="AE18" s="29">
        <v>-0.16489999999999999</v>
      </c>
      <c r="AF18" s="29">
        <v>0.3926</v>
      </c>
      <c r="AG18" s="29">
        <v>-0.126</v>
      </c>
      <c r="AH18" s="29">
        <v>0.3322</v>
      </c>
      <c r="AI18" s="29">
        <v>-0.33050000000000002</v>
      </c>
      <c r="AJ18" s="29">
        <v>-0.60070000000000001</v>
      </c>
      <c r="AK18" s="29">
        <v>-0.54449999999999998</v>
      </c>
      <c r="AL18" s="29">
        <v>-0.26800000000000002</v>
      </c>
      <c r="AM18" s="29">
        <v>7.4800000000000005E-2</v>
      </c>
      <c r="AN18" s="29">
        <v>0.40150000000000002</v>
      </c>
      <c r="AO18" s="29">
        <v>1.2532000000000001</v>
      </c>
      <c r="AP18" s="29" t="e">
        <f t="shared" si="0"/>
        <v>#DIV/0!</v>
      </c>
    </row>
    <row r="19" spans="1:42">
      <c r="A19" s="97" t="e">
        <f>'6'!E17</f>
        <v>#DIV/0!</v>
      </c>
      <c r="B19" s="58">
        <v>3.252853398568907E-2</v>
      </c>
      <c r="C19" s="58">
        <v>0.3495446645079916</v>
      </c>
      <c r="E19" s="29">
        <v>-0.2382</v>
      </c>
      <c r="F19" s="29">
        <v>0.1585</v>
      </c>
      <c r="G19" s="29">
        <v>-0.1535</v>
      </c>
      <c r="H19" s="29">
        <v>0.4587</v>
      </c>
      <c r="I19" s="29">
        <v>0.21740000000000001</v>
      </c>
      <c r="J19" s="29">
        <v>0.22919999999999999</v>
      </c>
      <c r="K19" s="29">
        <v>-5.74E-2</v>
      </c>
      <c r="L19" s="29">
        <v>0.1067</v>
      </c>
      <c r="M19" s="29">
        <v>-0.51800000000000002</v>
      </c>
      <c r="N19" s="29">
        <v>0.14610000000000001</v>
      </c>
      <c r="O19" s="29">
        <v>0.53400000000000003</v>
      </c>
      <c r="P19" s="29">
        <v>-7.4000000000000003E-3</v>
      </c>
      <c r="Q19" s="29">
        <v>-0.14710000000000001</v>
      </c>
      <c r="R19" s="29">
        <v>-6.4000000000000003E-3</v>
      </c>
      <c r="S19" s="29">
        <v>-0.30759999999999998</v>
      </c>
      <c r="T19" s="29">
        <v>0.433</v>
      </c>
      <c r="U19" s="29">
        <v>0.35589999999999999</v>
      </c>
      <c r="V19" s="29">
        <v>1.6500000000000001E-2</v>
      </c>
      <c r="W19" s="29">
        <v>0.2424</v>
      </c>
      <c r="X19" s="29">
        <v>0.156</v>
      </c>
      <c r="Y19" s="29">
        <v>0.31440000000000001</v>
      </c>
      <c r="Z19" s="29">
        <v>-0.24399999999999999</v>
      </c>
      <c r="AA19" s="29">
        <v>0.27510000000000001</v>
      </c>
      <c r="AB19" s="29">
        <v>-0.27979999999999999</v>
      </c>
      <c r="AC19" s="29">
        <v>0.16789999999999999</v>
      </c>
      <c r="AD19" s="29">
        <v>0.27800000000000002</v>
      </c>
      <c r="AE19" s="29">
        <v>3.56E-2</v>
      </c>
      <c r="AF19" s="29">
        <v>-0.2445</v>
      </c>
      <c r="AG19" s="29">
        <v>0.2387</v>
      </c>
      <c r="AH19" s="29">
        <v>-0.39050000000000001</v>
      </c>
      <c r="AI19" s="29">
        <v>-0.54400000000000004</v>
      </c>
      <c r="AJ19" s="29">
        <v>-0.4627</v>
      </c>
      <c r="AK19" s="29">
        <v>0.20899999999999999</v>
      </c>
      <c r="AL19" s="29">
        <v>-0.28639999999999999</v>
      </c>
      <c r="AM19" s="29">
        <v>-2.4899999999999999E-2</v>
      </c>
      <c r="AN19" s="29">
        <v>-0.46989999999999998</v>
      </c>
      <c r="AO19" s="29">
        <v>-0.69269999999999998</v>
      </c>
      <c r="AP19" s="29" t="e">
        <f t="shared" si="0"/>
        <v>#DIV/0!</v>
      </c>
    </row>
    <row r="20" spans="1:42">
      <c r="A20" s="97" t="e">
        <f>'6'!E18</f>
        <v>#DIV/0!</v>
      </c>
      <c r="B20" s="58">
        <v>2.2012049576506244E-2</v>
      </c>
      <c r="C20" s="58">
        <v>0.33011949114910466</v>
      </c>
      <c r="E20" s="29">
        <v>0.27800000000000002</v>
      </c>
      <c r="F20" s="29">
        <v>0.32719999999999999</v>
      </c>
      <c r="G20" s="29">
        <v>6.5000000000000002E-2</v>
      </c>
      <c r="H20" s="29">
        <v>-5.5100000000000003E-2</v>
      </c>
      <c r="I20" s="29">
        <v>6.4100000000000004E-2</v>
      </c>
      <c r="J20" s="29">
        <v>-9.6799999999999997E-2</v>
      </c>
      <c r="K20" s="29">
        <v>0.28689999999999999</v>
      </c>
      <c r="L20" s="29">
        <v>-0.214</v>
      </c>
      <c r="M20" s="29">
        <v>-0.36370000000000002</v>
      </c>
      <c r="N20" s="29">
        <v>5.5399999999999998E-2</v>
      </c>
      <c r="O20" s="29">
        <v>-0.27339999999999998</v>
      </c>
      <c r="P20" s="29">
        <v>0.1709</v>
      </c>
      <c r="Q20" s="29">
        <v>0.20649999999999999</v>
      </c>
      <c r="R20" s="29">
        <v>-6.5699999999999995E-2</v>
      </c>
      <c r="S20" s="29">
        <v>-0.41470000000000001</v>
      </c>
      <c r="T20" s="29">
        <v>0.34949999999999998</v>
      </c>
      <c r="U20" s="29">
        <v>0.44950000000000001</v>
      </c>
      <c r="V20" s="29">
        <v>-3.5799999999999998E-2</v>
      </c>
      <c r="W20" s="29">
        <v>-0.28239999999999998</v>
      </c>
      <c r="X20" s="29">
        <v>-0.26850000000000002</v>
      </c>
      <c r="Y20" s="29">
        <v>0.214</v>
      </c>
      <c r="Z20" s="29">
        <v>-0.22059999999999999</v>
      </c>
      <c r="AA20" s="29">
        <v>-0.2369</v>
      </c>
      <c r="AB20" s="29">
        <v>0.1235</v>
      </c>
      <c r="AC20" s="29">
        <v>0.37609999999999999</v>
      </c>
      <c r="AD20" s="29">
        <v>0.2535</v>
      </c>
      <c r="AE20" s="29">
        <v>0.1143</v>
      </c>
      <c r="AF20" s="29">
        <v>-0.25800000000000001</v>
      </c>
      <c r="AG20" s="29">
        <v>-0.45669999999999999</v>
      </c>
      <c r="AH20" s="29">
        <v>-0.29959999999999998</v>
      </c>
      <c r="AI20" s="29">
        <v>-4.2500000000000003E-2</v>
      </c>
      <c r="AJ20" s="29">
        <v>-4.02E-2</v>
      </c>
      <c r="AK20" s="29">
        <v>0.46689999999999998</v>
      </c>
      <c r="AL20" s="29">
        <v>0.21190000000000001</v>
      </c>
      <c r="AM20" s="29">
        <v>0.2152</v>
      </c>
      <c r="AN20" s="29">
        <v>0.1404</v>
      </c>
      <c r="AO20" s="29">
        <v>1.0036</v>
      </c>
      <c r="AP20" s="29" t="e">
        <f t="shared" si="0"/>
        <v>#DIV/0!</v>
      </c>
    </row>
    <row r="21" spans="1:42">
      <c r="A21" s="97">
        <f>'6'!E19</f>
        <v>0</v>
      </c>
      <c r="B21" s="58">
        <v>7.8165182385849796E-2</v>
      </c>
      <c r="C21" s="58">
        <v>1.4600989328665364</v>
      </c>
      <c r="E21" s="29">
        <v>-0.47520000000000001</v>
      </c>
      <c r="F21" s="29">
        <v>-0.26840000000000003</v>
      </c>
      <c r="G21" s="29">
        <v>-0.33550000000000002</v>
      </c>
      <c r="H21" s="29">
        <v>4.5900000000000003E-2</v>
      </c>
      <c r="I21" s="29">
        <v>0.33339999999999997</v>
      </c>
      <c r="J21" s="29">
        <v>0.23200000000000001</v>
      </c>
      <c r="K21" s="29">
        <v>-0.29649999999999999</v>
      </c>
      <c r="L21" s="29">
        <v>-0.44579999999999997</v>
      </c>
      <c r="M21" s="29">
        <v>-0.39100000000000001</v>
      </c>
      <c r="N21" s="29">
        <v>-0.50039999999999996</v>
      </c>
      <c r="O21" s="29">
        <v>-0.21820000000000001</v>
      </c>
      <c r="P21" s="29">
        <v>5.0700000000000002E-2</v>
      </c>
      <c r="Q21" s="29">
        <v>-0.1016</v>
      </c>
      <c r="R21" s="29">
        <v>-0.13719999999999999</v>
      </c>
      <c r="S21" s="29">
        <v>-0.30209999999999998</v>
      </c>
      <c r="T21" s="29">
        <v>-0.28410000000000002</v>
      </c>
      <c r="U21" s="29">
        <v>0.57920000000000005</v>
      </c>
      <c r="V21" s="29">
        <v>-0.32729999999999998</v>
      </c>
      <c r="W21" s="29">
        <v>1.2800000000000001E-2</v>
      </c>
      <c r="X21" s="29">
        <v>-0.39860000000000001</v>
      </c>
      <c r="Y21" s="29">
        <v>-0.37180000000000002</v>
      </c>
      <c r="Z21" s="29">
        <v>-0.21360000000000001</v>
      </c>
      <c r="AA21" s="29">
        <v>8.0399999999999999E-2</v>
      </c>
      <c r="AB21" s="29">
        <v>-0.17369999999999999</v>
      </c>
      <c r="AC21" s="29">
        <v>1.8499999999999999E-2</v>
      </c>
      <c r="AD21" s="29">
        <v>-5.8799999999999998E-2</v>
      </c>
      <c r="AE21" s="29">
        <v>0.4627</v>
      </c>
      <c r="AF21" s="29">
        <v>4.6100000000000002E-2</v>
      </c>
      <c r="AG21" s="29">
        <v>-0.38100000000000001</v>
      </c>
      <c r="AH21" s="29">
        <v>0.37790000000000001</v>
      </c>
      <c r="AI21" s="29">
        <v>-0.15049999999999999</v>
      </c>
      <c r="AJ21" s="29">
        <v>0.47249999999999998</v>
      </c>
      <c r="AK21" s="29">
        <v>0.56520000000000004</v>
      </c>
      <c r="AL21" s="29">
        <v>-0.1036</v>
      </c>
      <c r="AM21" s="29">
        <v>-0.11509999999999999</v>
      </c>
      <c r="AN21" s="29">
        <v>0.50960000000000005</v>
      </c>
      <c r="AO21" s="29">
        <v>-1.5397000000000001</v>
      </c>
      <c r="AP21" s="29" t="e">
        <f t="shared" si="0"/>
        <v>#DIV/0!</v>
      </c>
    </row>
    <row r="22" spans="1:42">
      <c r="A22" s="97" t="e">
        <f>'6'!E20</f>
        <v>#DIV/0!</v>
      </c>
      <c r="B22" s="58">
        <v>0.30798777863084614</v>
      </c>
      <c r="C22" s="58">
        <v>8.7126235518591777</v>
      </c>
      <c r="E22" s="29">
        <v>5.1499999999999997E-2</v>
      </c>
      <c r="F22" s="29">
        <v>-2.6700000000000002E-2</v>
      </c>
      <c r="G22" s="29">
        <v>-0.33119999999999999</v>
      </c>
      <c r="H22" s="29">
        <v>-0.20300000000000001</v>
      </c>
      <c r="I22" s="29">
        <v>4.1000000000000003E-3</v>
      </c>
      <c r="J22" s="29">
        <v>6.9199999999999998E-2</v>
      </c>
      <c r="K22" s="29">
        <v>-0.2208</v>
      </c>
      <c r="L22" s="29">
        <v>0.33660000000000001</v>
      </c>
      <c r="M22" s="29">
        <v>0.26850000000000002</v>
      </c>
      <c r="N22" s="29">
        <v>0.14499999999999999</v>
      </c>
      <c r="O22" s="29">
        <v>0.24299999999999999</v>
      </c>
      <c r="P22" s="29">
        <v>-0.21249999999999999</v>
      </c>
      <c r="Q22" s="29">
        <v>-0.22620000000000001</v>
      </c>
      <c r="R22" s="29">
        <v>2.6599999999999999E-2</v>
      </c>
      <c r="S22" s="29">
        <v>3.4599999999999999E-2</v>
      </c>
      <c r="T22" s="29">
        <v>-4.3999999999999997E-2</v>
      </c>
      <c r="U22" s="29">
        <v>0.36430000000000001</v>
      </c>
      <c r="V22" s="29">
        <v>-0.25919999999999999</v>
      </c>
      <c r="W22" s="29">
        <v>1.7899999999999999E-2</v>
      </c>
      <c r="X22" s="29">
        <v>0.23930000000000001</v>
      </c>
      <c r="Y22" s="29">
        <v>-7.7999999999999996E-3</v>
      </c>
      <c r="Z22" s="29">
        <v>-0.25480000000000003</v>
      </c>
      <c r="AA22" s="29">
        <v>0.32400000000000001</v>
      </c>
      <c r="AB22" s="29">
        <v>-0.25469999999999998</v>
      </c>
      <c r="AC22" s="29">
        <v>0.37509999999999999</v>
      </c>
      <c r="AD22" s="29">
        <v>0.34189999999999998</v>
      </c>
      <c r="AE22" s="29">
        <v>0.23200000000000001</v>
      </c>
      <c r="AF22" s="29">
        <v>0.498</v>
      </c>
      <c r="AG22" s="29">
        <v>-0.36320000000000002</v>
      </c>
      <c r="AH22" s="29">
        <v>0.2152</v>
      </c>
      <c r="AI22" s="29">
        <v>-0.45860000000000001</v>
      </c>
      <c r="AJ22" s="29">
        <v>-0.21829999999999999</v>
      </c>
      <c r="AK22" s="29">
        <v>-0.2757</v>
      </c>
      <c r="AL22" s="29">
        <v>6.2899999999999998E-2</v>
      </c>
      <c r="AM22" s="29">
        <v>-0.40920000000000001</v>
      </c>
      <c r="AN22" s="29">
        <v>-0.2858</v>
      </c>
      <c r="AO22" s="29">
        <v>1.4194</v>
      </c>
      <c r="AP22" s="29" t="e">
        <f t="shared" si="0"/>
        <v>#DIV/0!</v>
      </c>
    </row>
    <row r="23" spans="1:42">
      <c r="A23" s="97" t="e">
        <f>'6'!E21</f>
        <v>#DIV/0!</v>
      </c>
      <c r="B23" s="58">
        <v>0.21298340403685362</v>
      </c>
      <c r="C23" s="58">
        <v>13.638777609995483</v>
      </c>
      <c r="E23" s="29">
        <v>0.36930000000000002</v>
      </c>
      <c r="F23" s="29">
        <v>-0.23119999999999999</v>
      </c>
      <c r="G23" s="29">
        <v>0.2964</v>
      </c>
      <c r="H23" s="29">
        <v>-0.38219999999999998</v>
      </c>
      <c r="I23" s="29">
        <v>0.33660000000000001</v>
      </c>
      <c r="J23" s="29">
        <v>-0.24329999999999999</v>
      </c>
      <c r="K23" s="29">
        <v>-0.16020000000000001</v>
      </c>
      <c r="L23" s="29">
        <v>-2.3E-3</v>
      </c>
      <c r="M23" s="29">
        <v>-0.33489999999999998</v>
      </c>
      <c r="N23" s="29">
        <v>-0.14069999999999999</v>
      </c>
      <c r="O23" s="29">
        <v>-6.3600000000000004E-2</v>
      </c>
      <c r="P23" s="29">
        <v>-0.17030000000000001</v>
      </c>
      <c r="Q23" s="29">
        <v>-0.16930000000000001</v>
      </c>
      <c r="R23" s="29">
        <v>0.161</v>
      </c>
      <c r="S23" s="29">
        <v>-0.18720000000000001</v>
      </c>
      <c r="T23" s="29">
        <v>8.3099999999999993E-2</v>
      </c>
      <c r="U23" s="29">
        <v>0.3024</v>
      </c>
      <c r="V23" s="29">
        <v>-0.2014</v>
      </c>
      <c r="W23" s="29">
        <v>0.34429999999999999</v>
      </c>
      <c r="X23" s="29">
        <v>-0.23599999999999999</v>
      </c>
      <c r="Y23" s="29">
        <v>0.44309999999999999</v>
      </c>
      <c r="Z23" s="29">
        <v>6.6199999999999995E-2</v>
      </c>
      <c r="AA23" s="29">
        <v>0.1356</v>
      </c>
      <c r="AB23" s="29">
        <v>0.20630000000000001</v>
      </c>
      <c r="AC23" s="29">
        <v>0.40579999999999999</v>
      </c>
      <c r="AD23" s="29">
        <v>0.43740000000000001</v>
      </c>
      <c r="AE23" s="29">
        <v>0.58489999999999998</v>
      </c>
      <c r="AF23" s="29">
        <v>0.41539999999999999</v>
      </c>
      <c r="AG23" s="29">
        <v>0.26250000000000001</v>
      </c>
      <c r="AH23" s="29">
        <v>-0.24940000000000001</v>
      </c>
      <c r="AI23" s="29">
        <v>-0.36659999999999998</v>
      </c>
      <c r="AJ23" s="29">
        <v>0.20880000000000001</v>
      </c>
      <c r="AK23" s="29">
        <v>0.1686</v>
      </c>
      <c r="AL23" s="29">
        <v>0.16550000000000001</v>
      </c>
      <c r="AM23" s="29">
        <v>0.27560000000000001</v>
      </c>
      <c r="AN23" s="29">
        <v>0.34970000000000001</v>
      </c>
      <c r="AO23" s="29">
        <v>1.6537999999999999</v>
      </c>
      <c r="AP23" s="29" t="e">
        <f t="shared" si="0"/>
        <v>#DIV/0!</v>
      </c>
    </row>
    <row r="24" spans="1:42">
      <c r="A24" s="97">
        <f>'6'!E22</f>
        <v>0</v>
      </c>
      <c r="B24" s="58">
        <v>0.6395058170181056</v>
      </c>
      <c r="C24" s="58">
        <v>38.744900342812151</v>
      </c>
    </row>
    <row r="25" spans="1:42">
      <c r="A25" s="97" t="e">
        <f>'6'!E23</f>
        <v>#DIV/0!</v>
      </c>
      <c r="B25" s="58">
        <v>0.28789125950435729</v>
      </c>
      <c r="C25" s="58">
        <v>8.1924058623910483</v>
      </c>
    </row>
    <row r="26" spans="1:42">
      <c r="A26" s="97" t="e">
        <f>'6'!E24</f>
        <v>#DIV/0!</v>
      </c>
      <c r="B26" s="58">
        <v>0.13614273307784375</v>
      </c>
      <c r="C26" s="58">
        <v>14.903193974320441</v>
      </c>
    </row>
    <row r="27" spans="1:42">
      <c r="A27" s="97">
        <f>'6'!E25</f>
        <v>0</v>
      </c>
      <c r="B27" s="58">
        <v>0.40672842525156372</v>
      </c>
      <c r="C27" s="58">
        <v>40.573172920018756</v>
      </c>
    </row>
    <row r="28" spans="1:42">
      <c r="A28" s="97">
        <f>'6'!E26</f>
        <v>1</v>
      </c>
      <c r="B28" s="58">
        <v>1</v>
      </c>
      <c r="C28" s="58">
        <v>4</v>
      </c>
    </row>
    <row r="29" spans="1:42">
      <c r="A29" s="97" t="e">
        <f>'6'!E27</f>
        <v>#DIV/0!</v>
      </c>
      <c r="B29" s="58">
        <v>0.90606407849226511</v>
      </c>
      <c r="C29" s="58">
        <v>1.5385006494432165</v>
      </c>
    </row>
    <row r="30" spans="1:42">
      <c r="A30" s="97">
        <f>'6'!E28</f>
        <v>1</v>
      </c>
      <c r="B30" s="58">
        <v>1</v>
      </c>
      <c r="C30" s="58">
        <v>4</v>
      </c>
    </row>
    <row r="31" spans="1:42">
      <c r="A31" s="97" t="e">
        <f>'6'!E29</f>
        <v>#DIV/0!</v>
      </c>
      <c r="B31" s="58">
        <v>0.98483778158790369</v>
      </c>
      <c r="C31" s="58">
        <v>1.5639426450034666</v>
      </c>
    </row>
    <row r="32" spans="1:42">
      <c r="A32" s="97" t="e">
        <f>'6'!E30</f>
        <v>#DIV/0!</v>
      </c>
      <c r="B32" s="58">
        <v>0</v>
      </c>
      <c r="C32" s="58">
        <v>0.5714285714285714</v>
      </c>
    </row>
    <row r="33" spans="1:3">
      <c r="A33" s="97" t="e">
        <f>'6'!E31</f>
        <v>#DIV/0!</v>
      </c>
      <c r="B33" s="58">
        <v>0</v>
      </c>
      <c r="C33" s="58">
        <v>0.625</v>
      </c>
    </row>
    <row r="34" spans="1:3">
      <c r="A34" s="97" t="e">
        <f>'6'!E32</f>
        <v>#DIV/0!</v>
      </c>
      <c r="B34" s="58">
        <v>0</v>
      </c>
      <c r="C34" s="58">
        <v>0.75</v>
      </c>
    </row>
    <row r="35" spans="1:3">
      <c r="A35" s="97" t="e">
        <f>'6'!E33</f>
        <v>#DIV/0!</v>
      </c>
      <c r="B35" s="58">
        <v>0</v>
      </c>
      <c r="C35" s="58">
        <v>0.8</v>
      </c>
    </row>
    <row r="36" spans="1:3">
      <c r="A36" s="97" t="e">
        <f>'6'!E34</f>
        <v>#DIV/0!</v>
      </c>
      <c r="B36" s="58">
        <v>0</v>
      </c>
      <c r="C36" s="58">
        <v>0.83333333333333337</v>
      </c>
    </row>
    <row r="37" spans="1:3">
      <c r="A37" s="97" t="e">
        <f>'6'!E35</f>
        <v>#DIV/0!</v>
      </c>
      <c r="B37" s="58">
        <v>0</v>
      </c>
      <c r="C37" s="58">
        <v>0.76923076923076927</v>
      </c>
    </row>
    <row r="38" spans="1:3">
      <c r="A38" s="97" t="e">
        <f>'6'!E36</f>
        <v>#DIV/0!</v>
      </c>
      <c r="B38" s="58">
        <v>0</v>
      </c>
      <c r="C38" s="58">
        <v>0.72727272727272729</v>
      </c>
    </row>
    <row r="39" spans="1:3">
      <c r="A39" s="97" t="e">
        <f>'6'!E37</f>
        <v>#DIV/0!</v>
      </c>
      <c r="B39" s="58">
        <v>0</v>
      </c>
      <c r="C39" s="58">
        <v>0.83333333333333337</v>
      </c>
    </row>
  </sheetData>
  <sheetProtection password="EA63" sheet="1" objects="1" scenarios="1" selectLockedCells="1" selectUnlockedCell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DD75"/>
  <sheetViews>
    <sheetView workbookViewId="0"/>
  </sheetViews>
  <sheetFormatPr defaultColWidth="11.42578125" defaultRowHeight="15"/>
  <cols>
    <col min="1" max="4" width="11.42578125" style="58"/>
    <col min="5" max="76" width="2.7109375" style="29" customWidth="1"/>
    <col min="77" max="16384" width="11.42578125" style="29"/>
  </cols>
  <sheetData>
    <row r="1" spans="1:108">
      <c r="A1" s="108" t="e">
        <f>DD4</f>
        <v>#DIV/0!</v>
      </c>
    </row>
    <row r="2" spans="1:108">
      <c r="A2" s="108" t="e">
        <f>DD5</f>
        <v>#DIV/0!</v>
      </c>
      <c r="E2" s="60">
        <v>1</v>
      </c>
      <c r="F2" s="60">
        <v>2</v>
      </c>
      <c r="G2" s="60">
        <v>3</v>
      </c>
      <c r="H2" s="60">
        <v>4</v>
      </c>
      <c r="I2" s="60">
        <v>5</v>
      </c>
      <c r="J2" s="60">
        <v>6</v>
      </c>
      <c r="K2" s="60">
        <v>7</v>
      </c>
      <c r="L2" s="60">
        <v>8</v>
      </c>
      <c r="M2" s="60">
        <v>9</v>
      </c>
      <c r="N2" s="60">
        <v>10</v>
      </c>
      <c r="O2" s="60">
        <v>11</v>
      </c>
      <c r="P2" s="60">
        <v>12</v>
      </c>
      <c r="Q2" s="60">
        <v>13</v>
      </c>
      <c r="R2" s="60">
        <v>14</v>
      </c>
      <c r="S2" s="60">
        <v>15</v>
      </c>
      <c r="T2" s="60">
        <v>16</v>
      </c>
      <c r="U2" s="60">
        <v>17</v>
      </c>
      <c r="V2" s="60">
        <v>18</v>
      </c>
      <c r="W2" s="60">
        <v>19</v>
      </c>
      <c r="X2" s="60">
        <v>20</v>
      </c>
      <c r="Y2" s="60">
        <v>21</v>
      </c>
      <c r="Z2" s="60">
        <v>22</v>
      </c>
      <c r="AA2" s="60">
        <v>23</v>
      </c>
      <c r="AB2" s="60">
        <v>24</v>
      </c>
      <c r="AC2" s="60">
        <v>25</v>
      </c>
      <c r="AD2" s="60">
        <v>26</v>
      </c>
      <c r="AE2" s="60">
        <v>27</v>
      </c>
      <c r="AF2" s="60">
        <v>28</v>
      </c>
      <c r="AG2" s="60">
        <v>29</v>
      </c>
      <c r="AH2" s="60">
        <v>30</v>
      </c>
      <c r="AI2" s="60">
        <v>31</v>
      </c>
      <c r="AJ2" s="60">
        <v>32</v>
      </c>
      <c r="AK2" s="60">
        <v>33</v>
      </c>
      <c r="AL2" s="60">
        <v>34</v>
      </c>
      <c r="AM2" s="60">
        <v>35</v>
      </c>
      <c r="AN2" s="60">
        <v>36</v>
      </c>
      <c r="AO2" s="60">
        <v>37</v>
      </c>
      <c r="AP2" s="60">
        <v>38</v>
      </c>
      <c r="AQ2" s="60">
        <v>39</v>
      </c>
      <c r="AR2" s="60">
        <v>40</v>
      </c>
      <c r="AS2" s="60">
        <v>41</v>
      </c>
      <c r="AT2" s="60">
        <v>42</v>
      </c>
      <c r="AU2" s="60">
        <v>43</v>
      </c>
      <c r="AV2" s="60">
        <v>44</v>
      </c>
      <c r="AW2" s="60">
        <v>45</v>
      </c>
      <c r="AX2" s="60">
        <v>46</v>
      </c>
      <c r="AY2" s="60">
        <v>47</v>
      </c>
      <c r="AZ2" s="60">
        <v>48</v>
      </c>
      <c r="BA2" s="60">
        <v>49</v>
      </c>
      <c r="BB2" s="60">
        <v>50</v>
      </c>
      <c r="BC2" s="60">
        <v>51</v>
      </c>
      <c r="BD2" s="60">
        <v>52</v>
      </c>
      <c r="BE2" s="60">
        <v>53</v>
      </c>
      <c r="BF2" s="60">
        <v>54</v>
      </c>
      <c r="BG2" s="60">
        <v>55</v>
      </c>
      <c r="BH2" s="60">
        <v>56</v>
      </c>
      <c r="BI2" s="60">
        <v>57</v>
      </c>
      <c r="BJ2" s="60">
        <v>58</v>
      </c>
      <c r="BK2" s="60">
        <v>59</v>
      </c>
      <c r="BL2" s="60">
        <v>60</v>
      </c>
      <c r="BM2" s="60">
        <v>61</v>
      </c>
      <c r="BN2" s="60">
        <v>62</v>
      </c>
      <c r="BO2" s="60">
        <v>63</v>
      </c>
      <c r="BP2" s="60">
        <v>64</v>
      </c>
      <c r="BQ2" s="60">
        <v>65</v>
      </c>
      <c r="BR2" s="60">
        <v>66</v>
      </c>
      <c r="BS2" s="60">
        <v>67</v>
      </c>
      <c r="BT2" s="60">
        <v>68</v>
      </c>
      <c r="BU2" s="60">
        <v>69</v>
      </c>
      <c r="BV2" s="60">
        <v>70</v>
      </c>
      <c r="BW2" s="60">
        <v>71</v>
      </c>
      <c r="BX2" s="60">
        <v>72</v>
      </c>
      <c r="BY2" s="60" t="s">
        <v>18</v>
      </c>
      <c r="CG2" s="60">
        <v>1</v>
      </c>
      <c r="CH2" s="60">
        <v>2</v>
      </c>
      <c r="CI2" s="60">
        <v>3</v>
      </c>
      <c r="CJ2" s="60">
        <v>4</v>
      </c>
      <c r="CK2" s="60">
        <v>5</v>
      </c>
      <c r="CL2" s="60">
        <v>6</v>
      </c>
      <c r="CM2" s="60">
        <v>7</v>
      </c>
      <c r="CN2" s="60">
        <v>8</v>
      </c>
      <c r="CO2" s="60">
        <v>9</v>
      </c>
      <c r="CP2" s="60">
        <v>10</v>
      </c>
      <c r="CQ2" s="60">
        <v>11</v>
      </c>
      <c r="CR2" s="60">
        <v>12</v>
      </c>
      <c r="CS2" s="60">
        <v>13</v>
      </c>
      <c r="CT2" s="60">
        <v>14</v>
      </c>
      <c r="CU2" s="60">
        <v>15</v>
      </c>
      <c r="CV2" s="60">
        <v>16</v>
      </c>
      <c r="CW2" s="60">
        <v>17</v>
      </c>
      <c r="CX2" s="60">
        <v>18</v>
      </c>
      <c r="CY2" s="60">
        <v>19</v>
      </c>
      <c r="CZ2" s="60">
        <v>20</v>
      </c>
      <c r="DA2" s="60" t="s">
        <v>18</v>
      </c>
    </row>
    <row r="3" spans="1:108">
      <c r="B3" s="60"/>
      <c r="C3" s="60"/>
      <c r="D3" s="60" t="s">
        <v>8</v>
      </c>
      <c r="E3" s="58" t="e">
        <f>2*(A4-B4)/(C4-B4)-1</f>
        <v>#DIV/0!</v>
      </c>
      <c r="F3" s="58" t="e">
        <f>2*(A5-B5)/(C5-B5)-1</f>
        <v>#DIV/0!</v>
      </c>
      <c r="G3" s="58">
        <f>2*(A6-B6)/(C6-B6)-1</f>
        <v>-1.0760226694547608</v>
      </c>
      <c r="H3" s="58" t="e">
        <f>2*(A7-B7)/(C7-B7)-1</f>
        <v>#DIV/0!</v>
      </c>
      <c r="I3" s="58" t="e">
        <f>2*(A8-B8)/(C8-B8)-1</f>
        <v>#DIV/0!</v>
      </c>
      <c r="J3" s="58" t="e">
        <f>2*(A9-B9)/(C9-B9)-1</f>
        <v>#DIV/0!</v>
      </c>
      <c r="K3" s="58" t="e">
        <f>2*(A10-B10)/(C10-B10)-1</f>
        <v>#DIV/0!</v>
      </c>
      <c r="L3" s="58" t="e">
        <f>2*(A11-B11)/(C11-B11)-1</f>
        <v>#DIV/0!</v>
      </c>
      <c r="M3" s="58">
        <f>2*(A12-B12)/(C12-B12)-1</f>
        <v>-1.0424053195901015</v>
      </c>
      <c r="N3" s="58" t="e">
        <f>2*(A13-B13)/(C13-B13)-1</f>
        <v>#DIV/0!</v>
      </c>
      <c r="O3" s="58" t="e">
        <f>2*(A14-B14)/(C14-B14)-1</f>
        <v>#DIV/0!</v>
      </c>
      <c r="P3" s="58">
        <f>2*(A15-B15)/(C15-B15)-1</f>
        <v>-1.2092466703662625</v>
      </c>
      <c r="Q3" s="58" t="e">
        <f>2*(A16-B16)/(C16-B16)-1</f>
        <v>#DIV/0!</v>
      </c>
      <c r="R3" s="58" t="e">
        <f>2*(A17-B17)/(C17-B17)-1</f>
        <v>#DIV/0!</v>
      </c>
      <c r="S3" s="58" t="e">
        <f>2*(A18-B18)/(C18-B18)-1</f>
        <v>#DIV/0!</v>
      </c>
      <c r="T3" s="58" t="e">
        <f>2*(A19-B19)/(C19-B19)-1</f>
        <v>#DIV/0!</v>
      </c>
      <c r="U3" s="58" t="e">
        <f>2*(A20-B20)/(C20-B20)-1</f>
        <v>#DIV/0!</v>
      </c>
      <c r="V3" s="58">
        <f>2*(A21-B21)/(C21-B21)-1</f>
        <v>-1.0695771794338265</v>
      </c>
      <c r="W3" s="58" t="e">
        <f>2*(A22-B22)/(C22-B22)-1</f>
        <v>#DIV/0!</v>
      </c>
      <c r="X3" s="58" t="e">
        <f>2*(A23-B23)/(C23-B23)-1</f>
        <v>#DIV/0!</v>
      </c>
      <c r="Y3" s="58">
        <f>2*(A24-B24)/(C24-B24)-1</f>
        <v>-1.0339096617704735</v>
      </c>
      <c r="Z3" s="58" t="e">
        <f>2*(A25-B25)/(C25-B25)-1</f>
        <v>#DIV/0!</v>
      </c>
      <c r="AA3" s="58" t="e">
        <f>2*(A26-B26)/(C26-B26)-1</f>
        <v>#DIV/0!</v>
      </c>
      <c r="AB3" s="58">
        <f>2*(A27-B27)/(C27-B27)-1</f>
        <v>-1.0264630192186366</v>
      </c>
      <c r="AC3" s="58">
        <f>2*(A28-B28)/(C28-B28)-1</f>
        <v>-1</v>
      </c>
      <c r="AD3" s="58" t="e">
        <f>2*(A29-B29)/(C29-B29)-1</f>
        <v>#DIV/0!</v>
      </c>
      <c r="AE3" s="58">
        <f>2*(A30-B30)/(C30-B30)-1</f>
        <v>-1</v>
      </c>
      <c r="AF3" s="58" t="e">
        <f>2*(A31-B31)/(C31-B31)-1</f>
        <v>#DIV/0!</v>
      </c>
      <c r="AG3" s="58" t="e">
        <f>2*(A32-B32)/(C32-B32)-1</f>
        <v>#DIV/0!</v>
      </c>
      <c r="AH3" s="58" t="e">
        <f>2*(A33-B33)/(C33-B33)-1</f>
        <v>#DIV/0!</v>
      </c>
      <c r="AI3" s="58" t="e">
        <f>2*(A34-B34)/(C34-B34)-1</f>
        <v>#DIV/0!</v>
      </c>
      <c r="AJ3" s="58" t="e">
        <f>2*(A35-B35)/(C35-B35)-1</f>
        <v>#DIV/0!</v>
      </c>
      <c r="AK3" s="58" t="e">
        <f>2*(A36-B36)/(C36-B36)-1</f>
        <v>#DIV/0!</v>
      </c>
      <c r="AL3" s="58" t="e">
        <f>2*(A37-B37)/(C37-B37)-1</f>
        <v>#DIV/0!</v>
      </c>
      <c r="AM3" s="58" t="e">
        <f>2*(A38-B38)/(C38-B38)-1</f>
        <v>#DIV/0!</v>
      </c>
      <c r="AN3" s="58" t="e">
        <f>2*(A39-B39)/(C39-B39)-1</f>
        <v>#DIV/0!</v>
      </c>
      <c r="AO3" s="58" t="e">
        <f>2*(A40-B40)/(C40-B40)-1</f>
        <v>#DIV/0!</v>
      </c>
      <c r="AP3" s="58" t="e">
        <f>2*(A41-B41)/(C41-B41)-1</f>
        <v>#DIV/0!</v>
      </c>
      <c r="AQ3" s="58">
        <f>2*(A42-B42)/(C42-B42)-1</f>
        <v>-1.0574004100254524</v>
      </c>
      <c r="AR3" s="58" t="e">
        <f>2*(A43-B43)/(C43-B43)-1</f>
        <v>#DIV/0!</v>
      </c>
      <c r="AS3" s="58" t="e">
        <f>2*(A44-B44)/(C44-B44)-1</f>
        <v>#DIV/0!</v>
      </c>
      <c r="AT3" s="58" t="e">
        <f>2*(A45-B45)/(C45-B45)-1</f>
        <v>#DIV/0!</v>
      </c>
      <c r="AU3" s="58" t="e">
        <f>2*(A46-B46)/(C46-B46)-1</f>
        <v>#DIV/0!</v>
      </c>
      <c r="AV3" s="58" t="e">
        <f>2*(A47-B47)/(C47-B47)-1</f>
        <v>#DIV/0!</v>
      </c>
      <c r="AW3" s="58">
        <f>2*(A48-B48)/(C48-B48)-1</f>
        <v>-1.0468638784954638</v>
      </c>
      <c r="AX3" s="58" t="e">
        <f>2*(A49-B49)/(C49-B49)-1</f>
        <v>#DIV/0!</v>
      </c>
      <c r="AY3" s="58" t="e">
        <f>2*(A50-B50)/(C50-B50)-1</f>
        <v>#DIV/0!</v>
      </c>
      <c r="AZ3" s="58">
        <f>2*(A51-B51)/(C51-B51)-1</f>
        <v>-1.1516415082104288</v>
      </c>
      <c r="BA3" s="58" t="e">
        <f>2*(A52-B52)/(C52-B52)-1</f>
        <v>#DIV/0!</v>
      </c>
      <c r="BB3" s="58" t="e">
        <f>2*(A53-B53)/(C53-B53)-1</f>
        <v>#DIV/0!</v>
      </c>
      <c r="BC3" s="58" t="e">
        <f>2*(A54-B54)/(C54-B54)-1</f>
        <v>#DIV/0!</v>
      </c>
      <c r="BD3" s="58" t="e">
        <f>2*(A55-B55)/(C55-B55)-1</f>
        <v>#DIV/0!</v>
      </c>
      <c r="BE3" s="58" t="e">
        <f>2*(A56-B56)/(C56-B56)-1</f>
        <v>#DIV/0!</v>
      </c>
      <c r="BF3" s="58">
        <f>2*(A57-B57)/(C57-B57)-1</f>
        <v>-1.1131243554311647</v>
      </c>
      <c r="BG3" s="58" t="e">
        <f>2*(A58-B58)/(C58-B58)-1</f>
        <v>#DIV/0!</v>
      </c>
      <c r="BH3" s="58" t="e">
        <f>2*(A59-B59)/(C59-B59)-1</f>
        <v>#DIV/0!</v>
      </c>
      <c r="BI3" s="58">
        <f>2*(A60-B60)/(C60-B60)-1</f>
        <v>-1.0335651067244673</v>
      </c>
      <c r="BJ3" s="58" t="e">
        <f>2*(A61-B61)/(C61-B61)-1</f>
        <v>#DIV/0!</v>
      </c>
      <c r="BK3" s="58" t="e">
        <f>2*(A62-B62)/(C62-B62)-1</f>
        <v>#DIV/0!</v>
      </c>
      <c r="BL3" s="58">
        <f>2*(A63-B63)/(C63-B63)-1</f>
        <v>-1.020252149791578</v>
      </c>
      <c r="BM3" s="58">
        <f>2*(A64-B64)/(C64-B64)-1</f>
        <v>-1</v>
      </c>
      <c r="BN3" s="58" t="e">
        <f>2*(A65-B65)/(C65-B65)-1</f>
        <v>#DIV/0!</v>
      </c>
      <c r="BO3" s="58">
        <f>2*(A66-B66)/(C66-B66)-1</f>
        <v>-1</v>
      </c>
      <c r="BP3" s="58" t="e">
        <f>2*(A67-B67)/(C67-B67)-1</f>
        <v>#DIV/0!</v>
      </c>
      <c r="BQ3" s="58" t="e">
        <f>2*(A68-B68)/(C68-B68)-1</f>
        <v>#DIV/0!</v>
      </c>
      <c r="BR3" s="58" t="e">
        <f>2*(A69-B69)/(C69-B69)-1</f>
        <v>#DIV/0!</v>
      </c>
      <c r="BS3" s="58" t="e">
        <f>2*(A70-B70)/(C70-B70)-1</f>
        <v>#DIV/0!</v>
      </c>
      <c r="BT3" s="58" t="e">
        <f>2*(A71-B71)/(C71-B71)-1</f>
        <v>#DIV/0!</v>
      </c>
      <c r="BU3" s="58" t="e">
        <f>2*(A72-B72)/(C72-B72)-1</f>
        <v>#DIV/0!</v>
      </c>
      <c r="BV3" s="58" t="e">
        <f>2*(A73-B73)/(C73-B73)-1</f>
        <v>#DIV/0!</v>
      </c>
      <c r="BW3" s="58" t="e">
        <f>2*(A74-B74)/(C74-B74)-1</f>
        <v>#DIV/0!</v>
      </c>
      <c r="BX3" s="58" t="e">
        <f>2*(A75-B75)/(C75-B75)-1</f>
        <v>#DIV/0!</v>
      </c>
      <c r="CG3" s="29" t="e">
        <f>CC4</f>
        <v>#DIV/0!</v>
      </c>
      <c r="CH3" s="29" t="e">
        <f>CC5</f>
        <v>#DIV/0!</v>
      </c>
      <c r="CI3" s="29" t="e">
        <f>CC6</f>
        <v>#DIV/0!</v>
      </c>
      <c r="CJ3" s="29" t="e">
        <f>CC7</f>
        <v>#DIV/0!</v>
      </c>
      <c r="CK3" s="29" t="e">
        <f>CC8</f>
        <v>#DIV/0!</v>
      </c>
      <c r="CL3" s="29" t="e">
        <f>CC9</f>
        <v>#DIV/0!</v>
      </c>
      <c r="CM3" s="29" t="e">
        <f>CC10</f>
        <v>#DIV/0!</v>
      </c>
      <c r="CN3" s="29" t="e">
        <f>CC11</f>
        <v>#DIV/0!</v>
      </c>
      <c r="CO3" s="29" t="e">
        <f>CC12</f>
        <v>#DIV/0!</v>
      </c>
      <c r="CP3" s="29" t="e">
        <f>CC13</f>
        <v>#DIV/0!</v>
      </c>
      <c r="CQ3" s="29" t="e">
        <f>CC14</f>
        <v>#DIV/0!</v>
      </c>
      <c r="CR3" s="29" t="e">
        <f>CC15</f>
        <v>#DIV/0!</v>
      </c>
      <c r="CS3" s="29" t="e">
        <f>CC16</f>
        <v>#DIV/0!</v>
      </c>
      <c r="CT3" s="29" t="e">
        <f>CC17</f>
        <v>#DIV/0!</v>
      </c>
      <c r="CU3" s="29">
        <f>TANH(BZ18)</f>
        <v>0</v>
      </c>
      <c r="CV3" s="29">
        <f>TANH(BZ19)</f>
        <v>0</v>
      </c>
      <c r="CW3" s="29">
        <f>TANH(BZ20)</f>
        <v>0</v>
      </c>
      <c r="CX3" s="29">
        <f>TANH(BZ21)</f>
        <v>0</v>
      </c>
      <c r="CY3" s="29">
        <f>TANH(BZ22)</f>
        <v>0</v>
      </c>
      <c r="CZ3" s="29">
        <f>TANH(BZ23)</f>
        <v>0</v>
      </c>
    </row>
    <row r="4" spans="1:108">
      <c r="A4" s="97" t="e">
        <f>'6'!G2</f>
        <v>#DIV/0!</v>
      </c>
      <c r="B4" s="58">
        <v>0.36136250000000292</v>
      </c>
      <c r="C4" s="58">
        <v>7.6931785714285708</v>
      </c>
      <c r="E4" s="29">
        <v>-8.8700000000000001E-2</v>
      </c>
      <c r="F4" s="29">
        <v>-0.21490000000000001</v>
      </c>
      <c r="G4" s="29">
        <v>-5.0500000000000003E-2</v>
      </c>
      <c r="H4" s="29">
        <v>0.24349999999999999</v>
      </c>
      <c r="I4" s="29">
        <v>0.31230000000000002</v>
      </c>
      <c r="J4" s="29">
        <v>0.115</v>
      </c>
      <c r="K4" s="29">
        <v>0.24479999999999999</v>
      </c>
      <c r="L4" s="29">
        <v>-0.25380000000000003</v>
      </c>
      <c r="M4" s="29">
        <v>0.20860000000000001</v>
      </c>
      <c r="N4" s="29">
        <v>-4.0099999999999997E-2</v>
      </c>
      <c r="O4" s="29">
        <v>2.7199999999999998E-2</v>
      </c>
      <c r="P4" s="29">
        <v>-0.25769999999999998</v>
      </c>
      <c r="Q4" s="29">
        <v>-0.17699999999999999</v>
      </c>
      <c r="R4" s="29">
        <v>-8.2000000000000003E-2</v>
      </c>
      <c r="S4" s="29">
        <v>-9.9099999999999994E-2</v>
      </c>
      <c r="T4" s="29">
        <v>7.9600000000000004E-2</v>
      </c>
      <c r="U4" s="29">
        <v>9.2100000000000001E-2</v>
      </c>
      <c r="V4" s="29">
        <v>1.0999999999999999E-2</v>
      </c>
      <c r="W4" s="29">
        <v>0.19209999999999999</v>
      </c>
      <c r="X4" s="29">
        <v>-0.22969999999999999</v>
      </c>
      <c r="Y4" s="29">
        <v>3.2500000000000001E-2</v>
      </c>
      <c r="Z4" s="29">
        <v>0.1075</v>
      </c>
      <c r="AA4" s="29">
        <v>-0.30420000000000003</v>
      </c>
      <c r="AB4" s="29">
        <v>-0.13550000000000001</v>
      </c>
      <c r="AC4" s="29">
        <v>0.1206</v>
      </c>
      <c r="AD4" s="29">
        <v>3.1399999999999997E-2</v>
      </c>
      <c r="AE4" s="29">
        <v>-0.26100000000000001</v>
      </c>
      <c r="AF4" s="29">
        <v>0.13</v>
      </c>
      <c r="AG4" s="29">
        <v>-9.2899999999999996E-2</v>
      </c>
      <c r="AH4" s="29">
        <v>0.10299999999999999</v>
      </c>
      <c r="AI4" s="29">
        <v>0.1202</v>
      </c>
      <c r="AJ4" s="29">
        <v>-0.18890000000000001</v>
      </c>
      <c r="AK4" s="29">
        <v>0.13500000000000001</v>
      </c>
      <c r="AL4" s="29">
        <v>-1.9E-3</v>
      </c>
      <c r="AM4" s="29">
        <v>-0.19869999999999999</v>
      </c>
      <c r="AN4" s="29">
        <v>0.11310000000000001</v>
      </c>
      <c r="AO4" s="29">
        <v>-2.92E-2</v>
      </c>
      <c r="AP4" s="29">
        <v>0.17749999999999999</v>
      </c>
      <c r="AQ4" s="29">
        <v>-8.2000000000000003E-2</v>
      </c>
      <c r="AR4" s="29">
        <v>5.8799999999999998E-2</v>
      </c>
      <c r="AS4" s="29">
        <v>-0.24479999999999999</v>
      </c>
      <c r="AT4" s="29">
        <v>0.1784</v>
      </c>
      <c r="AU4" s="29">
        <v>0.2457</v>
      </c>
      <c r="AV4" s="29">
        <v>-8.3999999999999995E-3</v>
      </c>
      <c r="AW4" s="29">
        <v>0.21990000000000001</v>
      </c>
      <c r="AX4" s="29">
        <v>-0.27100000000000002</v>
      </c>
      <c r="AY4" s="29">
        <v>6.9199999999999998E-2</v>
      </c>
      <c r="AZ4" s="29">
        <v>0.15240000000000001</v>
      </c>
      <c r="BA4" s="29">
        <v>-9.6799999999999997E-2</v>
      </c>
      <c r="BB4" s="29">
        <v>0.22409999999999999</v>
      </c>
      <c r="BC4" s="29">
        <v>-3.4500000000000003E-2</v>
      </c>
      <c r="BD4" s="29">
        <v>-0.28179999999999999</v>
      </c>
      <c r="BE4" s="29">
        <v>0.1409</v>
      </c>
      <c r="BF4" s="29">
        <v>0.22489999999999999</v>
      </c>
      <c r="BG4" s="29">
        <v>-0.26279999999999998</v>
      </c>
      <c r="BH4" s="29">
        <v>-3.5299999999999998E-2</v>
      </c>
      <c r="BI4" s="29">
        <v>-0.23430000000000001</v>
      </c>
      <c r="BJ4" s="29">
        <v>8.9899999999999994E-2</v>
      </c>
      <c r="BK4" s="29">
        <v>-7.6700000000000004E-2</v>
      </c>
      <c r="BL4" s="29">
        <v>-0.2165</v>
      </c>
      <c r="BM4" s="29">
        <v>0.17549999999999999</v>
      </c>
      <c r="BN4" s="29">
        <v>0.1171</v>
      </c>
      <c r="BO4" s="29">
        <v>6.5600000000000006E-2</v>
      </c>
      <c r="BP4" s="29">
        <v>-0.2268</v>
      </c>
      <c r="BQ4" s="29">
        <v>-0.24110000000000001</v>
      </c>
      <c r="BR4" s="29">
        <v>-0.31340000000000001</v>
      </c>
      <c r="BS4" s="29">
        <v>-3.3300000000000003E-2</v>
      </c>
      <c r="BT4" s="29">
        <v>0.27900000000000003</v>
      </c>
      <c r="BU4" s="29">
        <v>-4.2999999999999997E-2</v>
      </c>
      <c r="BV4" s="29">
        <v>4.58E-2</v>
      </c>
      <c r="BW4" s="29">
        <v>-2.2800000000000001E-2</v>
      </c>
      <c r="BX4" s="29">
        <v>0.1457</v>
      </c>
      <c r="BY4" s="29">
        <v>1.5085999999999999</v>
      </c>
      <c r="BZ4" s="29" t="e">
        <f t="shared" ref="BZ4:BZ17" si="0">E4*$E$3+F4*$F$3+G4*$G$3+H4*$H$3+I4*$I$3+J4*$J$3+K4*$K$3+L4*$L$3+M4*$M$3+N4*$N$3+O4*$O$3+P4*$P$3+Q4*$Q$3+R4*$R$3+S4*$S$3+T4*$T$3+U4*$U$3+V4*$V$3+W4*$W$3+X4*$X$3+Y4*$Y$3+Z4*$Z$3+AA4*$AA$3+AB4*$AB$3+AC4*$AC$3+AD4*$AD$3+AE4*$AE$3+AF4*$AF$3+AG4*$AG$3+AH4*$AH$3+AI4*$AI$3+AJ4*$AJ$3+AK4*$AK$3+AL4*$AL$3+AM4*$AM$3+AN4*$AN$3+BY4</f>
        <v>#DIV/0!</v>
      </c>
      <c r="CA4" s="29" t="e">
        <f>$AO$3*AO4+$AP$3*AP4+$AQ$3*AQ4+$AR$3*AR4+$AS$3*AS4+$AT$3*AT4+$AU$3*AU4+$AV$3*AV4+$AW$3*AW4+$AX$3*AX4+$AY$3*AY4+$AZ$3*AZ4+$BA$3*BA4+$BB$3*BB4+$BC$3*BC4+$BD$3*BD4+$BE$3*BE4+$BF$3*BF4+$BG$3*BG4+$BH$3*BH4+$BI$3*BI4+$BJ$3*BJ4+$BK$3*BK4+$BL$3*BL4+$BM$3*BM4+$BN$3*BN4+$BO$3*BO4+$BP$3*BP4+$BQ$3*BQ4+$BR$3*BR4+$BS$3*BS4+$BT$3*BT4+$BU$3*BU4+$BV$3*BV4+$BW$3*BW4+$BX$3*BX4</f>
        <v>#DIV/0!</v>
      </c>
      <c r="CB4" s="29" t="e">
        <f>CA4+BZ4</f>
        <v>#DIV/0!</v>
      </c>
      <c r="CC4" s="29" t="e">
        <f>TANH(CB4)</f>
        <v>#DIV/0!</v>
      </c>
      <c r="CG4" s="29">
        <v>-0.73850000000000005</v>
      </c>
      <c r="CH4" s="29">
        <v>-0.1336</v>
      </c>
      <c r="CI4" s="29">
        <v>0.54749999999999999</v>
      </c>
      <c r="CJ4" s="29">
        <v>0.94969999999999999</v>
      </c>
      <c r="CK4" s="29">
        <v>0.60429999999999995</v>
      </c>
      <c r="CL4" s="29">
        <v>-0.42520000000000002</v>
      </c>
      <c r="CM4" s="29">
        <v>0.62539999999999996</v>
      </c>
      <c r="CN4" s="29">
        <v>0.1512</v>
      </c>
      <c r="CO4" s="29">
        <v>0.5706</v>
      </c>
      <c r="CP4" s="29">
        <v>-1.9699999999999999E-2</v>
      </c>
      <c r="CQ4" s="29">
        <v>8.6400000000000005E-2</v>
      </c>
      <c r="CR4" s="29">
        <v>0.98770000000000002</v>
      </c>
      <c r="CS4" s="29">
        <v>0.82310000000000005</v>
      </c>
      <c r="CT4" s="29">
        <v>0.74490000000000001</v>
      </c>
      <c r="DA4" s="29">
        <v>1.2719</v>
      </c>
      <c r="DB4" s="29" t="e">
        <f>CG4*$CG$3+CH4*$CH$3+CI4*$CI$3+CJ4*$CJ$3+CK4*$CK$3+CL4*$CL$3+CM4*$CM$3+CN4*$CN$3+CO4*$CO$3+CP4*$CP$3+DA4+CQ4*$CQ$3+CR4*$CR$3+CS4*CS$3+CT4*$CT$3+CU4*$CU$3+CV4*$CV$3+CW4*$CW$3+CX4*$CX$3+CY4*$CY$3+CZ4*$CZ$3</f>
        <v>#DIV/0!</v>
      </c>
      <c r="DC4" s="29" t="e">
        <f>TANH(DB4)</f>
        <v>#DIV/0!</v>
      </c>
      <c r="DD4" s="109" t="e">
        <f>(DC4+1)/2</f>
        <v>#DIV/0!</v>
      </c>
    </row>
    <row r="5" spans="1:108">
      <c r="A5" s="97" t="e">
        <f>'6'!G3</f>
        <v>#DIV/0!</v>
      </c>
      <c r="B5" s="58">
        <v>0.19308766097662128</v>
      </c>
      <c r="C5" s="58">
        <v>4.766922566815488</v>
      </c>
      <c r="E5" s="29">
        <v>0.17080000000000001</v>
      </c>
      <c r="F5" s="29">
        <v>-0.1469</v>
      </c>
      <c r="G5" s="29">
        <v>-2.7E-2</v>
      </c>
      <c r="H5" s="29">
        <v>-0.2389</v>
      </c>
      <c r="I5" s="29">
        <v>0.23899999999999999</v>
      </c>
      <c r="J5" s="29">
        <v>-0.26840000000000003</v>
      </c>
      <c r="K5" s="29">
        <v>-3.3399999999999999E-2</v>
      </c>
      <c r="L5" s="29">
        <v>6.5600000000000006E-2</v>
      </c>
      <c r="M5" s="29">
        <v>0.26129999999999998</v>
      </c>
      <c r="N5" s="29">
        <v>-0.1338</v>
      </c>
      <c r="O5" s="29">
        <v>-0.18790000000000001</v>
      </c>
      <c r="P5" s="29">
        <v>-0.1158</v>
      </c>
      <c r="Q5" s="29">
        <v>-5.2999999999999999E-2</v>
      </c>
      <c r="R5" s="29">
        <v>-0.30280000000000001</v>
      </c>
      <c r="S5" s="29">
        <v>5.1400000000000001E-2</v>
      </c>
      <c r="T5" s="29">
        <v>0.28179999999999999</v>
      </c>
      <c r="U5" s="29">
        <v>0.2591</v>
      </c>
      <c r="V5" s="29">
        <v>0.25169999999999998</v>
      </c>
      <c r="W5" s="29">
        <v>-1.4800000000000001E-2</v>
      </c>
      <c r="X5" s="29">
        <v>-1.72E-2</v>
      </c>
      <c r="Y5" s="29">
        <v>-7.7600000000000002E-2</v>
      </c>
      <c r="Z5" s="29">
        <v>-0.2487</v>
      </c>
      <c r="AA5" s="29">
        <v>-0.12889999999999999</v>
      </c>
      <c r="AB5" s="29">
        <v>-0.29370000000000002</v>
      </c>
      <c r="AC5" s="29">
        <v>9.4600000000000004E-2</v>
      </c>
      <c r="AD5" s="29">
        <v>-5.3999999999999999E-2</v>
      </c>
      <c r="AE5" s="29">
        <v>-0.1158</v>
      </c>
      <c r="AF5" s="29">
        <v>-5.3600000000000002E-2</v>
      </c>
      <c r="AG5" s="29">
        <v>0.17810000000000001</v>
      </c>
      <c r="AH5" s="29">
        <v>4.07E-2</v>
      </c>
      <c r="AI5" s="29">
        <v>7.3200000000000001E-2</v>
      </c>
      <c r="AJ5" s="29">
        <v>0.16700000000000001</v>
      </c>
      <c r="AK5" s="29">
        <v>-8.6199999999999999E-2</v>
      </c>
      <c r="AL5" s="29">
        <v>0.1646</v>
      </c>
      <c r="AM5" s="29">
        <v>-0.30270000000000002</v>
      </c>
      <c r="AN5" s="29">
        <v>-0.1686</v>
      </c>
      <c r="AO5" s="29">
        <v>-0.18110000000000001</v>
      </c>
      <c r="AP5" s="29">
        <v>-0.13320000000000001</v>
      </c>
      <c r="AQ5" s="29">
        <v>-6.6E-3</v>
      </c>
      <c r="AR5" s="29">
        <v>-0.16719999999999999</v>
      </c>
      <c r="AS5" s="29">
        <v>-1.7399999999999999E-2</v>
      </c>
      <c r="AT5" s="29">
        <v>-6.6400000000000001E-2</v>
      </c>
      <c r="AU5" s="29">
        <v>-0.10150000000000001</v>
      </c>
      <c r="AV5" s="29">
        <v>4.3799999999999999E-2</v>
      </c>
      <c r="AW5" s="29">
        <v>0.2437</v>
      </c>
      <c r="AX5" s="29">
        <v>0.28110000000000002</v>
      </c>
      <c r="AY5" s="29">
        <v>-7.9000000000000001E-2</v>
      </c>
      <c r="AZ5" s="29">
        <v>-0.191</v>
      </c>
      <c r="BA5" s="29">
        <v>-0.19819999999999999</v>
      </c>
      <c r="BB5" s="29">
        <v>0.19359999999999999</v>
      </c>
      <c r="BC5" s="29">
        <v>-0.19819999999999999</v>
      </c>
      <c r="BD5" s="29">
        <v>4.2099999999999999E-2</v>
      </c>
      <c r="BE5" s="29">
        <v>-0.1096</v>
      </c>
      <c r="BF5" s="29">
        <v>-0.16200000000000001</v>
      </c>
      <c r="BG5" s="29">
        <v>9.6699999999999994E-2</v>
      </c>
      <c r="BH5" s="29">
        <v>0.21510000000000001</v>
      </c>
      <c r="BI5" s="29">
        <v>0.28170000000000001</v>
      </c>
      <c r="BJ5" s="29">
        <v>-4.5100000000000001E-2</v>
      </c>
      <c r="BK5" s="29">
        <v>0.2964</v>
      </c>
      <c r="BL5" s="29">
        <v>-9.4700000000000006E-2</v>
      </c>
      <c r="BM5" s="29">
        <v>0.28899999999999998</v>
      </c>
      <c r="BN5" s="29">
        <v>0.23849999999999999</v>
      </c>
      <c r="BO5" s="29">
        <v>-6.3E-2</v>
      </c>
      <c r="BP5" s="29">
        <v>-0.1263</v>
      </c>
      <c r="BQ5" s="29">
        <v>0.10920000000000001</v>
      </c>
      <c r="BR5" s="29">
        <v>-2.93E-2</v>
      </c>
      <c r="BS5" s="29">
        <v>0.12839999999999999</v>
      </c>
      <c r="BT5" s="29">
        <v>1.9099999999999999E-2</v>
      </c>
      <c r="BU5" s="29">
        <v>0.26240000000000002</v>
      </c>
      <c r="BV5" s="29">
        <v>0.11020000000000001</v>
      </c>
      <c r="BW5" s="29">
        <v>-4.9799999999999997E-2</v>
      </c>
      <c r="BX5" s="29">
        <v>0.25650000000000001</v>
      </c>
      <c r="BY5" s="29">
        <v>-1.2270000000000001</v>
      </c>
      <c r="BZ5" s="29" t="e">
        <f t="shared" si="0"/>
        <v>#DIV/0!</v>
      </c>
      <c r="CA5" s="29" t="e">
        <f t="shared" ref="CA5:CA17" si="1">$AO$3*AO5+$AP$3*AP5+$AQ$3*AQ5+$AR$3*AR5+$AS$3*AS5+$AT$3*AT5+$AU$3*AU5+$AV$3*AV5+$AW$3*AW5+$AX$3*AX5+$AY$3*AY5+$AZ$3*AZ5+$BA$3*BA5+$BB$3*BB5+$BC$3*BC5+$BD$3*BD5+$BE$3*BE5+$BF$3*BF5+$BG$3*BG5+$BH$3*BH5+$BI$3*BI5+$BJ$3*BJ5+$BK$3*BK5+$BL$3*BL5+$BM$3*BM5+$BN$3*BN5+$BO$3*BO5+$BP$3*BP5+$BQ$3*BQ5+$BR$3*BR5+$BS$3*BS5+$BT$3*BT5+$BU$3*BU5+$BV$3*BV5+$BW$3*BW5+$BX$3*BX5</f>
        <v>#DIV/0!</v>
      </c>
      <c r="CB5" s="29" t="e">
        <f t="shared" ref="CB5:CB17" si="2">CA5+BZ5</f>
        <v>#DIV/0!</v>
      </c>
      <c r="CC5" s="29" t="e">
        <f t="shared" ref="CC5:CC17" si="3">TANH(CB5)</f>
        <v>#DIV/0!</v>
      </c>
      <c r="CG5" s="29">
        <v>-0.21809999999999999</v>
      </c>
      <c r="CH5" s="29">
        <v>-0.4143</v>
      </c>
      <c r="CI5" s="29">
        <v>-0.47560000000000002</v>
      </c>
      <c r="CJ5" s="29">
        <v>-0.98329999999999995</v>
      </c>
      <c r="CK5" s="29">
        <v>-0.2064</v>
      </c>
      <c r="CL5" s="29">
        <v>0.71279999999999999</v>
      </c>
      <c r="CM5" s="29">
        <v>-0.83309999999999995</v>
      </c>
      <c r="CN5" s="29">
        <v>8.3900000000000002E-2</v>
      </c>
      <c r="CO5" s="29">
        <v>-0.71109999999999995</v>
      </c>
      <c r="CP5" s="29">
        <v>-0.31559999999999999</v>
      </c>
      <c r="CQ5" s="29">
        <v>-5.7099999999999998E-2</v>
      </c>
      <c r="CR5" s="29">
        <v>-0.90580000000000005</v>
      </c>
      <c r="CS5" s="29">
        <v>-1.0872999999999999</v>
      </c>
      <c r="CT5" s="29">
        <v>-0.34970000000000001</v>
      </c>
      <c r="DA5" s="29">
        <v>-1.2526999999999999</v>
      </c>
      <c r="DB5" s="29" t="e">
        <f>CG5*$CG$3+CH5*$CH$3+CI5*$CI$3+CJ5*$CJ$3+CK5*$CK$3+CL5*$CL$3+CM5*$CM$3+CN5*$CN$3+CO5*$CO$3+CP5*$CP$3+DA5+CQ5*$CQ$3+CR5*$CR$3+CS5*CS$3+CT5*$CT$3+CU5*$CU$3+CV5*$CV$3+CW5*$CW$3+CX5*$CX$3+CY5*$CY$3+CZ5*$CZ$3</f>
        <v>#DIV/0!</v>
      </c>
      <c r="DC5" s="29" t="e">
        <f>TANH(DB5)</f>
        <v>#DIV/0!</v>
      </c>
      <c r="DD5" s="109" t="e">
        <f>(DC5+1)/2</f>
        <v>#DIV/0!</v>
      </c>
    </row>
    <row r="6" spans="1:108">
      <c r="A6" s="97">
        <f>'6'!G4</f>
        <v>0</v>
      </c>
      <c r="B6" s="58">
        <v>0.64622499999998695</v>
      </c>
      <c r="C6" s="58">
        <v>17.647075000000029</v>
      </c>
      <c r="E6" s="29">
        <v>0.21940000000000001</v>
      </c>
      <c r="F6" s="29">
        <v>-0.2384</v>
      </c>
      <c r="G6" s="29">
        <v>0.10059999999999999</v>
      </c>
      <c r="H6" s="29">
        <v>-0.27450000000000002</v>
      </c>
      <c r="I6" s="29">
        <v>3.4799999999999998E-2</v>
      </c>
      <c r="J6" s="29">
        <v>0.21640000000000001</v>
      </c>
      <c r="K6" s="29">
        <v>8.5800000000000001E-2</v>
      </c>
      <c r="L6" s="29">
        <v>-0.1137</v>
      </c>
      <c r="M6" s="29">
        <v>0.20599999999999999</v>
      </c>
      <c r="N6" s="29">
        <v>3.3799999999999997E-2</v>
      </c>
      <c r="O6" s="29">
        <v>0.14779999999999999</v>
      </c>
      <c r="P6" s="29">
        <v>0.2009</v>
      </c>
      <c r="Q6" s="29">
        <v>-0.28770000000000001</v>
      </c>
      <c r="R6" s="29">
        <v>0.27900000000000003</v>
      </c>
      <c r="S6" s="29">
        <v>0.1686</v>
      </c>
      <c r="T6" s="29">
        <v>4.1200000000000001E-2</v>
      </c>
      <c r="U6" s="29">
        <v>0.16239999999999999</v>
      </c>
      <c r="V6" s="29">
        <v>0.1033</v>
      </c>
      <c r="W6" s="29">
        <v>-0.22570000000000001</v>
      </c>
      <c r="X6" s="29">
        <v>-0.25309999999999999</v>
      </c>
      <c r="Y6" s="29">
        <v>0.1326</v>
      </c>
      <c r="Z6" s="29">
        <v>-4.48E-2</v>
      </c>
      <c r="AA6" s="29">
        <v>-0.25679999999999997</v>
      </c>
      <c r="AB6" s="29">
        <v>-0.15939999999999999</v>
      </c>
      <c r="AC6" s="29">
        <v>5.62E-2</v>
      </c>
      <c r="AD6" s="29">
        <v>-0.12</v>
      </c>
      <c r="AE6" s="29">
        <v>-3.7000000000000002E-3</v>
      </c>
      <c r="AF6" s="29">
        <v>0.14699999999999999</v>
      </c>
      <c r="AG6" s="29">
        <v>-0.1651</v>
      </c>
      <c r="AH6" s="29">
        <v>0.18509999999999999</v>
      </c>
      <c r="AI6" s="29">
        <v>-1.66E-2</v>
      </c>
      <c r="AJ6" s="29">
        <v>-0.23069999999999999</v>
      </c>
      <c r="AK6" s="29">
        <v>-0.18490000000000001</v>
      </c>
      <c r="AL6" s="29">
        <v>0.1163</v>
      </c>
      <c r="AM6" s="29">
        <v>7.9799999999999996E-2</v>
      </c>
      <c r="AN6" s="29">
        <v>-0.11119999999999999</v>
      </c>
      <c r="AO6" s="29">
        <v>-0.12</v>
      </c>
      <c r="AP6" s="29">
        <v>-0.12759999999999999</v>
      </c>
      <c r="AQ6" s="29">
        <v>3.5700000000000003E-2</v>
      </c>
      <c r="AR6" s="29">
        <v>9.06E-2</v>
      </c>
      <c r="AS6" s="29">
        <v>-0.1555</v>
      </c>
      <c r="AT6" s="29">
        <v>0.2104</v>
      </c>
      <c r="AU6" s="29">
        <v>0.14860000000000001</v>
      </c>
      <c r="AV6" s="29">
        <v>-6.5699999999999995E-2</v>
      </c>
      <c r="AW6" s="29">
        <v>8.9499999999999996E-2</v>
      </c>
      <c r="AX6" s="29">
        <v>-0.1211</v>
      </c>
      <c r="AY6" s="29">
        <v>-0.1067</v>
      </c>
      <c r="AZ6" s="29">
        <v>-0.1171</v>
      </c>
      <c r="BA6" s="29">
        <v>5.8999999999999997E-2</v>
      </c>
      <c r="BB6" s="29">
        <v>0.27939999999999998</v>
      </c>
      <c r="BC6" s="29">
        <v>0.23730000000000001</v>
      </c>
      <c r="BD6" s="29">
        <v>-0.17560000000000001</v>
      </c>
      <c r="BE6" s="29">
        <v>-0.1343</v>
      </c>
      <c r="BF6" s="29">
        <v>0.17199999999999999</v>
      </c>
      <c r="BG6" s="29">
        <v>0.25750000000000001</v>
      </c>
      <c r="BH6" s="29">
        <v>-6.3200000000000006E-2</v>
      </c>
      <c r="BI6" s="29">
        <v>0.25290000000000001</v>
      </c>
      <c r="BJ6" s="29">
        <v>0.18079999999999999</v>
      </c>
      <c r="BK6" s="29">
        <v>0.3044</v>
      </c>
      <c r="BL6" s="29">
        <v>4.7199999999999999E-2</v>
      </c>
      <c r="BM6" s="29">
        <v>-0.12809999999999999</v>
      </c>
      <c r="BN6" s="29">
        <v>-3.9600000000000003E-2</v>
      </c>
      <c r="BO6" s="29">
        <v>6.8900000000000003E-2</v>
      </c>
      <c r="BP6" s="29">
        <v>-0.32469999999999999</v>
      </c>
      <c r="BQ6" s="29">
        <v>0.21759999999999999</v>
      </c>
      <c r="BR6" s="29">
        <v>0.15290000000000001</v>
      </c>
      <c r="BS6" s="29">
        <v>0.13730000000000001</v>
      </c>
      <c r="BT6" s="29">
        <v>-6.7500000000000004E-2</v>
      </c>
      <c r="BU6" s="29">
        <v>0.30309999999999998</v>
      </c>
      <c r="BV6" s="29">
        <v>-0.16969999999999999</v>
      </c>
      <c r="BW6" s="29">
        <v>0.19500000000000001</v>
      </c>
      <c r="BX6" s="29">
        <v>0.26029999999999998</v>
      </c>
      <c r="BY6" s="29">
        <v>-1.0527</v>
      </c>
      <c r="BZ6" s="29" t="e">
        <f t="shared" si="0"/>
        <v>#DIV/0!</v>
      </c>
      <c r="CA6" s="29" t="e">
        <f t="shared" si="1"/>
        <v>#DIV/0!</v>
      </c>
      <c r="CB6" s="29" t="e">
        <f t="shared" si="2"/>
        <v>#DIV/0!</v>
      </c>
      <c r="CC6" s="29" t="e">
        <f t="shared" si="3"/>
        <v>#DIV/0!</v>
      </c>
    </row>
    <row r="7" spans="1:108">
      <c r="A7" s="97" t="e">
        <f>'6'!G5</f>
        <v>#DIV/0!</v>
      </c>
      <c r="B7" s="58">
        <v>0.66371378375117862</v>
      </c>
      <c r="C7" s="58">
        <v>0.99991549750497233</v>
      </c>
      <c r="E7" s="29">
        <v>0.14399999999999999</v>
      </c>
      <c r="F7" s="29">
        <v>-0.1671</v>
      </c>
      <c r="G7" s="29">
        <v>3.6499999999999998E-2</v>
      </c>
      <c r="H7" s="29">
        <v>-0.23730000000000001</v>
      </c>
      <c r="I7" s="29">
        <v>-5.6399999999999999E-2</v>
      </c>
      <c r="J7" s="29">
        <v>-0.15290000000000001</v>
      </c>
      <c r="K7" s="29">
        <v>-6.59E-2</v>
      </c>
      <c r="L7" s="29">
        <v>-0.46899999999999997</v>
      </c>
      <c r="M7" s="29">
        <v>-0.11799999999999999</v>
      </c>
      <c r="N7" s="29">
        <v>8.8700000000000001E-2</v>
      </c>
      <c r="O7" s="29">
        <v>-0.02</v>
      </c>
      <c r="P7" s="29">
        <v>-0.15939999999999999</v>
      </c>
      <c r="Q7" s="29">
        <v>0.1938</v>
      </c>
      <c r="R7" s="29">
        <v>-6.5500000000000003E-2</v>
      </c>
      <c r="S7" s="29">
        <v>-0.11169999999999999</v>
      </c>
      <c r="T7" s="29">
        <v>-0.2651</v>
      </c>
      <c r="U7" s="29">
        <v>9.98E-2</v>
      </c>
      <c r="V7" s="29">
        <v>3.1E-2</v>
      </c>
      <c r="W7" s="29">
        <v>-0.2107</v>
      </c>
      <c r="X7" s="29">
        <v>-0.14419999999999999</v>
      </c>
      <c r="Y7" s="29">
        <v>-1.0999999999999999E-2</v>
      </c>
      <c r="Z7" s="29">
        <v>-0.21210000000000001</v>
      </c>
      <c r="AA7" s="29">
        <v>-9.6600000000000005E-2</v>
      </c>
      <c r="AB7" s="29">
        <v>-8.9399999999999993E-2</v>
      </c>
      <c r="AC7" s="29">
        <v>-8.3500000000000005E-2</v>
      </c>
      <c r="AD7" s="29">
        <v>-0.1007</v>
      </c>
      <c r="AE7" s="29">
        <v>-0.26819999999999999</v>
      </c>
      <c r="AF7" s="29">
        <v>-0.30769999999999997</v>
      </c>
      <c r="AG7" s="29">
        <v>0.30659999999999998</v>
      </c>
      <c r="AH7" s="29">
        <v>-0.13070000000000001</v>
      </c>
      <c r="AI7" s="29">
        <v>1.8700000000000001E-2</v>
      </c>
      <c r="AJ7" s="29">
        <v>0.52229999999999999</v>
      </c>
      <c r="AK7" s="29">
        <v>0.44369999999999998</v>
      </c>
      <c r="AL7" s="29">
        <v>0.1169</v>
      </c>
      <c r="AM7" s="29">
        <v>0.52490000000000003</v>
      </c>
      <c r="AN7" s="29">
        <v>-0.1244</v>
      </c>
      <c r="AO7" s="29">
        <v>-0.43559999999999999</v>
      </c>
      <c r="AP7" s="29">
        <v>0.26269999999999999</v>
      </c>
      <c r="AQ7" s="29">
        <v>0.29780000000000001</v>
      </c>
      <c r="AR7" s="29">
        <v>-0.28249999999999997</v>
      </c>
      <c r="AS7" s="29">
        <v>5.2699999999999997E-2</v>
      </c>
      <c r="AT7" s="29">
        <v>-0.1186</v>
      </c>
      <c r="AU7" s="29">
        <v>-1.8800000000000001E-2</v>
      </c>
      <c r="AV7" s="29">
        <v>-0.29349999999999998</v>
      </c>
      <c r="AW7" s="29">
        <v>3.6999999999999998E-2</v>
      </c>
      <c r="AX7" s="29">
        <v>-0.2979</v>
      </c>
      <c r="AY7" s="29">
        <v>-0.49030000000000001</v>
      </c>
      <c r="AZ7" s="29">
        <v>-0.23180000000000001</v>
      </c>
      <c r="BA7" s="29">
        <v>6.5699999999999995E-2</v>
      </c>
      <c r="BB7" s="29">
        <v>0.1618</v>
      </c>
      <c r="BC7" s="29">
        <v>-9.1800000000000007E-2</v>
      </c>
      <c r="BD7" s="29">
        <v>3.3700000000000001E-2</v>
      </c>
      <c r="BE7" s="29">
        <v>0.31180000000000002</v>
      </c>
      <c r="BF7" s="29">
        <v>-0.21149999999999999</v>
      </c>
      <c r="BG7" s="29">
        <v>-0.313</v>
      </c>
      <c r="BH7" s="29">
        <v>-0.1525</v>
      </c>
      <c r="BI7" s="29">
        <v>-0.16969999999999999</v>
      </c>
      <c r="BJ7" s="29">
        <v>-2.0999999999999999E-3</v>
      </c>
      <c r="BK7" s="29">
        <v>0.19689999999999999</v>
      </c>
      <c r="BL7" s="29">
        <v>5.2900000000000003E-2</v>
      </c>
      <c r="BM7" s="29">
        <v>0.115</v>
      </c>
      <c r="BN7" s="29">
        <v>-0.2656</v>
      </c>
      <c r="BO7" s="29">
        <v>-0.19420000000000001</v>
      </c>
      <c r="BP7" s="29">
        <v>-0.2432</v>
      </c>
      <c r="BQ7" s="29">
        <v>-0.28079999999999999</v>
      </c>
      <c r="BR7" s="29">
        <v>0.1236</v>
      </c>
      <c r="BS7" s="29">
        <v>0.33600000000000002</v>
      </c>
      <c r="BT7" s="29">
        <v>0.45900000000000002</v>
      </c>
      <c r="BU7" s="29">
        <v>8.7499999999999994E-2</v>
      </c>
      <c r="BV7" s="29">
        <v>9.0700000000000003E-2</v>
      </c>
      <c r="BW7" s="29">
        <v>-0.29120000000000001</v>
      </c>
      <c r="BX7" s="29">
        <v>-6.3500000000000001E-2</v>
      </c>
      <c r="BY7" s="29">
        <v>-1.0610999999999999</v>
      </c>
      <c r="BZ7" s="29" t="e">
        <f t="shared" si="0"/>
        <v>#DIV/0!</v>
      </c>
      <c r="CA7" s="29" t="e">
        <f t="shared" si="1"/>
        <v>#DIV/0!</v>
      </c>
      <c r="CB7" s="29" t="e">
        <f t="shared" si="2"/>
        <v>#DIV/0!</v>
      </c>
      <c r="CC7" s="29" t="e">
        <f t="shared" si="3"/>
        <v>#DIV/0!</v>
      </c>
    </row>
    <row r="8" spans="1:108">
      <c r="A8" s="97" t="e">
        <f>'6'!G6</f>
        <v>#DIV/0!</v>
      </c>
      <c r="B8" s="58">
        <v>0.73983484372151986</v>
      </c>
      <c r="C8" s="58">
        <v>1.0175365591531995</v>
      </c>
      <c r="E8" s="29">
        <v>-0.26590000000000003</v>
      </c>
      <c r="F8" s="29">
        <v>8.2400000000000001E-2</v>
      </c>
      <c r="G8" s="29">
        <v>0.15920000000000001</v>
      </c>
      <c r="H8" s="29">
        <v>-0.1132</v>
      </c>
      <c r="I8" s="29">
        <v>5.6800000000000003E-2</v>
      </c>
      <c r="J8" s="29">
        <v>-0.09</v>
      </c>
      <c r="K8" s="29">
        <v>-0.13469999999999999</v>
      </c>
      <c r="L8" s="29">
        <v>3.5799999999999998E-2</v>
      </c>
      <c r="M8" s="29">
        <v>-0.27650000000000002</v>
      </c>
      <c r="N8" s="29">
        <v>5.1299999999999998E-2</v>
      </c>
      <c r="O8" s="29">
        <v>0.35120000000000001</v>
      </c>
      <c r="P8" s="29">
        <v>3.6299999999999999E-2</v>
      </c>
      <c r="Q8" s="29">
        <v>0.19989999999999999</v>
      </c>
      <c r="R8" s="29">
        <v>8.8999999999999996E-2</v>
      </c>
      <c r="S8" s="29">
        <v>1.9400000000000001E-2</v>
      </c>
      <c r="T8" s="29">
        <v>0.28100000000000003</v>
      </c>
      <c r="U8" s="29">
        <v>0.4274</v>
      </c>
      <c r="V8" s="29">
        <v>0.37459999999999999</v>
      </c>
      <c r="W8" s="29">
        <v>-0.1361</v>
      </c>
      <c r="X8" s="29">
        <v>2.1299999999999999E-2</v>
      </c>
      <c r="Y8" s="29">
        <v>0.30609999999999998</v>
      </c>
      <c r="Z8" s="29">
        <v>-0.12959999999999999</v>
      </c>
      <c r="AA8" s="29">
        <v>-0.1009</v>
      </c>
      <c r="AB8" s="29">
        <v>-0.24610000000000001</v>
      </c>
      <c r="AC8" s="29">
        <v>0.33829999999999999</v>
      </c>
      <c r="AD8" s="29">
        <v>-8.8999999999999999E-3</v>
      </c>
      <c r="AE8" s="29">
        <v>-4.4299999999999999E-2</v>
      </c>
      <c r="AF8" s="29">
        <v>-3.5200000000000002E-2</v>
      </c>
      <c r="AG8" s="29">
        <v>-0.23250000000000001</v>
      </c>
      <c r="AH8" s="29">
        <v>-0.31119999999999998</v>
      </c>
      <c r="AI8" s="29">
        <v>-0.14799999999999999</v>
      </c>
      <c r="AJ8" s="29">
        <v>-8.0500000000000002E-2</v>
      </c>
      <c r="AK8" s="29">
        <v>0.2366</v>
      </c>
      <c r="AL8" s="29">
        <v>0.22889999999999999</v>
      </c>
      <c r="AM8" s="29">
        <v>-0.1454</v>
      </c>
      <c r="AN8" s="29">
        <v>0.3034</v>
      </c>
      <c r="AO8" s="29">
        <v>0.14660000000000001</v>
      </c>
      <c r="AP8" s="29">
        <v>-0.15840000000000001</v>
      </c>
      <c r="AQ8" s="29">
        <v>-5.2299999999999999E-2</v>
      </c>
      <c r="AR8" s="29">
        <v>9.8900000000000002E-2</v>
      </c>
      <c r="AS8" s="29">
        <v>2.2000000000000001E-3</v>
      </c>
      <c r="AT8" s="29">
        <v>0.2319</v>
      </c>
      <c r="AU8" s="29">
        <v>9.0899999999999995E-2</v>
      </c>
      <c r="AV8" s="29">
        <v>-0.16020000000000001</v>
      </c>
      <c r="AW8" s="29">
        <v>-0.1207</v>
      </c>
      <c r="AX8" s="29">
        <v>-0.2213</v>
      </c>
      <c r="AY8" s="29">
        <v>2.5999999999999999E-3</v>
      </c>
      <c r="AZ8" s="29">
        <v>-0.10539999999999999</v>
      </c>
      <c r="BA8" s="29">
        <v>-0.23710000000000001</v>
      </c>
      <c r="BB8" s="29">
        <v>-0.11899999999999999</v>
      </c>
      <c r="BC8" s="29">
        <v>3.5400000000000001E-2</v>
      </c>
      <c r="BD8" s="29">
        <v>-4.0399999999999998E-2</v>
      </c>
      <c r="BE8" s="29">
        <v>0.12620000000000001</v>
      </c>
      <c r="BF8" s="29">
        <v>-7.22E-2</v>
      </c>
      <c r="BG8" s="29">
        <v>-0.1305</v>
      </c>
      <c r="BH8" s="29">
        <v>-0.23569999999999999</v>
      </c>
      <c r="BI8" s="29">
        <v>9.1899999999999996E-2</v>
      </c>
      <c r="BJ8" s="29">
        <v>7.0900000000000005E-2</v>
      </c>
      <c r="BK8" s="29">
        <v>-6.9000000000000006E-2</v>
      </c>
      <c r="BL8" s="29">
        <v>0.24149999999999999</v>
      </c>
      <c r="BM8" s="29">
        <v>0.19539999999999999</v>
      </c>
      <c r="BN8" s="29">
        <v>0.1074</v>
      </c>
      <c r="BO8" s="29">
        <v>-0.1386</v>
      </c>
      <c r="BP8" s="29">
        <v>-0.3004</v>
      </c>
      <c r="BQ8" s="29">
        <v>8.7999999999999995E-2</v>
      </c>
      <c r="BR8" s="29">
        <v>3.0700000000000002E-2</v>
      </c>
      <c r="BS8" s="29">
        <v>-2.4500000000000001E-2</v>
      </c>
      <c r="BT8" s="29">
        <v>0.30249999999999999</v>
      </c>
      <c r="BU8" s="29">
        <v>-0.20449999999999999</v>
      </c>
      <c r="BV8" s="29">
        <v>0.36130000000000001</v>
      </c>
      <c r="BW8" s="29">
        <v>-0.10340000000000001</v>
      </c>
      <c r="BX8" s="29">
        <v>-0.2157</v>
      </c>
      <c r="BY8" s="29">
        <v>0.44130000000000003</v>
      </c>
      <c r="BZ8" s="29" t="e">
        <f t="shared" si="0"/>
        <v>#DIV/0!</v>
      </c>
      <c r="CA8" s="29" t="e">
        <f t="shared" si="1"/>
        <v>#DIV/0!</v>
      </c>
      <c r="CB8" s="29" t="e">
        <f t="shared" si="2"/>
        <v>#DIV/0!</v>
      </c>
      <c r="CC8" s="29" t="e">
        <f t="shared" si="3"/>
        <v>#DIV/0!</v>
      </c>
    </row>
    <row r="9" spans="1:108">
      <c r="A9" s="97" t="e">
        <f>'6'!G7</f>
        <v>#DIV/0!</v>
      </c>
      <c r="B9" s="58">
        <v>-5.3016992799026106</v>
      </c>
      <c r="C9" s="58">
        <v>29.00165011471351</v>
      </c>
      <c r="E9" s="29">
        <v>-2.7799999999999998E-2</v>
      </c>
      <c r="F9" s="29">
        <v>-0.2601</v>
      </c>
      <c r="G9" s="29">
        <v>0.1774</v>
      </c>
      <c r="H9" s="29">
        <v>8.4699999999999998E-2</v>
      </c>
      <c r="I9" s="29">
        <v>-5.9299999999999999E-2</v>
      </c>
      <c r="J9" s="29">
        <v>-0.3332</v>
      </c>
      <c r="K9" s="29">
        <v>0.15759999999999999</v>
      </c>
      <c r="L9" s="29">
        <v>-0.26200000000000001</v>
      </c>
      <c r="M9" s="29">
        <v>-9.0800000000000006E-2</v>
      </c>
      <c r="N9" s="29">
        <v>-1.6299999999999999E-2</v>
      </c>
      <c r="O9" s="29">
        <v>-0.25740000000000002</v>
      </c>
      <c r="P9" s="29">
        <v>2.5999999999999999E-3</v>
      </c>
      <c r="Q9" s="29">
        <v>0.16189999999999999</v>
      </c>
      <c r="R9" s="29">
        <v>-0.15909999999999999</v>
      </c>
      <c r="S9" s="29">
        <v>-7.7999999999999996E-3</v>
      </c>
      <c r="T9" s="29">
        <v>0.19289999999999999</v>
      </c>
      <c r="U9" s="29">
        <v>-7.5899999999999995E-2</v>
      </c>
      <c r="V9" s="29">
        <v>-0.17630000000000001</v>
      </c>
      <c r="W9" s="29">
        <v>0.2019</v>
      </c>
      <c r="X9" s="29">
        <v>-0.3594</v>
      </c>
      <c r="Y9" s="29">
        <v>0.12</v>
      </c>
      <c r="Z9" s="29">
        <v>-1.66E-2</v>
      </c>
      <c r="AA9" s="29">
        <v>-8.1500000000000003E-2</v>
      </c>
      <c r="AB9" s="29">
        <v>1.0500000000000001E-2</v>
      </c>
      <c r="AC9" s="29">
        <v>9.8699999999999996E-2</v>
      </c>
      <c r="AD9" s="29">
        <v>-0.13539999999999999</v>
      </c>
      <c r="AE9" s="29">
        <v>-0.12479999999999999</v>
      </c>
      <c r="AF9" s="29">
        <v>-0.1371</v>
      </c>
      <c r="AG9" s="29">
        <v>-0.15090000000000001</v>
      </c>
      <c r="AH9" s="29">
        <v>-0.24210000000000001</v>
      </c>
      <c r="AI9" s="29">
        <v>-9.69E-2</v>
      </c>
      <c r="AJ9" s="29">
        <v>-4.0000000000000002E-4</v>
      </c>
      <c r="AK9" s="29">
        <v>-0.1113</v>
      </c>
      <c r="AL9" s="29">
        <v>-0.37519999999999998</v>
      </c>
      <c r="AM9" s="29">
        <v>-0.10249999999999999</v>
      </c>
      <c r="AN9" s="29">
        <v>9.3200000000000005E-2</v>
      </c>
      <c r="AO9" s="29">
        <v>-9.5000000000000001E-2</v>
      </c>
      <c r="AP9" s="29">
        <v>-7.0800000000000002E-2</v>
      </c>
      <c r="AQ9" s="29">
        <v>-0.1186</v>
      </c>
      <c r="AR9" s="29">
        <v>-0.15509999999999999</v>
      </c>
      <c r="AS9" s="29">
        <v>6.9599999999999995E-2</v>
      </c>
      <c r="AT9" s="29">
        <v>-0.1384</v>
      </c>
      <c r="AU9" s="29">
        <v>-0.2422</v>
      </c>
      <c r="AV9" s="29">
        <v>-0.1115</v>
      </c>
      <c r="AW9" s="29">
        <v>-8.8200000000000001E-2</v>
      </c>
      <c r="AX9" s="29">
        <v>-5.6300000000000003E-2</v>
      </c>
      <c r="AY9" s="29">
        <v>-0.254</v>
      </c>
      <c r="AZ9" s="29">
        <v>-3.7900000000000003E-2</v>
      </c>
      <c r="BA9" s="29">
        <v>0.2102</v>
      </c>
      <c r="BB9" s="29">
        <v>0.25040000000000001</v>
      </c>
      <c r="BC9" s="29">
        <v>0.33429999999999999</v>
      </c>
      <c r="BD9" s="29">
        <v>-0.33679999999999999</v>
      </c>
      <c r="BE9" s="29">
        <v>0.2273</v>
      </c>
      <c r="BF9" s="29">
        <v>5.7099999999999998E-2</v>
      </c>
      <c r="BG9" s="29">
        <v>6.5500000000000003E-2</v>
      </c>
      <c r="BH9" s="29">
        <v>-0.221</v>
      </c>
      <c r="BI9" s="29">
        <v>6.0499999999999998E-2</v>
      </c>
      <c r="BJ9" s="29">
        <v>2.2200000000000001E-2</v>
      </c>
      <c r="BK9" s="29">
        <v>-0.1923</v>
      </c>
      <c r="BL9" s="29">
        <v>-6.7999999999999996E-3</v>
      </c>
      <c r="BM9" s="29">
        <v>0.10970000000000001</v>
      </c>
      <c r="BN9" s="29">
        <v>-0.20069999999999999</v>
      </c>
      <c r="BO9" s="29">
        <v>0.2336</v>
      </c>
      <c r="BP9" s="29">
        <v>0.36749999999999999</v>
      </c>
      <c r="BQ9" s="29">
        <v>0.13730000000000001</v>
      </c>
      <c r="BR9" s="29">
        <v>0.15340000000000001</v>
      </c>
      <c r="BS9" s="29">
        <v>-6.7000000000000004E-2</v>
      </c>
      <c r="BT9" s="29">
        <v>-0.23200000000000001</v>
      </c>
      <c r="BU9" s="29">
        <v>-0.25600000000000001</v>
      </c>
      <c r="BV9" s="29">
        <v>-4.9099999999999998E-2</v>
      </c>
      <c r="BW9" s="29">
        <v>0.30980000000000002</v>
      </c>
      <c r="BX9" s="29">
        <v>0.1053</v>
      </c>
      <c r="BY9" s="29">
        <v>0.45889999999999997</v>
      </c>
      <c r="BZ9" s="29" t="e">
        <f t="shared" si="0"/>
        <v>#DIV/0!</v>
      </c>
      <c r="CA9" s="29" t="e">
        <f t="shared" si="1"/>
        <v>#DIV/0!</v>
      </c>
      <c r="CB9" s="29" t="e">
        <f t="shared" si="2"/>
        <v>#DIV/0!</v>
      </c>
      <c r="CC9" s="29" t="e">
        <f t="shared" si="3"/>
        <v>#DIV/0!</v>
      </c>
    </row>
    <row r="10" spans="1:108">
      <c r="A10" s="97" t="e">
        <f>'6'!G8</f>
        <v>#DIV/0!</v>
      </c>
      <c r="B10" s="58">
        <v>0.19442848674900048</v>
      </c>
      <c r="C10" s="58">
        <v>8.768550658788115</v>
      </c>
      <c r="E10" s="29">
        <v>4.7699999999999999E-2</v>
      </c>
      <c r="F10" s="29">
        <v>0.1021</v>
      </c>
      <c r="G10" s="29">
        <v>-0.18870000000000001</v>
      </c>
      <c r="H10" s="29">
        <v>-0.31090000000000001</v>
      </c>
      <c r="I10" s="29">
        <v>-0.2167</v>
      </c>
      <c r="J10" s="29">
        <v>0.1101</v>
      </c>
      <c r="K10" s="29">
        <v>0.30209999999999998</v>
      </c>
      <c r="L10" s="29">
        <v>-4.9700000000000001E-2</v>
      </c>
      <c r="M10" s="29">
        <v>-5.1799999999999999E-2</v>
      </c>
      <c r="N10" s="29">
        <v>-9.8000000000000004E-2</v>
      </c>
      <c r="O10" s="29">
        <v>0.24959999999999999</v>
      </c>
      <c r="P10" s="29">
        <v>0.25169999999999998</v>
      </c>
      <c r="Q10" s="29">
        <v>-1.38E-2</v>
      </c>
      <c r="R10" s="29">
        <v>0.30130000000000001</v>
      </c>
      <c r="S10" s="29">
        <v>-0.2472</v>
      </c>
      <c r="T10" s="29">
        <v>6.0600000000000001E-2</v>
      </c>
      <c r="U10" s="29">
        <v>4.2200000000000001E-2</v>
      </c>
      <c r="V10" s="29">
        <v>0.22059999999999999</v>
      </c>
      <c r="W10" s="29">
        <v>0.2767</v>
      </c>
      <c r="X10" s="29">
        <v>0.223</v>
      </c>
      <c r="Y10" s="29">
        <v>0.1275</v>
      </c>
      <c r="Z10" s="29">
        <v>0.13700000000000001</v>
      </c>
      <c r="AA10" s="29">
        <v>0.11849999999999999</v>
      </c>
      <c r="AB10" s="29">
        <v>-0.14050000000000001</v>
      </c>
      <c r="AC10" s="29">
        <v>0.25469999999999998</v>
      </c>
      <c r="AD10" s="29">
        <v>-0.33410000000000001</v>
      </c>
      <c r="AE10" s="29">
        <v>0.10299999999999999</v>
      </c>
      <c r="AF10" s="29">
        <v>0.17519999999999999</v>
      </c>
      <c r="AG10" s="29">
        <v>-0.14369999999999999</v>
      </c>
      <c r="AH10" s="29">
        <v>-5.2499999999999998E-2</v>
      </c>
      <c r="AI10" s="29">
        <v>9.0300000000000005E-2</v>
      </c>
      <c r="AJ10" s="29">
        <v>-7.3899999999999993E-2</v>
      </c>
      <c r="AK10" s="29">
        <v>-0.18</v>
      </c>
      <c r="AL10" s="29">
        <v>1.0999999999999999E-2</v>
      </c>
      <c r="AM10" s="29">
        <v>-0.19589999999999999</v>
      </c>
      <c r="AN10" s="29">
        <v>0.11020000000000001</v>
      </c>
      <c r="AO10" s="29">
        <v>0.1275</v>
      </c>
      <c r="AP10" s="29">
        <v>-8.7400000000000005E-2</v>
      </c>
      <c r="AQ10" s="29">
        <v>1.04E-2</v>
      </c>
      <c r="AR10" s="29">
        <v>1.77E-2</v>
      </c>
      <c r="AS10" s="29">
        <v>-0.16259999999999999</v>
      </c>
      <c r="AT10" s="29">
        <v>6.5100000000000005E-2</v>
      </c>
      <c r="AU10" s="29">
        <v>-2.35E-2</v>
      </c>
      <c r="AV10" s="29">
        <v>0.28120000000000001</v>
      </c>
      <c r="AW10" s="29">
        <v>0.1666</v>
      </c>
      <c r="AX10" s="29">
        <v>-0.2782</v>
      </c>
      <c r="AY10" s="29">
        <v>-0.27629999999999999</v>
      </c>
      <c r="AZ10" s="29">
        <v>0.28179999999999999</v>
      </c>
      <c r="BA10" s="29">
        <v>2.9600000000000001E-2</v>
      </c>
      <c r="BB10" s="29">
        <v>0.16850000000000001</v>
      </c>
      <c r="BC10" s="29">
        <v>-0.2445</v>
      </c>
      <c r="BD10" s="29">
        <v>0.20599999999999999</v>
      </c>
      <c r="BE10" s="29">
        <v>-0.25590000000000002</v>
      </c>
      <c r="BF10" s="29">
        <v>-0.21249999999999999</v>
      </c>
      <c r="BG10" s="29">
        <v>-4.6399999999999997E-2</v>
      </c>
      <c r="BH10" s="29">
        <v>-4.3200000000000002E-2</v>
      </c>
      <c r="BI10" s="29">
        <v>0.34150000000000003</v>
      </c>
      <c r="BJ10" s="29">
        <v>0.188</v>
      </c>
      <c r="BK10" s="29">
        <v>0.2989</v>
      </c>
      <c r="BL10" s="29">
        <v>0.3493</v>
      </c>
      <c r="BM10" s="29">
        <v>-1.1599999999999999E-2</v>
      </c>
      <c r="BN10" s="29">
        <v>0.2049</v>
      </c>
      <c r="BO10" s="29">
        <v>-0.17150000000000001</v>
      </c>
      <c r="BP10" s="29">
        <v>3.2800000000000003E-2</v>
      </c>
      <c r="BQ10" s="29">
        <v>5.5899999999999998E-2</v>
      </c>
      <c r="BR10" s="29">
        <v>0.13250000000000001</v>
      </c>
      <c r="BS10" s="29">
        <v>-0.25330000000000003</v>
      </c>
      <c r="BT10" s="29">
        <v>-0.19009999999999999</v>
      </c>
      <c r="BU10" s="29">
        <v>0.10390000000000001</v>
      </c>
      <c r="BV10" s="29">
        <v>1.6899999999999998E-2</v>
      </c>
      <c r="BW10" s="29">
        <v>-4.3499999999999997E-2</v>
      </c>
      <c r="BX10" s="29">
        <v>-8.77E-2</v>
      </c>
      <c r="BY10" s="29">
        <v>-0.29330000000000001</v>
      </c>
      <c r="BZ10" s="29" t="e">
        <f t="shared" si="0"/>
        <v>#DIV/0!</v>
      </c>
      <c r="CA10" s="29" t="e">
        <f t="shared" si="1"/>
        <v>#DIV/0!</v>
      </c>
      <c r="CB10" s="29" t="e">
        <f t="shared" si="2"/>
        <v>#DIV/0!</v>
      </c>
      <c r="CC10" s="29" t="e">
        <f t="shared" si="3"/>
        <v>#DIV/0!</v>
      </c>
    </row>
    <row r="11" spans="1:108">
      <c r="A11" s="97" t="e">
        <f>'6'!G9</f>
        <v>#DIV/0!</v>
      </c>
      <c r="B11" s="58">
        <v>0.15073884931767886</v>
      </c>
      <c r="C11" s="58">
        <v>5.9938882585413591</v>
      </c>
      <c r="E11" s="29">
        <v>-0.25240000000000001</v>
      </c>
      <c r="F11" s="29">
        <v>4.7300000000000002E-2</v>
      </c>
      <c r="G11" s="29">
        <v>-0.1216</v>
      </c>
      <c r="H11" s="29">
        <v>0.15529999999999999</v>
      </c>
      <c r="I11" s="29">
        <v>0.12330000000000001</v>
      </c>
      <c r="J11" s="29">
        <v>-0.1449</v>
      </c>
      <c r="K11" s="29">
        <v>-0.24110000000000001</v>
      </c>
      <c r="L11" s="29">
        <v>-0.13</v>
      </c>
      <c r="M11" s="29">
        <v>-0.15509999999999999</v>
      </c>
      <c r="N11" s="29">
        <v>-6.6E-3</v>
      </c>
      <c r="O11" s="29">
        <v>7.6100000000000001E-2</v>
      </c>
      <c r="P11" s="29">
        <v>-0.2407</v>
      </c>
      <c r="Q11" s="29">
        <v>0.22209999999999999</v>
      </c>
      <c r="R11" s="29">
        <v>0.1726</v>
      </c>
      <c r="S11" s="29">
        <v>0.1749</v>
      </c>
      <c r="T11" s="29">
        <v>0.15579999999999999</v>
      </c>
      <c r="U11" s="29">
        <v>-0.245</v>
      </c>
      <c r="V11" s="29">
        <v>0.21529999999999999</v>
      </c>
      <c r="W11" s="29">
        <v>-0.13789999999999999</v>
      </c>
      <c r="X11" s="29">
        <v>-0.23760000000000001</v>
      </c>
      <c r="Y11" s="29">
        <v>-0.191</v>
      </c>
      <c r="Z11" s="29">
        <v>0.2472</v>
      </c>
      <c r="AA11" s="29">
        <v>-6.25E-2</v>
      </c>
      <c r="AB11" s="29">
        <v>0.18659999999999999</v>
      </c>
      <c r="AC11" s="29">
        <v>-3.5799999999999998E-2</v>
      </c>
      <c r="AD11" s="29">
        <v>-8.6199999999999999E-2</v>
      </c>
      <c r="AE11" s="29">
        <v>0.17799999999999999</v>
      </c>
      <c r="AF11" s="29">
        <v>-0.16930000000000001</v>
      </c>
      <c r="AG11" s="29">
        <v>8.0000000000000002E-3</v>
      </c>
      <c r="AH11" s="29">
        <v>0.13239999999999999</v>
      </c>
      <c r="AI11" s="29">
        <v>0.1905</v>
      </c>
      <c r="AJ11" s="29">
        <v>-0.126</v>
      </c>
      <c r="AK11" s="29">
        <v>0.16109999999999999</v>
      </c>
      <c r="AL11" s="29">
        <v>-0.2341</v>
      </c>
      <c r="AM11" s="29">
        <v>0.24660000000000001</v>
      </c>
      <c r="AN11" s="29">
        <v>9.5799999999999996E-2</v>
      </c>
      <c r="AO11" s="29">
        <v>0.22589999999999999</v>
      </c>
      <c r="AP11" s="29">
        <v>3.39E-2</v>
      </c>
      <c r="AQ11" s="29">
        <v>7.1900000000000006E-2</v>
      </c>
      <c r="AR11" s="29">
        <v>4.7800000000000002E-2</v>
      </c>
      <c r="AS11" s="29">
        <v>5.21E-2</v>
      </c>
      <c r="AT11" s="29">
        <v>0.30420000000000003</v>
      </c>
      <c r="AU11" s="29">
        <v>-5.6500000000000002E-2</v>
      </c>
      <c r="AV11" s="29">
        <v>-0.19639999999999999</v>
      </c>
      <c r="AW11" s="29">
        <v>0.1148</v>
      </c>
      <c r="AX11" s="29">
        <v>-0.2064</v>
      </c>
      <c r="AY11" s="29">
        <v>-8.8200000000000001E-2</v>
      </c>
      <c r="AZ11" s="29">
        <v>8.1199999999999994E-2</v>
      </c>
      <c r="BA11" s="29">
        <v>0.1762</v>
      </c>
      <c r="BB11" s="29">
        <v>0.1153</v>
      </c>
      <c r="BC11" s="29">
        <v>0.1802</v>
      </c>
      <c r="BD11" s="29">
        <v>0.24179999999999999</v>
      </c>
      <c r="BE11" s="29">
        <v>-0.15010000000000001</v>
      </c>
      <c r="BF11" s="29">
        <v>8.6699999999999999E-2</v>
      </c>
      <c r="BG11" s="29">
        <v>0.24340000000000001</v>
      </c>
      <c r="BH11" s="29">
        <v>-0.23269999999999999</v>
      </c>
      <c r="BI11" s="29">
        <v>8.2900000000000001E-2</v>
      </c>
      <c r="BJ11" s="29">
        <v>-6.4299999999999996E-2</v>
      </c>
      <c r="BK11" s="29">
        <v>5.33E-2</v>
      </c>
      <c r="BL11" s="29">
        <v>-0.26269999999999999</v>
      </c>
      <c r="BM11" s="29">
        <v>-0.17230000000000001</v>
      </c>
      <c r="BN11" s="29">
        <v>-0.10630000000000001</v>
      </c>
      <c r="BO11" s="29">
        <v>2.4899999999999999E-2</v>
      </c>
      <c r="BP11" s="29">
        <v>0.19550000000000001</v>
      </c>
      <c r="BQ11" s="29">
        <v>0.17929999999999999</v>
      </c>
      <c r="BR11" s="29">
        <v>-0.25919999999999999</v>
      </c>
      <c r="BS11" s="29">
        <v>0.27479999999999999</v>
      </c>
      <c r="BT11" s="29">
        <v>-0.1376</v>
      </c>
      <c r="BU11" s="29">
        <v>-0.16619999999999999</v>
      </c>
      <c r="BV11" s="29">
        <v>-7.4200000000000002E-2</v>
      </c>
      <c r="BW11" s="29">
        <v>0.2034</v>
      </c>
      <c r="BX11" s="29">
        <v>-0.20069999999999999</v>
      </c>
      <c r="BY11" s="29">
        <v>-0.1386</v>
      </c>
      <c r="BZ11" s="29" t="e">
        <f t="shared" si="0"/>
        <v>#DIV/0!</v>
      </c>
      <c r="CA11" s="29" t="e">
        <f t="shared" si="1"/>
        <v>#DIV/0!</v>
      </c>
      <c r="CB11" s="29" t="e">
        <f t="shared" si="2"/>
        <v>#DIV/0!</v>
      </c>
      <c r="CC11" s="29" t="e">
        <f t="shared" si="3"/>
        <v>#DIV/0!</v>
      </c>
    </row>
    <row r="12" spans="1:108">
      <c r="A12" s="97">
        <f>'6'!G10</f>
        <v>0</v>
      </c>
      <c r="B12" s="58">
        <v>0.38885697349800097</v>
      </c>
      <c r="C12" s="58">
        <v>18.72886606937422</v>
      </c>
      <c r="E12" s="29">
        <v>0.1618</v>
      </c>
      <c r="F12" s="29">
        <v>-1.83E-2</v>
      </c>
      <c r="G12" s="29">
        <v>-0.31900000000000001</v>
      </c>
      <c r="H12" s="29">
        <v>0.1106</v>
      </c>
      <c r="I12" s="29">
        <v>8.8000000000000005E-3</v>
      </c>
      <c r="J12" s="29">
        <v>-3.3099999999999997E-2</v>
      </c>
      <c r="K12" s="29">
        <v>7.6999999999999999E-2</v>
      </c>
      <c r="L12" s="29">
        <v>3.32E-2</v>
      </c>
      <c r="M12" s="29">
        <v>-0.22470000000000001</v>
      </c>
      <c r="N12" s="29">
        <v>-0.14460000000000001</v>
      </c>
      <c r="O12" s="29">
        <v>-0.11260000000000001</v>
      </c>
      <c r="P12" s="29">
        <v>-0.37359999999999999</v>
      </c>
      <c r="Q12" s="29">
        <v>0.2273</v>
      </c>
      <c r="R12" s="29">
        <v>-0.24560000000000001</v>
      </c>
      <c r="S12" s="29">
        <v>-0.34570000000000001</v>
      </c>
      <c r="T12" s="29">
        <v>-3.6999999999999998E-2</v>
      </c>
      <c r="U12" s="29">
        <v>-7.51E-2</v>
      </c>
      <c r="V12" s="29">
        <v>-0.2024</v>
      </c>
      <c r="W12" s="29">
        <v>-0.40870000000000001</v>
      </c>
      <c r="X12" s="29">
        <v>0.18410000000000001</v>
      </c>
      <c r="Y12" s="29">
        <v>-0.28720000000000001</v>
      </c>
      <c r="Z12" s="29">
        <v>-0.1245</v>
      </c>
      <c r="AA12" s="29">
        <v>-0.17380000000000001</v>
      </c>
      <c r="AB12" s="29">
        <v>-0.17499999999999999</v>
      </c>
      <c r="AC12" s="29">
        <v>-0.1666</v>
      </c>
      <c r="AD12" s="29">
        <v>-0.29480000000000001</v>
      </c>
      <c r="AE12" s="29">
        <v>-9.4700000000000006E-2</v>
      </c>
      <c r="AF12" s="29">
        <v>-0.34689999999999999</v>
      </c>
      <c r="AG12" s="29">
        <v>0.187</v>
      </c>
      <c r="AH12" s="29">
        <v>0.24129999999999999</v>
      </c>
      <c r="AI12" s="29">
        <v>-0.1056</v>
      </c>
      <c r="AJ12" s="29">
        <v>0.35970000000000002</v>
      </c>
      <c r="AK12" s="29">
        <v>-7.8299999999999995E-2</v>
      </c>
      <c r="AL12" s="29">
        <v>-1.6199999999999999E-2</v>
      </c>
      <c r="AM12" s="29">
        <v>0.1336</v>
      </c>
      <c r="AN12" s="29">
        <v>-0.36030000000000001</v>
      </c>
      <c r="AO12" s="29">
        <v>-0.33629999999999999</v>
      </c>
      <c r="AP12" s="29">
        <v>-0.1192</v>
      </c>
      <c r="AQ12" s="29">
        <v>5.6500000000000002E-2</v>
      </c>
      <c r="AR12" s="29">
        <v>-0.315</v>
      </c>
      <c r="AS12" s="29">
        <v>-0.21679999999999999</v>
      </c>
      <c r="AT12" s="29">
        <v>0.25519999999999998</v>
      </c>
      <c r="AU12" s="29">
        <v>-0.20039999999999999</v>
      </c>
      <c r="AV12" s="29">
        <v>2.06E-2</v>
      </c>
      <c r="AW12" s="29">
        <v>0.16880000000000001</v>
      </c>
      <c r="AX12" s="29">
        <v>-0.13980000000000001</v>
      </c>
      <c r="AY12" s="29">
        <v>-0.47110000000000002</v>
      </c>
      <c r="AZ12" s="29">
        <v>4.8000000000000001E-2</v>
      </c>
      <c r="BA12" s="29">
        <v>0.1038</v>
      </c>
      <c r="BB12" s="29">
        <v>0.21179999999999999</v>
      </c>
      <c r="BC12" s="29">
        <v>1.3100000000000001E-2</v>
      </c>
      <c r="BD12" s="29">
        <v>-7.3000000000000001E-3</v>
      </c>
      <c r="BE12" s="29">
        <v>-7.5800000000000006E-2</v>
      </c>
      <c r="BF12" s="29">
        <v>-1.84E-2</v>
      </c>
      <c r="BG12" s="29">
        <v>-0.26719999999999999</v>
      </c>
      <c r="BH12" s="29">
        <v>-0.2293</v>
      </c>
      <c r="BI12" s="29">
        <v>0.16020000000000001</v>
      </c>
      <c r="BJ12" s="29">
        <v>0.1249</v>
      </c>
      <c r="BK12" s="29">
        <v>9.8699999999999996E-2</v>
      </c>
      <c r="BL12" s="29">
        <v>0.18290000000000001</v>
      </c>
      <c r="BM12" s="29">
        <v>-0.14180000000000001</v>
      </c>
      <c r="BN12" s="29">
        <v>0.21759999999999999</v>
      </c>
      <c r="BO12" s="29">
        <v>0.13420000000000001</v>
      </c>
      <c r="BP12" s="29">
        <v>0.158</v>
      </c>
      <c r="BQ12" s="29">
        <v>-0.25359999999999999</v>
      </c>
      <c r="BR12" s="29">
        <v>-8.2699999999999996E-2</v>
      </c>
      <c r="BS12" s="29">
        <v>3.9300000000000002E-2</v>
      </c>
      <c r="BT12" s="29">
        <v>-2.3900000000000001E-2</v>
      </c>
      <c r="BU12" s="29">
        <v>5.3100000000000001E-2</v>
      </c>
      <c r="BV12" s="29">
        <v>0.38219999999999998</v>
      </c>
      <c r="BW12" s="29">
        <v>-9.7900000000000001E-2</v>
      </c>
      <c r="BX12" s="29">
        <v>-0.2611</v>
      </c>
      <c r="BY12" s="29">
        <v>0.12379999999999999</v>
      </c>
      <c r="BZ12" s="29" t="e">
        <f t="shared" si="0"/>
        <v>#DIV/0!</v>
      </c>
      <c r="CA12" s="29" t="e">
        <f t="shared" si="1"/>
        <v>#DIV/0!</v>
      </c>
      <c r="CB12" s="29" t="e">
        <f t="shared" si="2"/>
        <v>#DIV/0!</v>
      </c>
      <c r="CC12" s="29" t="e">
        <f t="shared" si="3"/>
        <v>#DIV/0!</v>
      </c>
    </row>
    <row r="13" spans="1:108">
      <c r="A13" s="97" t="e">
        <f>'6'!G11</f>
        <v>#DIV/0!</v>
      </c>
      <c r="B13" s="58">
        <v>5.1990277777777316E-2</v>
      </c>
      <c r="C13" s="58">
        <v>0.40780999999999767</v>
      </c>
      <c r="E13" s="29">
        <v>-0.27410000000000001</v>
      </c>
      <c r="F13" s="29">
        <v>-0.20849999999999999</v>
      </c>
      <c r="G13" s="29">
        <v>-0.2301</v>
      </c>
      <c r="H13" s="29">
        <v>-2.2800000000000001E-2</v>
      </c>
      <c r="I13" s="29">
        <v>-0.16300000000000001</v>
      </c>
      <c r="J13" s="29">
        <v>-0.1138</v>
      </c>
      <c r="K13" s="29">
        <v>0.1457</v>
      </c>
      <c r="L13" s="29">
        <v>-0.21229999999999999</v>
      </c>
      <c r="M13" s="29">
        <v>-0.1055</v>
      </c>
      <c r="N13" s="29">
        <v>-0.1799</v>
      </c>
      <c r="O13" s="29">
        <v>-0.1246</v>
      </c>
      <c r="P13" s="29">
        <v>0.11269999999999999</v>
      </c>
      <c r="Q13" s="29">
        <v>0.2384</v>
      </c>
      <c r="R13" s="29">
        <v>0.15140000000000001</v>
      </c>
      <c r="S13" s="29">
        <v>8.1600000000000006E-2</v>
      </c>
      <c r="T13" s="29">
        <v>-0.12970000000000001</v>
      </c>
      <c r="U13" s="29">
        <v>8.4000000000000005E-2</v>
      </c>
      <c r="V13" s="29">
        <v>-2.3E-2</v>
      </c>
      <c r="W13" s="29">
        <v>3.3300000000000003E-2</v>
      </c>
      <c r="X13" s="29">
        <v>-0.1386</v>
      </c>
      <c r="Y13" s="29">
        <v>0.23250000000000001</v>
      </c>
      <c r="Z13" s="29">
        <v>0.1447</v>
      </c>
      <c r="AA13" s="29">
        <v>-1.8100000000000002E-2</v>
      </c>
      <c r="AB13" s="29">
        <v>-0.24909999999999999</v>
      </c>
      <c r="AC13" s="29">
        <v>-1.03E-2</v>
      </c>
      <c r="AD13" s="29">
        <v>0.23330000000000001</v>
      </c>
      <c r="AE13" s="29">
        <v>0.10680000000000001</v>
      </c>
      <c r="AF13" s="29">
        <v>0.2412</v>
      </c>
      <c r="AG13" s="29">
        <v>-3.4700000000000002E-2</v>
      </c>
      <c r="AH13" s="29">
        <v>-0.2467</v>
      </c>
      <c r="AI13" s="29">
        <v>0.1842</v>
      </c>
      <c r="AJ13" s="29">
        <v>-0.2402</v>
      </c>
      <c r="AK13" s="29">
        <v>0.2402</v>
      </c>
      <c r="AL13" s="29">
        <v>-0.13100000000000001</v>
      </c>
      <c r="AM13" s="29">
        <v>0.20150000000000001</v>
      </c>
      <c r="AN13" s="29">
        <v>3.8399999999999997E-2</v>
      </c>
      <c r="AO13" s="29">
        <v>0.12429999999999999</v>
      </c>
      <c r="AP13" s="29">
        <v>0.11269999999999999</v>
      </c>
      <c r="AQ13" s="29">
        <v>-0.23619999999999999</v>
      </c>
      <c r="AR13" s="29">
        <v>0.18310000000000001</v>
      </c>
      <c r="AS13" s="29">
        <v>4.0500000000000001E-2</v>
      </c>
      <c r="AT13" s="29">
        <v>-0.23960000000000001</v>
      </c>
      <c r="AU13" s="29">
        <v>-2.9399999999999999E-2</v>
      </c>
      <c r="AV13" s="29">
        <v>-8.7900000000000006E-2</v>
      </c>
      <c r="AW13" s="29">
        <v>-0.23369999999999999</v>
      </c>
      <c r="AX13" s="29">
        <v>5.28E-2</v>
      </c>
      <c r="AY13" s="29">
        <v>-0.21110000000000001</v>
      </c>
      <c r="AZ13" s="29">
        <v>-0.15840000000000001</v>
      </c>
      <c r="BA13" s="29">
        <v>-0.19939999999999999</v>
      </c>
      <c r="BB13" s="29">
        <v>-0.22220000000000001</v>
      </c>
      <c r="BC13" s="29">
        <v>6.4799999999999996E-2</v>
      </c>
      <c r="BD13" s="29">
        <v>-0.1739</v>
      </c>
      <c r="BE13" s="29">
        <v>0.2097</v>
      </c>
      <c r="BF13" s="29">
        <v>0.21460000000000001</v>
      </c>
      <c r="BG13" s="29">
        <v>0.15310000000000001</v>
      </c>
      <c r="BH13" s="29">
        <v>-0.1769</v>
      </c>
      <c r="BI13" s="29">
        <v>-0.22700000000000001</v>
      </c>
      <c r="BJ13" s="29">
        <v>0.19339999999999999</v>
      </c>
      <c r="BK13" s="29">
        <v>-0.25969999999999999</v>
      </c>
      <c r="BL13" s="29">
        <v>-0.1065</v>
      </c>
      <c r="BM13" s="29">
        <v>-0.1457</v>
      </c>
      <c r="BN13" s="29">
        <v>4.4499999999999998E-2</v>
      </c>
      <c r="BO13" s="29">
        <v>7.8E-2</v>
      </c>
      <c r="BP13" s="29">
        <v>-9.9699999999999997E-2</v>
      </c>
      <c r="BQ13" s="29">
        <v>-2.2100000000000002E-2</v>
      </c>
      <c r="BR13" s="29">
        <v>-0.23089999999999999</v>
      </c>
      <c r="BS13" s="29">
        <v>0.1343</v>
      </c>
      <c r="BT13" s="29">
        <v>-0.14130000000000001</v>
      </c>
      <c r="BU13" s="29">
        <v>-0.24629999999999999</v>
      </c>
      <c r="BV13" s="29">
        <v>0.28599999999999998</v>
      </c>
      <c r="BW13" s="29">
        <v>0.21310000000000001</v>
      </c>
      <c r="BX13" s="29">
        <v>0.19639999999999999</v>
      </c>
      <c r="BY13" s="29">
        <v>-0.57030000000000003</v>
      </c>
      <c r="BZ13" s="29" t="e">
        <f t="shared" si="0"/>
        <v>#DIV/0!</v>
      </c>
      <c r="CA13" s="29" t="e">
        <f t="shared" si="1"/>
        <v>#DIV/0!</v>
      </c>
      <c r="CB13" s="29" t="e">
        <f t="shared" si="2"/>
        <v>#DIV/0!</v>
      </c>
      <c r="CC13" s="29" t="e">
        <f t="shared" si="3"/>
        <v>#DIV/0!</v>
      </c>
    </row>
    <row r="14" spans="1:108">
      <c r="A14" s="97" t="e">
        <f>'6'!G12</f>
        <v>#DIV/0!</v>
      </c>
      <c r="B14" s="58">
        <v>4.4172132635717717E-2</v>
      </c>
      <c r="C14" s="58">
        <v>0.37735636191226413</v>
      </c>
      <c r="E14" s="29">
        <v>-0.13550000000000001</v>
      </c>
      <c r="F14" s="29">
        <v>-0.1028</v>
      </c>
      <c r="G14" s="29">
        <v>-0.2041</v>
      </c>
      <c r="H14" s="29">
        <v>0.19550000000000001</v>
      </c>
      <c r="I14" s="29">
        <v>0.25609999999999999</v>
      </c>
      <c r="J14" s="29">
        <v>-4.5400000000000003E-2</v>
      </c>
      <c r="K14" s="29">
        <v>0.23910000000000001</v>
      </c>
      <c r="L14" s="29">
        <v>-4.3099999999999999E-2</v>
      </c>
      <c r="M14" s="29">
        <v>5.8099999999999999E-2</v>
      </c>
      <c r="N14" s="29">
        <v>-0.21099999999999999</v>
      </c>
      <c r="O14" s="29">
        <v>0.2283</v>
      </c>
      <c r="P14" s="29">
        <v>7.2999999999999995E-2</v>
      </c>
      <c r="Q14" s="29">
        <v>-7.7000000000000002E-3</v>
      </c>
      <c r="R14" s="29">
        <v>-0.1249</v>
      </c>
      <c r="S14" s="29">
        <v>1.5900000000000001E-2</v>
      </c>
      <c r="T14" s="29">
        <v>0.20810000000000001</v>
      </c>
      <c r="U14" s="29">
        <v>0.2359</v>
      </c>
      <c r="V14" s="29">
        <v>0.2737</v>
      </c>
      <c r="W14" s="29">
        <v>-0.2419</v>
      </c>
      <c r="X14" s="29">
        <v>-0.31490000000000001</v>
      </c>
      <c r="Y14" s="29">
        <v>-0.18459999999999999</v>
      </c>
      <c r="Z14" s="29">
        <v>-0.21299999999999999</v>
      </c>
      <c r="AA14" s="29">
        <v>0.1152</v>
      </c>
      <c r="AB14" s="29">
        <v>0.25669999999999998</v>
      </c>
      <c r="AC14" s="29">
        <v>0.2077</v>
      </c>
      <c r="AD14" s="29">
        <v>-0.20100000000000001</v>
      </c>
      <c r="AE14" s="29">
        <v>-0.16370000000000001</v>
      </c>
      <c r="AF14" s="29">
        <v>-0.23369999999999999</v>
      </c>
      <c r="AG14" s="29">
        <v>0.10879999999999999</v>
      </c>
      <c r="AH14" s="29">
        <v>6.3E-3</v>
      </c>
      <c r="AI14" s="29">
        <v>0.20830000000000001</v>
      </c>
      <c r="AJ14" s="29">
        <v>-0.2752</v>
      </c>
      <c r="AK14" s="29">
        <v>-4.5100000000000001E-2</v>
      </c>
      <c r="AL14" s="29">
        <v>-0.1608</v>
      </c>
      <c r="AM14" s="29">
        <v>-0.23139999999999999</v>
      </c>
      <c r="AN14" s="29">
        <v>-0.21909999999999999</v>
      </c>
      <c r="AO14" s="29">
        <v>-0.1129</v>
      </c>
      <c r="AP14" s="29">
        <v>-3.3599999999999998E-2</v>
      </c>
      <c r="AQ14" s="29">
        <v>-0.2676</v>
      </c>
      <c r="AR14" s="29">
        <v>9.4E-2</v>
      </c>
      <c r="AS14" s="29">
        <v>-0.2445</v>
      </c>
      <c r="AT14" s="29">
        <v>0.24829999999999999</v>
      </c>
      <c r="AU14" s="29">
        <v>-0.27829999999999999</v>
      </c>
      <c r="AV14" s="29">
        <v>-0.20250000000000001</v>
      </c>
      <c r="AW14" s="29">
        <v>3.5400000000000001E-2</v>
      </c>
      <c r="AX14" s="29">
        <v>-0.22420000000000001</v>
      </c>
      <c r="AY14" s="29">
        <v>3.0800000000000001E-2</v>
      </c>
      <c r="AZ14" s="29">
        <v>-1.46E-2</v>
      </c>
      <c r="BA14" s="29">
        <v>0.2087</v>
      </c>
      <c r="BB14" s="29">
        <v>5.2299999999999999E-2</v>
      </c>
      <c r="BC14" s="29">
        <v>2.35E-2</v>
      </c>
      <c r="BD14" s="29">
        <v>-0.17280000000000001</v>
      </c>
      <c r="BE14" s="29">
        <v>0.18720000000000001</v>
      </c>
      <c r="BF14" s="29">
        <v>-2.5700000000000001E-2</v>
      </c>
      <c r="BG14" s="29">
        <v>0.13800000000000001</v>
      </c>
      <c r="BH14" s="29">
        <v>6.4500000000000002E-2</v>
      </c>
      <c r="BI14" s="29">
        <v>1.21E-2</v>
      </c>
      <c r="BJ14" s="29">
        <v>6.0999999999999999E-2</v>
      </c>
      <c r="BK14" s="29">
        <v>0.11990000000000001</v>
      </c>
      <c r="BL14" s="29">
        <v>-0.16250000000000001</v>
      </c>
      <c r="BM14" s="29">
        <v>-0.16900000000000001</v>
      </c>
      <c r="BN14" s="29">
        <v>0.1431</v>
      </c>
      <c r="BO14" s="29">
        <v>5.3800000000000001E-2</v>
      </c>
      <c r="BP14" s="29">
        <v>0.1522</v>
      </c>
      <c r="BQ14" s="29">
        <v>-0.16539999999999999</v>
      </c>
      <c r="BR14" s="29">
        <v>0.17699999999999999</v>
      </c>
      <c r="BS14" s="29">
        <v>-0.27579999999999999</v>
      </c>
      <c r="BT14" s="29">
        <v>0.14460000000000001</v>
      </c>
      <c r="BU14" s="29">
        <v>0.1419</v>
      </c>
      <c r="BV14" s="29">
        <v>-0.13320000000000001</v>
      </c>
      <c r="BW14" s="29">
        <v>-0.1046</v>
      </c>
      <c r="BX14" s="29">
        <v>6.2700000000000006E-2</v>
      </c>
      <c r="BY14" s="29">
        <v>-0.77470000000000006</v>
      </c>
      <c r="BZ14" s="29" t="e">
        <f t="shared" si="0"/>
        <v>#DIV/0!</v>
      </c>
      <c r="CA14" s="29" t="e">
        <f t="shared" si="1"/>
        <v>#DIV/0!</v>
      </c>
      <c r="CB14" s="29" t="e">
        <f t="shared" si="2"/>
        <v>#DIV/0!</v>
      </c>
      <c r="CC14" s="29" t="e">
        <f t="shared" si="3"/>
        <v>#DIV/0!</v>
      </c>
    </row>
    <row r="15" spans="1:108">
      <c r="A15" s="97">
        <f>'6'!G13</f>
        <v>0</v>
      </c>
      <c r="B15" s="58">
        <v>0.15082500000000199</v>
      </c>
      <c r="C15" s="58">
        <v>1.5924250000000013</v>
      </c>
      <c r="E15" s="29">
        <v>-0.15920000000000001</v>
      </c>
      <c r="F15" s="29">
        <v>0.1908</v>
      </c>
      <c r="G15" s="29">
        <v>-7.2099999999999997E-2</v>
      </c>
      <c r="H15" s="29">
        <v>5.8599999999999999E-2</v>
      </c>
      <c r="I15" s="29">
        <v>-4.1700000000000001E-2</v>
      </c>
      <c r="J15" s="29">
        <v>-0.17299999999999999</v>
      </c>
      <c r="K15" s="29">
        <v>0.16309999999999999</v>
      </c>
      <c r="L15" s="29">
        <v>-0.49109999999999998</v>
      </c>
      <c r="M15" s="29">
        <v>-0.14369999999999999</v>
      </c>
      <c r="N15" s="29">
        <v>-5.3600000000000002E-2</v>
      </c>
      <c r="O15" s="29">
        <v>-0.1159</v>
      </c>
      <c r="P15" s="29">
        <v>-4.7699999999999999E-2</v>
      </c>
      <c r="Q15" s="29">
        <v>-0.1295</v>
      </c>
      <c r="R15" s="29">
        <v>-0.2273</v>
      </c>
      <c r="S15" s="29">
        <v>7.3400000000000007E-2</v>
      </c>
      <c r="T15" s="29">
        <v>-0.2697</v>
      </c>
      <c r="U15" s="29">
        <v>-2.8299999999999999E-2</v>
      </c>
      <c r="V15" s="29">
        <v>0.1179</v>
      </c>
      <c r="W15" s="29">
        <v>-0.33300000000000002</v>
      </c>
      <c r="X15" s="29">
        <v>0.24179999999999999</v>
      </c>
      <c r="Y15" s="29">
        <v>-0.24349999999999999</v>
      </c>
      <c r="Z15" s="29">
        <v>9.1300000000000006E-2</v>
      </c>
      <c r="AA15" s="29">
        <v>-0.26800000000000002</v>
      </c>
      <c r="AB15" s="29">
        <v>-0.4602</v>
      </c>
      <c r="AC15" s="29">
        <v>-2.4799999999999999E-2</v>
      </c>
      <c r="AD15" s="29">
        <v>6.1100000000000002E-2</v>
      </c>
      <c r="AE15" s="29">
        <v>0.43809999999999999</v>
      </c>
      <c r="AF15" s="29">
        <v>-3.9100000000000003E-2</v>
      </c>
      <c r="AG15" s="29">
        <v>0.11890000000000001</v>
      </c>
      <c r="AH15" s="29">
        <v>0.26440000000000002</v>
      </c>
      <c r="AI15" s="29">
        <v>8.5400000000000004E-2</v>
      </c>
      <c r="AJ15" s="29">
        <v>4.9200000000000001E-2</v>
      </c>
      <c r="AK15" s="29">
        <v>-0.3725</v>
      </c>
      <c r="AL15" s="29">
        <v>0.19470000000000001</v>
      </c>
      <c r="AM15" s="29">
        <v>0.49320000000000003</v>
      </c>
      <c r="AN15" s="29">
        <v>-0.19550000000000001</v>
      </c>
      <c r="AO15" s="29">
        <v>-0.1139</v>
      </c>
      <c r="AP15" s="29">
        <v>0.1249</v>
      </c>
      <c r="AQ15" s="29">
        <v>-0.1822</v>
      </c>
      <c r="AR15" s="29">
        <v>0.28060000000000002</v>
      </c>
      <c r="AS15" s="29">
        <v>-0.2591</v>
      </c>
      <c r="AT15" s="29">
        <v>0.16009999999999999</v>
      </c>
      <c r="AU15" s="29">
        <v>-1.72E-2</v>
      </c>
      <c r="AV15" s="29">
        <v>-0.3674</v>
      </c>
      <c r="AW15" s="29">
        <v>-0.1605</v>
      </c>
      <c r="AX15" s="29">
        <v>-0.43590000000000001</v>
      </c>
      <c r="AY15" s="29">
        <v>-0.1321</v>
      </c>
      <c r="AZ15" s="29">
        <v>-9.9500000000000005E-2</v>
      </c>
      <c r="BA15" s="29">
        <v>-0.21759999999999999</v>
      </c>
      <c r="BB15" s="29">
        <v>3.8600000000000002E-2</v>
      </c>
      <c r="BC15" s="29">
        <v>-0.16589999999999999</v>
      </c>
      <c r="BD15" s="29">
        <v>-0.21859999999999999</v>
      </c>
      <c r="BE15" s="29">
        <v>-0.19980000000000001</v>
      </c>
      <c r="BF15" s="29">
        <v>0.25390000000000001</v>
      </c>
      <c r="BG15" s="29">
        <v>-0.34050000000000002</v>
      </c>
      <c r="BH15" s="29">
        <v>-0.1389</v>
      </c>
      <c r="BI15" s="29">
        <v>-1.29E-2</v>
      </c>
      <c r="BJ15" s="29">
        <v>-6.3299999999999995E-2</v>
      </c>
      <c r="BK15" s="29">
        <v>0.23250000000000001</v>
      </c>
      <c r="BL15" s="29">
        <v>-0.1024</v>
      </c>
      <c r="BM15" s="29">
        <v>-9.2299999999999993E-2</v>
      </c>
      <c r="BN15" s="29">
        <v>-0.34470000000000001</v>
      </c>
      <c r="BO15" s="29">
        <v>-0.2064</v>
      </c>
      <c r="BP15" s="29">
        <v>-7.3999999999999996E-2</v>
      </c>
      <c r="BQ15" s="29">
        <v>-0.1207</v>
      </c>
      <c r="BR15" s="29">
        <v>-1.7999999999999999E-2</v>
      </c>
      <c r="BS15" s="29">
        <v>0.33579999999999999</v>
      </c>
      <c r="BT15" s="29">
        <v>0.2974</v>
      </c>
      <c r="BU15" s="29">
        <v>0.22009999999999999</v>
      </c>
      <c r="BV15" s="29">
        <v>-7.4200000000000002E-2</v>
      </c>
      <c r="BW15" s="29">
        <v>0.1206</v>
      </c>
      <c r="BX15" s="29">
        <v>8.3699999999999997E-2</v>
      </c>
      <c r="BY15" s="29">
        <v>-1.2939000000000001</v>
      </c>
      <c r="BZ15" s="29" t="e">
        <f t="shared" si="0"/>
        <v>#DIV/0!</v>
      </c>
      <c r="CA15" s="29" t="e">
        <f t="shared" si="1"/>
        <v>#DIV/0!</v>
      </c>
      <c r="CB15" s="29" t="e">
        <f t="shared" si="2"/>
        <v>#DIV/0!</v>
      </c>
      <c r="CC15" s="29" t="e">
        <f t="shared" si="3"/>
        <v>#DIV/0!</v>
      </c>
    </row>
    <row r="16" spans="1:108">
      <c r="A16" s="97" t="e">
        <f>'6'!G14</f>
        <v>#DIV/0!</v>
      </c>
      <c r="B16" s="58">
        <v>0.68464115060254516</v>
      </c>
      <c r="C16" s="58">
        <v>0.99966312466168894</v>
      </c>
      <c r="E16" s="29">
        <v>-0.32250000000000001</v>
      </c>
      <c r="F16" s="29">
        <v>8.1100000000000005E-2</v>
      </c>
      <c r="G16" s="29">
        <v>0.16370000000000001</v>
      </c>
      <c r="H16" s="29">
        <v>7.7299999999999994E-2</v>
      </c>
      <c r="I16" s="29">
        <v>-0.30780000000000002</v>
      </c>
      <c r="J16" s="29">
        <v>2.7900000000000001E-2</v>
      </c>
      <c r="K16" s="29">
        <v>-0.25509999999999999</v>
      </c>
      <c r="L16" s="29">
        <v>-0.25929999999999997</v>
      </c>
      <c r="M16" s="29">
        <v>-0.38529999999999998</v>
      </c>
      <c r="N16" s="29">
        <v>-0.12089999999999999</v>
      </c>
      <c r="O16" s="29">
        <v>-0.24099999999999999</v>
      </c>
      <c r="P16" s="29">
        <v>0.20849999999999999</v>
      </c>
      <c r="Q16" s="29">
        <v>-8.14E-2</v>
      </c>
      <c r="R16" s="29">
        <v>-0.16980000000000001</v>
      </c>
      <c r="S16" s="29">
        <v>-8.1500000000000003E-2</v>
      </c>
      <c r="T16" s="29">
        <v>0.17910000000000001</v>
      </c>
      <c r="U16" s="29">
        <v>0.33800000000000002</v>
      </c>
      <c r="V16" s="29">
        <v>4.2799999999999998E-2</v>
      </c>
      <c r="W16" s="29">
        <v>-0.4637</v>
      </c>
      <c r="X16" s="29">
        <v>-0.11409999999999999</v>
      </c>
      <c r="Y16" s="29">
        <v>0.24329999999999999</v>
      </c>
      <c r="Z16" s="29">
        <v>-0.3669</v>
      </c>
      <c r="AA16" s="29">
        <v>1.5299999999999999E-2</v>
      </c>
      <c r="AB16" s="29">
        <v>-9.5899999999999999E-2</v>
      </c>
      <c r="AC16" s="29">
        <v>3.9399999999999998E-2</v>
      </c>
      <c r="AD16" s="29">
        <v>0.1119</v>
      </c>
      <c r="AE16" s="29">
        <v>-5.9999999999999995E-4</v>
      </c>
      <c r="AF16" s="29">
        <v>-0.13719999999999999</v>
      </c>
      <c r="AG16" s="29">
        <v>0.1968</v>
      </c>
      <c r="AH16" s="29">
        <v>0.19819999999999999</v>
      </c>
      <c r="AI16" s="29">
        <v>-4.53E-2</v>
      </c>
      <c r="AJ16" s="29">
        <v>0.3054</v>
      </c>
      <c r="AK16" s="29">
        <v>-0.13120000000000001</v>
      </c>
      <c r="AL16" s="29">
        <v>0.2555</v>
      </c>
      <c r="AM16" s="29">
        <v>0.4224</v>
      </c>
      <c r="AN16" s="29">
        <v>-0.39689999999999998</v>
      </c>
      <c r="AO16" s="29">
        <v>-0.2797</v>
      </c>
      <c r="AP16" s="29">
        <v>-0.37630000000000002</v>
      </c>
      <c r="AQ16" s="29">
        <v>-0.1147</v>
      </c>
      <c r="AR16" s="29">
        <v>0.1792</v>
      </c>
      <c r="AS16" s="29">
        <v>-0.161</v>
      </c>
      <c r="AT16" s="29">
        <v>7.9399999999999998E-2</v>
      </c>
      <c r="AU16" s="29">
        <v>-0.1108</v>
      </c>
      <c r="AV16" s="29">
        <v>-0.4622</v>
      </c>
      <c r="AW16" s="29">
        <v>9.5999999999999992E-3</v>
      </c>
      <c r="AX16" s="29">
        <v>1.1299999999999999E-2</v>
      </c>
      <c r="AY16" s="29">
        <v>0.10299999999999999</v>
      </c>
      <c r="AZ16" s="29">
        <v>1.8800000000000001E-2</v>
      </c>
      <c r="BA16" s="29">
        <v>-0.23519999999999999</v>
      </c>
      <c r="BB16" s="29">
        <v>-0.254</v>
      </c>
      <c r="BC16" s="29">
        <v>0.1542</v>
      </c>
      <c r="BD16" s="29">
        <v>-0.17249999999999999</v>
      </c>
      <c r="BE16" s="29">
        <v>-3.95E-2</v>
      </c>
      <c r="BF16" s="29">
        <v>0.13700000000000001</v>
      </c>
      <c r="BG16" s="29">
        <v>-0.35470000000000002</v>
      </c>
      <c r="BH16" s="29">
        <v>-0.1343</v>
      </c>
      <c r="BI16" s="29">
        <v>-0.3916</v>
      </c>
      <c r="BJ16" s="29">
        <v>-0.16880000000000001</v>
      </c>
      <c r="BK16" s="29">
        <v>0.1056</v>
      </c>
      <c r="BL16" s="29">
        <v>7.4999999999999997E-2</v>
      </c>
      <c r="BM16" s="29">
        <v>2.0299999999999999E-2</v>
      </c>
      <c r="BN16" s="29">
        <v>0.1741</v>
      </c>
      <c r="BO16" s="29">
        <v>-1.9099999999999999E-2</v>
      </c>
      <c r="BP16" s="29">
        <v>-0.27239999999999998</v>
      </c>
      <c r="BQ16" s="29">
        <v>-0.24129999999999999</v>
      </c>
      <c r="BR16" s="29">
        <v>-0.1376</v>
      </c>
      <c r="BS16" s="29">
        <v>-4.0000000000000002E-4</v>
      </c>
      <c r="BT16" s="29">
        <v>4.7399999999999998E-2</v>
      </c>
      <c r="BU16" s="29">
        <v>0.16980000000000001</v>
      </c>
      <c r="BV16" s="29">
        <v>9.7000000000000003E-2</v>
      </c>
      <c r="BW16" s="29">
        <v>0.15110000000000001</v>
      </c>
      <c r="BX16" s="29">
        <v>1.8200000000000001E-2</v>
      </c>
      <c r="BY16" s="29">
        <v>-1.5717000000000001</v>
      </c>
      <c r="BZ16" s="29" t="e">
        <f t="shared" si="0"/>
        <v>#DIV/0!</v>
      </c>
      <c r="CA16" s="29" t="e">
        <f t="shared" si="1"/>
        <v>#DIV/0!</v>
      </c>
      <c r="CB16" s="29" t="e">
        <f t="shared" si="2"/>
        <v>#DIV/0!</v>
      </c>
      <c r="CC16" s="29" t="e">
        <f t="shared" si="3"/>
        <v>#DIV/0!</v>
      </c>
    </row>
    <row r="17" spans="1:81">
      <c r="A17" s="97" t="e">
        <f>'6'!G15</f>
        <v>#DIV/0!</v>
      </c>
      <c r="B17" s="58">
        <v>0.7446199985956703</v>
      </c>
      <c r="C17" s="58">
        <v>1.776058872322485</v>
      </c>
      <c r="E17" s="29">
        <v>-1.21E-2</v>
      </c>
      <c r="F17" s="29">
        <v>6.6E-3</v>
      </c>
      <c r="G17" s="29">
        <v>-0.1762</v>
      </c>
      <c r="H17" s="29">
        <v>7.8899999999999998E-2</v>
      </c>
      <c r="I17" s="29">
        <v>6.5000000000000002E-2</v>
      </c>
      <c r="J17" s="29">
        <v>-0.17069999999999999</v>
      </c>
      <c r="K17" s="29">
        <v>-0.25</v>
      </c>
      <c r="L17" s="29">
        <v>-0.29859999999999998</v>
      </c>
      <c r="M17" s="29">
        <v>0.12620000000000001</v>
      </c>
      <c r="N17" s="29">
        <v>0.1462</v>
      </c>
      <c r="O17" s="29">
        <v>-0.1953</v>
      </c>
      <c r="P17" s="29">
        <v>7.5700000000000003E-2</v>
      </c>
      <c r="Q17" s="29">
        <v>-0.21390000000000001</v>
      </c>
      <c r="R17" s="29">
        <v>-0.1981</v>
      </c>
      <c r="S17" s="29">
        <v>-0.27429999999999999</v>
      </c>
      <c r="T17" s="29">
        <v>-0.23219999999999999</v>
      </c>
      <c r="U17" s="29">
        <v>9.7999999999999997E-3</v>
      </c>
      <c r="V17" s="29">
        <v>-0.104</v>
      </c>
      <c r="W17" s="29">
        <v>4.5499999999999999E-2</v>
      </c>
      <c r="X17" s="29">
        <v>0.14280000000000001</v>
      </c>
      <c r="Y17" s="29">
        <v>0.1038</v>
      </c>
      <c r="Z17" s="29">
        <v>-0.1744</v>
      </c>
      <c r="AA17" s="29">
        <v>-0.13170000000000001</v>
      </c>
      <c r="AB17" s="29">
        <v>-0.2243</v>
      </c>
      <c r="AC17" s="29">
        <v>2.8899999999999999E-2</v>
      </c>
      <c r="AD17" s="29">
        <v>-0.1348</v>
      </c>
      <c r="AE17" s="29">
        <v>-3.6799999999999999E-2</v>
      </c>
      <c r="AF17" s="29">
        <v>0.27639999999999998</v>
      </c>
      <c r="AG17" s="29">
        <v>0.23369999999999999</v>
      </c>
      <c r="AH17" s="29">
        <v>0.22500000000000001</v>
      </c>
      <c r="AI17" s="29">
        <v>4.5400000000000003E-2</v>
      </c>
      <c r="AJ17" s="29">
        <v>-0.19670000000000001</v>
      </c>
      <c r="AK17" s="29">
        <v>-0.1399</v>
      </c>
      <c r="AL17" s="29">
        <v>-4.2299999999999997E-2</v>
      </c>
      <c r="AM17" s="29">
        <v>0.17430000000000001</v>
      </c>
      <c r="AN17" s="29">
        <v>-0.29930000000000001</v>
      </c>
      <c r="AO17" s="29">
        <v>-0.24690000000000001</v>
      </c>
      <c r="AP17" s="29">
        <v>-6.5000000000000002E-2</v>
      </c>
      <c r="AQ17" s="29">
        <v>-0.1777</v>
      </c>
      <c r="AR17" s="29">
        <v>9.9199999999999997E-2</v>
      </c>
      <c r="AS17" s="29">
        <v>-0.31859999999999999</v>
      </c>
      <c r="AT17" s="29">
        <v>-0.1096</v>
      </c>
      <c r="AU17" s="29">
        <v>-2.8899999999999999E-2</v>
      </c>
      <c r="AV17" s="29">
        <v>-5.9700000000000003E-2</v>
      </c>
      <c r="AW17" s="29">
        <v>7.2999999999999995E-2</v>
      </c>
      <c r="AX17" s="29">
        <v>0.2472</v>
      </c>
      <c r="AY17" s="29">
        <v>-0.1043</v>
      </c>
      <c r="AZ17" s="29">
        <v>-0.11509999999999999</v>
      </c>
      <c r="BA17" s="29">
        <v>0.15190000000000001</v>
      </c>
      <c r="BB17" s="29">
        <v>-0.2142</v>
      </c>
      <c r="BC17" s="29">
        <v>0.18060000000000001</v>
      </c>
      <c r="BD17" s="29">
        <v>8.7999999999999995E-2</v>
      </c>
      <c r="BE17" s="29">
        <v>8.9700000000000002E-2</v>
      </c>
      <c r="BF17" s="29">
        <v>-0.13850000000000001</v>
      </c>
      <c r="BG17" s="29">
        <v>0.21529999999999999</v>
      </c>
      <c r="BH17" s="29">
        <v>5.1700000000000003E-2</v>
      </c>
      <c r="BI17" s="29">
        <v>-0.106</v>
      </c>
      <c r="BJ17" s="29">
        <v>0.12089999999999999</v>
      </c>
      <c r="BK17" s="29">
        <v>-0.187</v>
      </c>
      <c r="BL17" s="29">
        <v>-0.17949999999999999</v>
      </c>
      <c r="BM17" s="29">
        <v>3.5000000000000001E-3</v>
      </c>
      <c r="BN17" s="29">
        <v>0.1605</v>
      </c>
      <c r="BO17" s="29">
        <v>1.8800000000000001E-2</v>
      </c>
      <c r="BP17" s="29">
        <v>5.7200000000000001E-2</v>
      </c>
      <c r="BQ17" s="29">
        <v>-0.14979999999999999</v>
      </c>
      <c r="BR17" s="29">
        <v>-0.19</v>
      </c>
      <c r="BS17" s="29">
        <v>0.26</v>
      </c>
      <c r="BT17" s="29">
        <v>0.26390000000000002</v>
      </c>
      <c r="BU17" s="29">
        <v>0.10920000000000001</v>
      </c>
      <c r="BV17" s="29">
        <v>0.28560000000000002</v>
      </c>
      <c r="BW17" s="29">
        <v>-0.20419999999999999</v>
      </c>
      <c r="BX17" s="29">
        <v>-0.21809999999999999</v>
      </c>
      <c r="BY17" s="29">
        <v>-1.5888</v>
      </c>
      <c r="BZ17" s="29" t="e">
        <f t="shared" si="0"/>
        <v>#DIV/0!</v>
      </c>
      <c r="CA17" s="29" t="e">
        <f t="shared" si="1"/>
        <v>#DIV/0!</v>
      </c>
      <c r="CB17" s="29" t="e">
        <f t="shared" si="2"/>
        <v>#DIV/0!</v>
      </c>
      <c r="CC17" s="29" t="e">
        <f t="shared" si="3"/>
        <v>#DIV/0!</v>
      </c>
    </row>
    <row r="18" spans="1:81">
      <c r="A18" s="97" t="e">
        <f>'6'!G16</f>
        <v>#DIV/0!</v>
      </c>
      <c r="B18" s="58">
        <v>-5.894196736816415</v>
      </c>
      <c r="C18" s="58">
        <v>0.53477884415095644</v>
      </c>
    </row>
    <row r="19" spans="1:81">
      <c r="A19" s="97" t="e">
        <f>'6'!G17</f>
        <v>#DIV/0!</v>
      </c>
      <c r="B19" s="58">
        <v>2.9720804698070653E-2</v>
      </c>
      <c r="C19" s="58">
        <v>0.34648755322224511</v>
      </c>
    </row>
    <row r="20" spans="1:81">
      <c r="A20" s="97" t="e">
        <f>'6'!G18</f>
        <v>#DIV/0!</v>
      </c>
      <c r="B20" s="58">
        <v>1.9634173954842009E-2</v>
      </c>
      <c r="C20" s="58">
        <v>0.35034493712250947</v>
      </c>
    </row>
    <row r="21" spans="1:81">
      <c r="A21" s="97">
        <f>'6'!G19</f>
        <v>0</v>
      </c>
      <c r="B21" s="58">
        <v>5.1963856455004231E-2</v>
      </c>
      <c r="C21" s="58">
        <v>1.5456678806149959</v>
      </c>
    </row>
    <row r="22" spans="1:81">
      <c r="A22" s="97" t="e">
        <f>'6'!G20</f>
        <v>#DIV/0!</v>
      </c>
      <c r="B22" s="58">
        <v>0.41528071135973343</v>
      </c>
      <c r="C22" s="58">
        <v>9.6308153268741172</v>
      </c>
    </row>
    <row r="23" spans="1:81">
      <c r="A23" s="97" t="e">
        <f>'6'!G21</f>
        <v>#DIV/0!</v>
      </c>
      <c r="B23" s="58">
        <v>0.12521992081957711</v>
      </c>
      <c r="C23" s="58">
        <v>13.400393589276268</v>
      </c>
    </row>
    <row r="24" spans="1:81">
      <c r="A24" s="97">
        <f>'6'!G22</f>
        <v>0</v>
      </c>
      <c r="B24" s="58">
        <v>0.64923311009989582</v>
      </c>
      <c r="C24" s="58">
        <v>38.941157959978931</v>
      </c>
    </row>
    <row r="25" spans="1:81">
      <c r="A25" s="97" t="e">
        <f>'6'!G23</f>
        <v>#DIV/0!</v>
      </c>
      <c r="B25" s="58">
        <v>0.25695916956797354</v>
      </c>
      <c r="C25" s="58">
        <v>11.254092025620213</v>
      </c>
    </row>
    <row r="26" spans="1:81">
      <c r="A26" s="97" t="e">
        <f>'6'!G24</f>
        <v>#DIV/0!</v>
      </c>
      <c r="B26" s="58">
        <v>0.15875915527613643</v>
      </c>
      <c r="C26" s="58">
        <v>14.263171078963079</v>
      </c>
    </row>
    <row r="27" spans="1:81">
      <c r="A27" s="97">
        <f>'6'!G25</f>
        <v>0</v>
      </c>
      <c r="B27" s="58">
        <v>0.51217038616742794</v>
      </c>
      <c r="C27" s="58">
        <v>39.22055675250715</v>
      </c>
    </row>
    <row r="28" spans="1:81">
      <c r="A28" s="97">
        <f>'6'!G26</f>
        <v>1</v>
      </c>
      <c r="B28" s="58">
        <v>1</v>
      </c>
      <c r="C28" s="58">
        <v>4</v>
      </c>
    </row>
    <row r="29" spans="1:81">
      <c r="A29" s="97" t="e">
        <f>'6'!G27</f>
        <v>#DIV/0!</v>
      </c>
      <c r="B29" s="58">
        <v>0.87924814484934699</v>
      </c>
      <c r="C29" s="58">
        <v>1.5387769951967811</v>
      </c>
    </row>
    <row r="30" spans="1:81">
      <c r="A30" s="97">
        <f>'6'!G28</f>
        <v>1</v>
      </c>
      <c r="B30" s="58">
        <v>1</v>
      </c>
      <c r="C30" s="58">
        <v>4</v>
      </c>
    </row>
    <row r="31" spans="1:81">
      <c r="A31" s="97" t="e">
        <f>'6'!G29</f>
        <v>#DIV/0!</v>
      </c>
      <c r="B31" s="58">
        <v>0.60404566495248024</v>
      </c>
      <c r="C31" s="58">
        <v>1.5303361189034319</v>
      </c>
    </row>
    <row r="32" spans="1:81">
      <c r="A32" s="97" t="e">
        <f>'6'!G30</f>
        <v>#DIV/0!</v>
      </c>
      <c r="B32" s="58">
        <v>0</v>
      </c>
      <c r="C32" s="58">
        <v>1</v>
      </c>
    </row>
    <row r="33" spans="1:3">
      <c r="A33" s="97" t="e">
        <f>'6'!G31</f>
        <v>#DIV/0!</v>
      </c>
      <c r="B33" s="58">
        <v>0</v>
      </c>
      <c r="C33" s="58">
        <v>0.72727272727272729</v>
      </c>
    </row>
    <row r="34" spans="1:3">
      <c r="A34" s="97" t="e">
        <f>'6'!G32</f>
        <v>#DIV/0!</v>
      </c>
      <c r="B34" s="58">
        <v>0</v>
      </c>
      <c r="C34" s="58">
        <v>0.6470588235294118</v>
      </c>
    </row>
    <row r="35" spans="1:3">
      <c r="A35" s="97" t="e">
        <f>'6'!G33</f>
        <v>#DIV/0!</v>
      </c>
      <c r="B35" s="58">
        <v>0</v>
      </c>
      <c r="C35" s="58">
        <v>0.8571428571428571</v>
      </c>
    </row>
    <row r="36" spans="1:3">
      <c r="A36" s="97" t="e">
        <f>'6'!G34</f>
        <v>#DIV/0!</v>
      </c>
      <c r="B36" s="58">
        <v>0</v>
      </c>
      <c r="C36" s="58">
        <v>0.55555555555555558</v>
      </c>
    </row>
    <row r="37" spans="1:3">
      <c r="A37" s="97" t="e">
        <f>'6'!G35</f>
        <v>#DIV/0!</v>
      </c>
      <c r="B37" s="58">
        <v>0</v>
      </c>
      <c r="C37" s="58">
        <v>0.66666666666666663</v>
      </c>
    </row>
    <row r="38" spans="1:3">
      <c r="A38" s="97" t="e">
        <f>'6'!G36</f>
        <v>#DIV/0!</v>
      </c>
      <c r="B38" s="58">
        <v>0</v>
      </c>
      <c r="C38" s="58">
        <v>0.6</v>
      </c>
    </row>
    <row r="39" spans="1:3">
      <c r="A39" s="97" t="e">
        <f>'6'!G37</f>
        <v>#DIV/0!</v>
      </c>
      <c r="B39" s="58">
        <v>0</v>
      </c>
      <c r="C39" s="58">
        <v>0.55555555555555558</v>
      </c>
    </row>
    <row r="40" spans="1:3">
      <c r="A40" s="97" t="e">
        <f>'6'!G38</f>
        <v>#DIV/0!</v>
      </c>
      <c r="B40" s="58">
        <v>0.34617499999999435</v>
      </c>
      <c r="C40" s="58">
        <v>5.5179721386939544</v>
      </c>
    </row>
    <row r="41" spans="1:3">
      <c r="A41" s="97" t="e">
        <f>'6'!G39</f>
        <v>#DIV/0!</v>
      </c>
      <c r="B41" s="58">
        <v>0.20757944606478998</v>
      </c>
      <c r="C41" s="58">
        <v>4.9577400030237939</v>
      </c>
    </row>
    <row r="42" spans="1:3">
      <c r="A42" s="97">
        <f>'6'!G40</f>
        <v>0</v>
      </c>
      <c r="B42" s="58">
        <v>0.56824999999997416</v>
      </c>
      <c r="C42" s="58">
        <v>20.367760134091412</v>
      </c>
    </row>
    <row r="43" spans="1:3">
      <c r="A43" s="97" t="e">
        <f>'6'!G41</f>
        <v>#DIV/0!</v>
      </c>
      <c r="B43" s="58">
        <v>0.89507391575388795</v>
      </c>
      <c r="C43" s="58">
        <v>0.99986926760988271</v>
      </c>
    </row>
    <row r="44" spans="1:3">
      <c r="A44" s="97" t="e">
        <f>'6'!G42</f>
        <v>#DIV/0!</v>
      </c>
      <c r="B44" s="58">
        <v>0.75576737742948097</v>
      </c>
      <c r="C44" s="58">
        <v>1.0687022404913487</v>
      </c>
    </row>
    <row r="45" spans="1:3">
      <c r="A45" s="97" t="e">
        <f>'6'!G43</f>
        <v>#DIV/0!</v>
      </c>
      <c r="B45" s="58">
        <v>-6.5378563263614975</v>
      </c>
      <c r="C45" s="58">
        <v>32.574267948302563</v>
      </c>
    </row>
    <row r="46" spans="1:3">
      <c r="A46" s="97" t="e">
        <f>'6'!G44</f>
        <v>#DIV/0!</v>
      </c>
      <c r="B46" s="58">
        <v>0.20837134295413851</v>
      </c>
      <c r="C46" s="58">
        <v>4.6720062896736918</v>
      </c>
    </row>
    <row r="47" spans="1:3">
      <c r="A47" s="97" t="e">
        <f>'6'!G45</f>
        <v>#DIV/0!</v>
      </c>
      <c r="B47" s="58">
        <v>0.14904923911101312</v>
      </c>
      <c r="C47" s="58">
        <v>4.6272526868754724</v>
      </c>
    </row>
    <row r="48" spans="1:3">
      <c r="A48" s="97">
        <f>'6'!G46</f>
        <v>0</v>
      </c>
      <c r="B48" s="58">
        <v>0.40139680998120397</v>
      </c>
      <c r="C48" s="58">
        <v>17.531725023001712</v>
      </c>
    </row>
    <row r="49" spans="1:3">
      <c r="A49" s="97" t="e">
        <f>'6'!G47</f>
        <v>#DIV/0!</v>
      </c>
      <c r="B49" s="58">
        <v>4.7233333333333329E-2</v>
      </c>
      <c r="C49" s="58">
        <v>0.34656666666666713</v>
      </c>
    </row>
    <row r="50" spans="1:3">
      <c r="A50" s="97" t="e">
        <f>'6'!G48</f>
        <v>#DIV/0!</v>
      </c>
      <c r="B50" s="58">
        <v>3.1435982192878124E-2</v>
      </c>
      <c r="C50" s="58">
        <v>0.39017871458310688</v>
      </c>
    </row>
    <row r="51" spans="1:3">
      <c r="A51" s="97">
        <f>'6'!G49</f>
        <v>0</v>
      </c>
      <c r="B51" s="58">
        <v>0.12129818038230766</v>
      </c>
      <c r="C51" s="58">
        <v>1.7211000000000007</v>
      </c>
    </row>
    <row r="52" spans="1:3">
      <c r="A52" s="97" t="e">
        <f>'6'!G50</f>
        <v>#DIV/0!</v>
      </c>
      <c r="B52" s="58">
        <v>0.70063335704547636</v>
      </c>
      <c r="C52" s="58">
        <v>0.99950048124566815</v>
      </c>
    </row>
    <row r="53" spans="1:3">
      <c r="A53" s="97" t="e">
        <f>'6'!G51</f>
        <v>#DIV/0!</v>
      </c>
      <c r="B53" s="58">
        <v>0.75570390187327274</v>
      </c>
      <c r="C53" s="58">
        <v>1.6734878738639165</v>
      </c>
    </row>
    <row r="54" spans="1:3">
      <c r="A54" s="97" t="e">
        <f>'6'!G52</f>
        <v>#DIV/0!</v>
      </c>
      <c r="B54" s="58">
        <v>-5.1927415791926803</v>
      </c>
      <c r="C54" s="58">
        <v>1.3292806342338506</v>
      </c>
    </row>
    <row r="55" spans="1:3">
      <c r="A55" s="97" t="e">
        <f>'6'!G53</f>
        <v>#DIV/0!</v>
      </c>
      <c r="B55" s="58">
        <v>3.252853398568907E-2</v>
      </c>
      <c r="C55" s="58">
        <v>0.3495446645079916</v>
      </c>
    </row>
    <row r="56" spans="1:3">
      <c r="A56" s="97" t="e">
        <f>'6'!G54</f>
        <v>#DIV/0!</v>
      </c>
      <c r="B56" s="58">
        <v>2.2012049576506244E-2</v>
      </c>
      <c r="C56" s="58">
        <v>0.33011949114910466</v>
      </c>
    </row>
    <row r="57" spans="1:3">
      <c r="A57" s="97">
        <f>'6'!G55</f>
        <v>0</v>
      </c>
      <c r="B57" s="58">
        <v>7.8165182385849796E-2</v>
      </c>
      <c r="C57" s="58">
        <v>1.4600989328665364</v>
      </c>
    </row>
    <row r="58" spans="1:3">
      <c r="A58" s="97" t="e">
        <f>'6'!G56</f>
        <v>#DIV/0!</v>
      </c>
      <c r="B58" s="58">
        <v>0.30798777863084614</v>
      </c>
      <c r="C58" s="58">
        <v>8.7126235518591777</v>
      </c>
    </row>
    <row r="59" spans="1:3">
      <c r="A59" s="97" t="e">
        <f>'6'!G57</f>
        <v>#DIV/0!</v>
      </c>
      <c r="B59" s="58">
        <v>0.21298340403685362</v>
      </c>
      <c r="C59" s="58">
        <v>13.638777609995483</v>
      </c>
    </row>
    <row r="60" spans="1:3">
      <c r="A60" s="97">
        <f>'6'!G58</f>
        <v>0</v>
      </c>
      <c r="B60" s="58">
        <v>0.6395058170181056</v>
      </c>
      <c r="C60" s="58">
        <v>38.744900342812151</v>
      </c>
    </row>
    <row r="61" spans="1:3">
      <c r="A61" s="97" t="e">
        <f>'6'!G59</f>
        <v>#DIV/0!</v>
      </c>
      <c r="B61" s="58">
        <v>0.28789125950435729</v>
      </c>
      <c r="C61" s="58">
        <v>8.1924058623910483</v>
      </c>
    </row>
    <row r="62" spans="1:3">
      <c r="A62" s="97" t="e">
        <f>'6'!G60</f>
        <v>#DIV/0!</v>
      </c>
      <c r="B62" s="58">
        <v>0.13614273307784375</v>
      </c>
      <c r="C62" s="58">
        <v>14.903193974320441</v>
      </c>
    </row>
    <row r="63" spans="1:3">
      <c r="A63" s="97">
        <f>'6'!G61</f>
        <v>0</v>
      </c>
      <c r="B63" s="58">
        <v>0.40672842525156372</v>
      </c>
      <c r="C63" s="58">
        <v>40.573172920018756</v>
      </c>
    </row>
    <row r="64" spans="1:3">
      <c r="A64" s="97">
        <f>'6'!G62</f>
        <v>1</v>
      </c>
      <c r="B64" s="58">
        <v>1</v>
      </c>
      <c r="C64" s="58">
        <v>4</v>
      </c>
    </row>
    <row r="65" spans="1:3">
      <c r="A65" s="97" t="e">
        <f>'6'!G63</f>
        <v>#DIV/0!</v>
      </c>
      <c r="B65" s="58">
        <v>0.90606407849226511</v>
      </c>
      <c r="C65" s="58">
        <v>1.5385006494432165</v>
      </c>
    </row>
    <row r="66" spans="1:3">
      <c r="A66" s="97">
        <f>'6'!G64</f>
        <v>1</v>
      </c>
      <c r="B66" s="58">
        <v>1</v>
      </c>
      <c r="C66" s="58">
        <v>4</v>
      </c>
    </row>
    <row r="67" spans="1:3">
      <c r="A67" s="97" t="e">
        <f>'6'!G65</f>
        <v>#DIV/0!</v>
      </c>
      <c r="B67" s="58">
        <v>0.98483778158790369</v>
      </c>
      <c r="C67" s="58">
        <v>1.5639426450034666</v>
      </c>
    </row>
    <row r="68" spans="1:3">
      <c r="A68" s="97" t="e">
        <f>'6'!G66</f>
        <v>#DIV/0!</v>
      </c>
      <c r="B68" s="58">
        <v>0</v>
      </c>
      <c r="C68" s="58">
        <v>0.5714285714285714</v>
      </c>
    </row>
    <row r="69" spans="1:3">
      <c r="A69" s="97" t="e">
        <f>'6'!G67</f>
        <v>#DIV/0!</v>
      </c>
      <c r="B69" s="58">
        <v>0</v>
      </c>
      <c r="C69" s="58">
        <v>0.625</v>
      </c>
    </row>
    <row r="70" spans="1:3">
      <c r="A70" s="97" t="e">
        <f>'6'!G68</f>
        <v>#DIV/0!</v>
      </c>
      <c r="B70" s="58">
        <v>0</v>
      </c>
      <c r="C70" s="58">
        <v>0.75</v>
      </c>
    </row>
    <row r="71" spans="1:3">
      <c r="A71" s="97" t="e">
        <f>'6'!G69</f>
        <v>#DIV/0!</v>
      </c>
      <c r="B71" s="58">
        <v>0</v>
      </c>
      <c r="C71" s="58">
        <v>0.8</v>
      </c>
    </row>
    <row r="72" spans="1:3">
      <c r="A72" s="97" t="e">
        <f>'6'!G70</f>
        <v>#DIV/0!</v>
      </c>
      <c r="B72" s="58">
        <v>0</v>
      </c>
      <c r="C72" s="58">
        <v>0.83333333333333337</v>
      </c>
    </row>
    <row r="73" spans="1:3">
      <c r="A73" s="97" t="e">
        <f>'6'!G71</f>
        <v>#DIV/0!</v>
      </c>
      <c r="B73" s="58">
        <v>0</v>
      </c>
      <c r="C73" s="58">
        <v>0.76923076923076927</v>
      </c>
    </row>
    <row r="74" spans="1:3">
      <c r="A74" s="97" t="e">
        <f>'6'!G72</f>
        <v>#DIV/0!</v>
      </c>
      <c r="B74" s="58">
        <v>0</v>
      </c>
      <c r="C74" s="58">
        <v>0.72727272727272729</v>
      </c>
    </row>
    <row r="75" spans="1:3">
      <c r="A75" s="97" t="e">
        <f>'6'!G73</f>
        <v>#DIV/0!</v>
      </c>
      <c r="B75" s="58">
        <v>0</v>
      </c>
      <c r="C75" s="58">
        <v>0.83333333333333337</v>
      </c>
    </row>
  </sheetData>
  <sheetProtection password="EA63" sheet="1" objects="1" scenarios="1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Main</vt:lpstr>
      <vt:lpstr>Calcd Shifts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2015-07-06T14:42:45Z</dcterms:modified>
</cp:coreProperties>
</file>